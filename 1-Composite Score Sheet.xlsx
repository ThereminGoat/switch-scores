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D_Desktop\Scores\"/>
    </mc:Choice>
  </mc:AlternateContent>
  <xr:revisionPtr revIDLastSave="0" documentId="13_ncr:1_{EA44C296-FA97-40B0-B579-B6FBAD39E925}" xr6:coauthVersionLast="47" xr6:coauthVersionMax="47" xr10:uidLastSave="{00000000-0000-0000-0000-000000000000}"/>
  <bookViews>
    <workbookView xWindow="-120" yWindow="-120" windowWidth="29040" windowHeight="15840" tabRatio="594" xr2:uid="{00000000-000D-0000-FFFF-FFFF00000000}"/>
  </bookViews>
  <sheets>
    <sheet name="Overall Total" sheetId="1" r:id="rId1"/>
    <sheet name="Hard Total" sheetId="4" r:id="rId2"/>
    <sheet name="Soft Total" sheetId="5" r:id="rId3"/>
  </sheets>
  <definedNames>
    <definedName name="_xlnm._FilterDatabase" localSheetId="1" hidden="1">'Hard Total'!#REF!</definedName>
    <definedName name="_xlnm._FilterDatabase" localSheetId="0" hidden="1">'Overall Total'!#REF!</definedName>
    <definedName name="_xlnm._FilterDatabase" localSheetId="2" hidden="1">'Soft 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1" i="5" l="1"/>
  <c r="H731" i="5"/>
  <c r="I96" i="4"/>
  <c r="I738" i="4"/>
  <c r="H118" i="5"/>
  <c r="H762" i="5"/>
  <c r="I82" i="4"/>
  <c r="I733" i="4"/>
  <c r="H23" i="5" l="1"/>
  <c r="H486" i="5"/>
  <c r="I20" i="4"/>
  <c r="I490" i="4"/>
  <c r="H117" i="5"/>
  <c r="H523" i="5"/>
  <c r="I259" i="4"/>
  <c r="I610" i="4"/>
  <c r="H116" i="5"/>
  <c r="H906" i="5"/>
  <c r="I48" i="4"/>
  <c r="I899" i="4"/>
  <c r="H173" i="5"/>
  <c r="H553" i="5"/>
  <c r="I149" i="4"/>
  <c r="I557" i="4"/>
  <c r="H73" i="5" l="1"/>
  <c r="H903" i="5"/>
  <c r="I298" i="4"/>
  <c r="I912" i="4"/>
  <c r="H270" i="5"/>
  <c r="H609" i="5"/>
  <c r="I186" i="4"/>
  <c r="I572" i="4"/>
  <c r="H40" i="5"/>
  <c r="H730" i="5"/>
  <c r="I297" i="4"/>
  <c r="I809" i="4"/>
  <c r="H72" i="5" l="1"/>
  <c r="H742" i="5"/>
  <c r="I213" i="4"/>
  <c r="I779" i="4"/>
  <c r="H43" i="5" l="1"/>
  <c r="H493" i="5"/>
  <c r="I212" i="4"/>
  <c r="I589" i="4"/>
  <c r="H44" i="5"/>
  <c r="H494" i="5"/>
  <c r="I211" i="4"/>
  <c r="I588" i="4"/>
  <c r="H178" i="5" l="1"/>
  <c r="H938" i="5"/>
  <c r="I148" i="4"/>
  <c r="I930" i="4"/>
  <c r="H280" i="5"/>
  <c r="H614" i="5"/>
  <c r="I32" i="4"/>
  <c r="I498" i="4"/>
  <c r="H743" i="5"/>
  <c r="H78" i="5"/>
  <c r="I756" i="4"/>
  <c r="I147" i="4"/>
  <c r="H396" i="5" l="1"/>
  <c r="H847" i="5"/>
  <c r="I431" i="4"/>
  <c r="I849" i="4"/>
  <c r="H128" i="5" l="1"/>
  <c r="H526" i="5"/>
  <c r="I63" i="4"/>
  <c r="I516" i="4"/>
  <c r="H12" i="5"/>
  <c r="H482" i="5"/>
  <c r="I146" i="4"/>
  <c r="I556" i="4"/>
  <c r="H528" i="5"/>
  <c r="H130" i="5"/>
  <c r="I555" i="4"/>
  <c r="I145" i="4"/>
  <c r="H777" i="5"/>
  <c r="H180" i="5"/>
  <c r="I796" i="4"/>
  <c r="I258" i="4"/>
  <c r="H869" i="5"/>
  <c r="H48" i="5"/>
  <c r="I875" i="4"/>
  <c r="I95" i="4"/>
  <c r="H421" i="5"/>
  <c r="H919" i="5"/>
  <c r="I296" i="4"/>
  <c r="I911" i="4"/>
  <c r="H52" i="5"/>
  <c r="H497" i="5"/>
  <c r="I47" i="4"/>
  <c r="I505" i="4"/>
  <c r="H83" i="5"/>
  <c r="H873" i="5"/>
  <c r="I46" i="4"/>
  <c r="I870" i="4"/>
  <c r="H27" i="5"/>
  <c r="H900" i="5"/>
  <c r="I127" i="4"/>
  <c r="I904" i="4"/>
  <c r="H233" i="5" l="1"/>
  <c r="H794" i="5"/>
  <c r="I185" i="4"/>
  <c r="I772" i="4"/>
  <c r="H187" i="5"/>
  <c r="H561" i="5"/>
  <c r="I45" i="4"/>
  <c r="I504" i="4"/>
  <c r="H235" i="5"/>
  <c r="H586" i="5"/>
  <c r="I210" i="4"/>
  <c r="I587" i="4"/>
  <c r="H141" i="5"/>
  <c r="H536" i="5"/>
  <c r="I62" i="4"/>
  <c r="I515" i="4"/>
  <c r="H88" i="5" l="1"/>
  <c r="H513" i="5"/>
  <c r="I19" i="4"/>
  <c r="I489" i="4"/>
  <c r="H236" i="5"/>
  <c r="H587" i="5"/>
  <c r="I94" i="4"/>
  <c r="I532" i="4"/>
  <c r="H332" i="5"/>
  <c r="H644" i="5"/>
  <c r="I209" i="4"/>
  <c r="I586" i="4"/>
  <c r="H89" i="5"/>
  <c r="H748" i="5"/>
  <c r="I31" i="4"/>
  <c r="I724" i="4"/>
  <c r="H143" i="5"/>
  <c r="H770" i="5"/>
  <c r="I126" i="4"/>
  <c r="I748" i="4"/>
  <c r="H90" i="5" l="1"/>
  <c r="H749" i="5"/>
  <c r="I144" i="4"/>
  <c r="I755" i="4"/>
  <c r="H146" i="5" l="1"/>
  <c r="H538" i="5"/>
  <c r="I328" i="4"/>
  <c r="I645" i="4"/>
  <c r="H243" i="5" l="1"/>
  <c r="H799" i="5"/>
  <c r="I257" i="4"/>
  <c r="I795" i="4"/>
  <c r="H336" i="5"/>
  <c r="H884" i="5"/>
  <c r="I327" i="4"/>
  <c r="I888" i="4"/>
  <c r="H406" i="5"/>
  <c r="H917" i="5"/>
  <c r="I256" i="4"/>
  <c r="I909" i="4"/>
  <c r="N6" i="5"/>
  <c r="O6" i="5" a="1"/>
  <c r="O6" i="5" s="1"/>
  <c r="P6" i="5" a="1"/>
  <c r="P6" i="5" s="1"/>
  <c r="N8" i="4"/>
  <c r="O8" i="4" a="1"/>
  <c r="O8" i="4" s="1"/>
  <c r="P8" i="4" a="1"/>
  <c r="P8" i="4" s="1"/>
  <c r="Q8" i="4" a="1"/>
  <c r="Q8" i="4" s="1"/>
  <c r="Q6" i="1"/>
  <c r="R6" i="1" a="1"/>
  <c r="R6" i="1" s="1"/>
  <c r="S6" i="1" a="1"/>
  <c r="S6" i="1" s="1"/>
  <c r="T6" i="1" a="1"/>
  <c r="T6" i="1" s="1"/>
  <c r="U6" i="1" a="1"/>
  <c r="U6" i="1" s="1"/>
  <c r="V6" i="1" a="1"/>
  <c r="V6" i="1" s="1"/>
  <c r="H56" i="5"/>
  <c r="H870" i="5"/>
  <c r="I61" i="4"/>
  <c r="I871" i="4"/>
  <c r="H247" i="5"/>
  <c r="H800" i="5"/>
  <c r="I30" i="4"/>
  <c r="I723" i="4"/>
  <c r="H94" i="5" l="1"/>
  <c r="H751" i="5"/>
  <c r="I125" i="4"/>
  <c r="I747" i="4"/>
  <c r="H95" i="5" l="1"/>
  <c r="H516" i="5"/>
  <c r="I295" i="4"/>
  <c r="I630" i="4"/>
  <c r="H249" i="5"/>
  <c r="H593" i="5"/>
  <c r="I294" i="4"/>
  <c r="I629" i="4"/>
  <c r="H151" i="5"/>
  <c r="H773" i="5"/>
  <c r="I184" i="4"/>
  <c r="I771" i="4"/>
  <c r="H96" i="5"/>
  <c r="H929" i="5"/>
  <c r="I81" i="4"/>
  <c r="I926" i="4"/>
  <c r="H378" i="5"/>
  <c r="H666" i="5"/>
  <c r="I80" i="4"/>
  <c r="I525" i="4"/>
  <c r="H153" i="5"/>
  <c r="H541" i="5"/>
  <c r="I255" i="4"/>
  <c r="I609" i="4"/>
  <c r="H201" i="5"/>
  <c r="H785" i="5"/>
  <c r="I79" i="4"/>
  <c r="I732" i="4"/>
  <c r="Q8" i="1"/>
  <c r="R8" i="1" a="1"/>
  <c r="R8" i="1" s="1"/>
  <c r="S8" i="1" a="1"/>
  <c r="S8" i="1" s="1"/>
  <c r="T8" i="1" a="1"/>
  <c r="T8" i="1" s="1"/>
  <c r="U8" i="1" a="1"/>
  <c r="U8" i="1" s="1"/>
  <c r="V8" i="1" a="1"/>
  <c r="V8" i="1" s="1"/>
  <c r="N10" i="4"/>
  <c r="O10" i="4" a="1"/>
  <c r="O10" i="4" s="1"/>
  <c r="P10" i="4" a="1"/>
  <c r="P10" i="4" s="1"/>
  <c r="Q10" i="4" a="1"/>
  <c r="Q10" i="4" s="1"/>
  <c r="N8" i="5"/>
  <c r="O8" i="5" a="1"/>
  <c r="O8" i="5" s="1"/>
  <c r="P8" i="5" a="1"/>
  <c r="P8" i="5" s="1"/>
  <c r="H488" i="5"/>
  <c r="H30" i="5"/>
  <c r="I503" i="4"/>
  <c r="I44" i="4"/>
  <c r="H754" i="5"/>
  <c r="H100" i="5"/>
  <c r="I794" i="4"/>
  <c r="I254" i="4"/>
  <c r="H753" i="5"/>
  <c r="H99" i="5"/>
  <c r="I754" i="4"/>
  <c r="I143" i="4"/>
  <c r="H299" i="5"/>
  <c r="H625" i="5"/>
  <c r="I293" i="4"/>
  <c r="I628" i="4"/>
  <c r="H18" i="5"/>
  <c r="H898" i="5"/>
  <c r="I43" i="4"/>
  <c r="I898" i="4"/>
  <c r="H302" i="5"/>
  <c r="H627" i="5"/>
  <c r="I78" i="4"/>
  <c r="I524" i="4"/>
  <c r="H830" i="5"/>
  <c r="H349" i="5"/>
  <c r="I857" i="4"/>
  <c r="I466" i="4"/>
  <c r="Q12" i="1"/>
  <c r="R12" i="1" a="1"/>
  <c r="R12" i="1" s="1"/>
  <c r="S12" i="1" a="1"/>
  <c r="S12" i="1" s="1"/>
  <c r="T12" i="1" a="1"/>
  <c r="T12" i="1" s="1"/>
  <c r="U12" i="1" a="1"/>
  <c r="U12" i="1" s="1"/>
  <c r="V12" i="1" a="1"/>
  <c r="V12" i="1" s="1"/>
  <c r="N12" i="4"/>
  <c r="O12" i="4" a="1"/>
  <c r="O12" i="4" s="1"/>
  <c r="P12" i="4" a="1"/>
  <c r="P12" i="4" s="1"/>
  <c r="Q12" i="4" a="1"/>
  <c r="Q12" i="4" s="1"/>
  <c r="N11" i="5"/>
  <c r="O11" i="5" a="1"/>
  <c r="O11" i="5" s="1"/>
  <c r="P11" i="5" a="1"/>
  <c r="P11" i="5" s="1"/>
  <c r="H160" i="5"/>
  <c r="H545" i="5"/>
  <c r="I124" i="4"/>
  <c r="I547" i="4"/>
  <c r="H206" i="5"/>
  <c r="H788" i="5"/>
  <c r="I292" i="4"/>
  <c r="I808" i="4"/>
  <c r="H64" i="5"/>
  <c r="H739" i="5"/>
  <c r="I183" i="4"/>
  <c r="I770" i="4"/>
  <c r="H209" i="5" l="1"/>
  <c r="H572" i="5"/>
  <c r="I627" i="4"/>
  <c r="I291" i="4"/>
  <c r="N32" i="5"/>
  <c r="O32" i="5" a="1"/>
  <c r="O32" i="5" s="1"/>
  <c r="P32" i="5" a="1"/>
  <c r="P32" i="5" s="1"/>
  <c r="N29" i="5"/>
  <c r="O29" i="5" a="1"/>
  <c r="O29" i="5" s="1"/>
  <c r="P29" i="5" a="1"/>
  <c r="P29" i="5" s="1"/>
  <c r="N31" i="4"/>
  <c r="O31" i="4" a="1"/>
  <c r="O31" i="4" s="1"/>
  <c r="P31" i="4" a="1"/>
  <c r="P31" i="4" s="1"/>
  <c r="Q31" i="4" a="1"/>
  <c r="Q31" i="4" s="1"/>
  <c r="N6" i="4"/>
  <c r="O6" i="4" a="1"/>
  <c r="O6" i="4" s="1"/>
  <c r="P6" i="4" a="1"/>
  <c r="P6" i="4" s="1"/>
  <c r="Q6" i="4" a="1"/>
  <c r="Q6" i="4" s="1"/>
  <c r="Q31" i="1"/>
  <c r="R31" i="1" a="1"/>
  <c r="R31" i="1" s="1"/>
  <c r="S31" i="1" a="1"/>
  <c r="S31" i="1" s="1"/>
  <c r="T31" i="1" a="1"/>
  <c r="T31" i="1" s="1"/>
  <c r="U31" i="1" a="1"/>
  <c r="U31" i="1" s="1"/>
  <c r="V31" i="1" a="1"/>
  <c r="V31" i="1" s="1"/>
  <c r="Q10" i="1"/>
  <c r="R10" i="1" a="1"/>
  <c r="R10" i="1" s="1"/>
  <c r="S10" i="1" a="1"/>
  <c r="S10" i="1" s="1"/>
  <c r="T10" i="1" a="1"/>
  <c r="T10" i="1" s="1"/>
  <c r="U10" i="1" a="1"/>
  <c r="U10" i="1" s="1"/>
  <c r="V10" i="1" a="1"/>
  <c r="V10" i="1" s="1"/>
  <c r="H758" i="5"/>
  <c r="H108" i="5"/>
  <c r="I823" i="4"/>
  <c r="I355" i="4"/>
  <c r="H111" i="5" l="1"/>
  <c r="H759" i="5"/>
  <c r="I93" i="4"/>
  <c r="I737" i="4"/>
  <c r="H110" i="5"/>
  <c r="H522" i="5"/>
  <c r="I208" i="4"/>
  <c r="I585" i="4"/>
  <c r="H20" i="5"/>
  <c r="H727" i="5"/>
  <c r="I253" i="4"/>
  <c r="I793" i="4"/>
  <c r="H265" i="5" l="1"/>
  <c r="H805" i="5"/>
  <c r="I182" i="4"/>
  <c r="I769" i="4"/>
  <c r="H68" i="5"/>
  <c r="H741" i="5"/>
  <c r="I207" i="4"/>
  <c r="I778" i="4"/>
  <c r="H113" i="5" l="1"/>
  <c r="H905" i="5"/>
  <c r="I390" i="4"/>
  <c r="I917" i="4"/>
  <c r="H269" i="5"/>
  <c r="H607" i="5"/>
  <c r="I77" i="4"/>
  <c r="I523" i="4"/>
  <c r="H114" i="5"/>
  <c r="H761" i="5"/>
  <c r="I123" i="4"/>
  <c r="I746" i="4"/>
  <c r="H268" i="5"/>
  <c r="H806" i="5"/>
  <c r="I326" i="4"/>
  <c r="I818" i="4"/>
  <c r="H6" i="5" l="1"/>
  <c r="H722" i="5"/>
  <c r="I92" i="4"/>
  <c r="I736" i="4"/>
  <c r="H219" i="5" l="1"/>
  <c r="H579" i="5"/>
  <c r="I142" i="4"/>
  <c r="I554" i="4"/>
  <c r="H24" i="5" l="1"/>
  <c r="H485" i="5"/>
  <c r="I122" i="4"/>
  <c r="I546" i="4"/>
  <c r="H175" i="5" l="1"/>
  <c r="H554" i="5"/>
  <c r="I60" i="4"/>
  <c r="I514" i="4"/>
  <c r="H221" i="5"/>
  <c r="H879" i="5"/>
  <c r="I121" i="4"/>
  <c r="I879" i="4"/>
  <c r="H25" i="5" l="1"/>
  <c r="H487" i="5"/>
  <c r="I59" i="4"/>
  <c r="I513" i="4"/>
  <c r="H419" i="5"/>
  <c r="H682" i="5"/>
  <c r="I252" i="4"/>
  <c r="I608" i="4"/>
  <c r="H359" i="5"/>
  <c r="H656" i="5"/>
  <c r="I416" i="4"/>
  <c r="I689" i="4"/>
  <c r="H420" i="5" l="1"/>
  <c r="H683" i="5"/>
  <c r="I389" i="4"/>
  <c r="I676" i="4"/>
  <c r="H179" i="5" l="1"/>
  <c r="H557" i="5"/>
  <c r="I76" i="4"/>
  <c r="I522" i="4"/>
  <c r="H361" i="5"/>
  <c r="H658" i="5"/>
  <c r="I388" i="4"/>
  <c r="I675" i="4"/>
  <c r="H79" i="5" l="1"/>
  <c r="H510" i="5"/>
  <c r="I18" i="4"/>
  <c r="I488" i="4"/>
  <c r="H13" i="5"/>
  <c r="H897" i="5"/>
  <c r="I75" i="4"/>
  <c r="I901" i="4"/>
  <c r="H225" i="5"/>
  <c r="H581" i="5"/>
  <c r="I58" i="4"/>
  <c r="I512" i="4"/>
  <c r="H47" i="5"/>
  <c r="H734" i="5"/>
  <c r="I57" i="4"/>
  <c r="I730" i="4"/>
  <c r="H362" i="5"/>
  <c r="H948" i="5"/>
  <c r="I430" i="4"/>
  <c r="I955" i="4"/>
  <c r="H9" i="5"/>
  <c r="H481" i="5"/>
  <c r="I290" i="4"/>
  <c r="I626" i="4"/>
  <c r="H323" i="5"/>
  <c r="H819" i="5"/>
  <c r="I289" i="4"/>
  <c r="I807" i="4"/>
  <c r="H182" i="5"/>
  <c r="H778" i="5"/>
  <c r="I288" i="4"/>
  <c r="I806" i="4"/>
  <c r="H181" i="5"/>
  <c r="H558" i="5"/>
  <c r="I251" i="4"/>
  <c r="I607" i="4"/>
  <c r="H133" i="5" l="1"/>
  <c r="H529" i="5"/>
  <c r="I74" i="4"/>
  <c r="I521" i="4"/>
  <c r="H450" i="5"/>
  <c r="H704" i="5"/>
  <c r="I415" i="4"/>
  <c r="I688" i="4"/>
  <c r="H229" i="5"/>
  <c r="H583" i="5"/>
  <c r="I17" i="4"/>
  <c r="I487" i="4"/>
  <c r="H285" i="5"/>
  <c r="H811" i="5"/>
  <c r="I325" i="4"/>
  <c r="I817" i="4"/>
  <c r="H183" i="5"/>
  <c r="H779" i="5"/>
  <c r="I287" i="4"/>
  <c r="I805" i="4"/>
  <c r="H399" i="5"/>
  <c r="H673" i="5"/>
  <c r="I455" i="4"/>
  <c r="I710" i="4"/>
  <c r="H82" i="5" l="1"/>
  <c r="H745" i="5"/>
  <c r="I91" i="4"/>
  <c r="I735" i="4"/>
  <c r="Q17" i="1"/>
  <c r="R17" i="1" a="1"/>
  <c r="R17" i="1" s="1"/>
  <c r="S17" i="1" a="1"/>
  <c r="S17" i="1" s="1"/>
  <c r="T17" i="1" a="1"/>
  <c r="T17" i="1" s="1"/>
  <c r="U17" i="1" a="1"/>
  <c r="U17" i="1" s="1"/>
  <c r="V17" i="1" a="1"/>
  <c r="V17" i="1" s="1"/>
  <c r="N18" i="4"/>
  <c r="O18" i="4" a="1"/>
  <c r="O18" i="4" s="1"/>
  <c r="P18" i="4" a="1"/>
  <c r="P18" i="4" s="1"/>
  <c r="Q18" i="4" a="1"/>
  <c r="Q18" i="4" s="1"/>
  <c r="N15" i="5"/>
  <c r="O15" i="5" a="1"/>
  <c r="O15" i="5" s="1"/>
  <c r="P15" i="5" a="1"/>
  <c r="P15" i="5" s="1"/>
  <c r="H454" i="5"/>
  <c r="H892" i="5"/>
  <c r="I286" i="4"/>
  <c r="I886" i="4"/>
  <c r="H139" i="5"/>
  <c r="H534" i="5"/>
  <c r="I120" i="4"/>
  <c r="I545" i="4"/>
  <c r="H53" i="5"/>
  <c r="H498" i="5"/>
  <c r="I181" i="4"/>
  <c r="I571" i="4"/>
  <c r="H403" i="5"/>
  <c r="H953" i="5"/>
  <c r="I414" i="4"/>
  <c r="I950" i="4"/>
  <c r="H329" i="5"/>
  <c r="H823" i="5"/>
  <c r="I465" i="4"/>
  <c r="I856" i="4"/>
  <c r="H330" i="5" l="1"/>
  <c r="H643" i="5"/>
  <c r="I16" i="4"/>
  <c r="I486" i="4"/>
  <c r="H87" i="5"/>
  <c r="H872" i="5"/>
  <c r="I206" i="4"/>
  <c r="I883" i="4"/>
  <c r="H54" i="5"/>
  <c r="H736" i="5"/>
  <c r="I205" i="4"/>
  <c r="I777" i="4"/>
  <c r="H370" i="5"/>
  <c r="H950" i="5"/>
  <c r="I285" i="4"/>
  <c r="I938" i="4"/>
  <c r="H333" i="5"/>
  <c r="H645" i="5"/>
  <c r="I73" i="4"/>
  <c r="I520" i="4"/>
  <c r="H369" i="5"/>
  <c r="H661" i="5"/>
  <c r="I354" i="4"/>
  <c r="I662" i="4"/>
  <c r="H239" i="5"/>
  <c r="H589" i="5"/>
  <c r="I250" i="4"/>
  <c r="I606" i="4"/>
  <c r="H291" i="5" l="1"/>
  <c r="H620" i="5"/>
  <c r="I204" i="4"/>
  <c r="I584" i="4"/>
  <c r="H429" i="5"/>
  <c r="H853" i="5"/>
  <c r="I413" i="4"/>
  <c r="I845" i="4"/>
  <c r="H246" i="5"/>
  <c r="H798" i="5"/>
  <c r="I180" i="4"/>
  <c r="I768" i="4"/>
  <c r="H407" i="5"/>
  <c r="H677" i="5"/>
  <c r="I29" i="4"/>
  <c r="I497" i="4"/>
  <c r="H292" i="5"/>
  <c r="H621" i="5"/>
  <c r="I119" i="4"/>
  <c r="I544" i="4"/>
  <c r="I42" i="4" l="1"/>
  <c r="H10" i="5"/>
  <c r="H723" i="5"/>
  <c r="I727" i="4"/>
  <c r="H58" i="5"/>
  <c r="H500" i="5"/>
  <c r="I41" i="4"/>
  <c r="I502" i="4"/>
  <c r="H59" i="5"/>
  <c r="H901" i="5"/>
  <c r="I353" i="4"/>
  <c r="I915" i="4"/>
  <c r="H195" i="5"/>
  <c r="H567" i="5"/>
  <c r="I141" i="4"/>
  <c r="I553" i="4"/>
  <c r="H196" i="5"/>
  <c r="H568" i="5"/>
  <c r="I203" i="4"/>
  <c r="I583" i="4"/>
  <c r="H294" i="5" l="1"/>
  <c r="H622" i="5"/>
  <c r="I387" i="4"/>
  <c r="I674" i="4"/>
  <c r="H342" i="5"/>
  <c r="H885" i="5"/>
  <c r="I284" i="4"/>
  <c r="I885" i="4"/>
  <c r="H199" i="5" l="1"/>
  <c r="H784" i="5"/>
  <c r="I324" i="4"/>
  <c r="I816" i="4"/>
  <c r="H200" i="5" l="1"/>
  <c r="H570" i="5"/>
  <c r="I283" i="4"/>
  <c r="I625" i="4"/>
  <c r="H379" i="5"/>
  <c r="H667" i="5"/>
  <c r="I429" i="4"/>
  <c r="I694" i="4"/>
  <c r="H296" i="5"/>
  <c r="H814" i="5"/>
  <c r="I412" i="4"/>
  <c r="I844" i="4"/>
  <c r="H16" i="5" l="1"/>
  <c r="H726" i="5"/>
  <c r="I72" i="4"/>
  <c r="I731" i="4"/>
  <c r="H381" i="5"/>
  <c r="H887" i="5"/>
  <c r="I323" i="4"/>
  <c r="I887" i="4"/>
  <c r="H205" i="5" l="1"/>
  <c r="H787" i="5"/>
  <c r="I369" i="4"/>
  <c r="I826" i="4"/>
  <c r="H157" i="5"/>
  <c r="H936" i="5"/>
  <c r="I179" i="4"/>
  <c r="I932" i="4"/>
  <c r="H156" i="5"/>
  <c r="H935" i="5"/>
  <c r="I140" i="4"/>
  <c r="I929" i="4"/>
  <c r="H158" i="5" l="1"/>
  <c r="H543" i="5"/>
  <c r="I249" i="4"/>
  <c r="I605" i="4"/>
  <c r="H103" i="5"/>
  <c r="H755" i="5"/>
  <c r="I248" i="4"/>
  <c r="I792" i="4"/>
  <c r="H382" i="5"/>
  <c r="H668" i="5"/>
  <c r="I322" i="4"/>
  <c r="I644" i="4"/>
  <c r="H300" i="5"/>
  <c r="H943" i="5"/>
  <c r="I352" i="4"/>
  <c r="I942" i="4"/>
  <c r="H434" i="5" l="1"/>
  <c r="H956" i="5"/>
  <c r="I386" i="4"/>
  <c r="I948" i="4"/>
  <c r="H255" i="5" l="1"/>
  <c r="H599" i="5"/>
  <c r="I178" i="4"/>
  <c r="I570" i="4"/>
  <c r="H348" i="5"/>
  <c r="H829" i="5"/>
  <c r="I368" i="4"/>
  <c r="I825" i="4"/>
  <c r="H19" i="5"/>
  <c r="H483" i="5"/>
  <c r="I56" i="4"/>
  <c r="I511" i="4"/>
  <c r="H303" i="5" l="1"/>
  <c r="H816" i="5"/>
  <c r="I247" i="4"/>
  <c r="I791" i="4"/>
  <c r="H258" i="5"/>
  <c r="H601" i="5"/>
  <c r="I246" i="4"/>
  <c r="I604" i="4"/>
  <c r="H489" i="5" l="1"/>
  <c r="H31" i="5"/>
  <c r="I485" i="4"/>
  <c r="I15" i="4"/>
  <c r="H414" i="5"/>
  <c r="H918" i="5"/>
  <c r="I321" i="4"/>
  <c r="I914" i="4"/>
  <c r="H307" i="5"/>
  <c r="H629" i="5"/>
  <c r="I320" i="4"/>
  <c r="I643" i="4"/>
  <c r="H306" i="5"/>
  <c r="H883" i="5"/>
  <c r="I177" i="4"/>
  <c r="I881" i="4"/>
  <c r="H210" i="5"/>
  <c r="H573" i="5"/>
  <c r="I28" i="4"/>
  <c r="I496" i="4"/>
  <c r="H65" i="5" l="1"/>
  <c r="H504" i="5"/>
  <c r="I40" i="4"/>
  <c r="I501" i="4"/>
  <c r="H315" i="5"/>
  <c r="H818" i="5"/>
  <c r="I462" i="4"/>
  <c r="I855" i="4"/>
  <c r="H353" i="5"/>
  <c r="H947" i="5"/>
  <c r="I385" i="4"/>
  <c r="I947" i="4"/>
  <c r="H35" i="5"/>
  <c r="H868" i="5"/>
  <c r="I176" i="4"/>
  <c r="I880" i="4"/>
  <c r="H165" i="5"/>
  <c r="H549" i="5"/>
  <c r="I27" i="4"/>
  <c r="I495" i="4"/>
  <c r="N17" i="5" l="1"/>
  <c r="O17" i="5" a="1"/>
  <c r="O17" i="5" s="1"/>
  <c r="P17" i="5" a="1"/>
  <c r="P17" i="5" s="1"/>
  <c r="N9" i="5"/>
  <c r="O9" i="5" a="1"/>
  <c r="O9" i="5" s="1"/>
  <c r="P9" i="5" a="1"/>
  <c r="P9" i="5" s="1"/>
  <c r="N10" i="5"/>
  <c r="O10" i="5" a="1"/>
  <c r="O10" i="5" s="1"/>
  <c r="P10" i="5" a="1"/>
  <c r="P10" i="5" s="1"/>
  <c r="N7" i="4"/>
  <c r="O7" i="4" a="1"/>
  <c r="O7" i="4" s="1"/>
  <c r="P7" i="4" a="1"/>
  <c r="P7" i="4" s="1"/>
  <c r="Q7" i="4" a="1"/>
  <c r="Q7" i="4" s="1"/>
  <c r="N11" i="4"/>
  <c r="O11" i="4" a="1"/>
  <c r="O11" i="4" s="1"/>
  <c r="P11" i="4" a="1"/>
  <c r="P11" i="4" s="1"/>
  <c r="Q11" i="4" a="1"/>
  <c r="Q11" i="4" s="1"/>
  <c r="N9" i="4"/>
  <c r="O9" i="4" a="1"/>
  <c r="O9" i="4" s="1"/>
  <c r="P9" i="4" a="1"/>
  <c r="P9" i="4" s="1"/>
  <c r="Q9" i="4" a="1"/>
  <c r="Q9" i="4" s="1"/>
  <c r="Q7" i="1"/>
  <c r="R7" i="1" a="1"/>
  <c r="R7" i="1" s="1"/>
  <c r="S7" i="1" a="1"/>
  <c r="S7" i="1" s="1"/>
  <c r="T7" i="1" a="1"/>
  <c r="T7" i="1" s="1"/>
  <c r="U7" i="1" a="1"/>
  <c r="U7" i="1" s="1"/>
  <c r="V7" i="1" a="1"/>
  <c r="V7" i="1" s="1"/>
  <c r="Q11" i="1"/>
  <c r="R11" i="1" a="1"/>
  <c r="R11" i="1" s="1"/>
  <c r="S11" i="1" a="1"/>
  <c r="S11" i="1" s="1"/>
  <c r="T11" i="1" a="1"/>
  <c r="T11" i="1" s="1"/>
  <c r="U11" i="1" a="1"/>
  <c r="U11" i="1" s="1"/>
  <c r="V11" i="1" a="1"/>
  <c r="V11" i="1" s="1"/>
  <c r="Q9" i="1"/>
  <c r="R9" i="1" a="1"/>
  <c r="R9" i="1" s="1"/>
  <c r="S9" i="1" a="1"/>
  <c r="S9" i="1" s="1"/>
  <c r="T9" i="1" a="1"/>
  <c r="T9" i="1" s="1"/>
  <c r="U9" i="1" a="1"/>
  <c r="U9" i="1" s="1"/>
  <c r="V9" i="1" a="1"/>
  <c r="V9" i="1" s="1"/>
  <c r="H267" i="5"/>
  <c r="H606" i="5"/>
  <c r="I175" i="4"/>
  <c r="I569" i="4"/>
  <c r="H22" i="5"/>
  <c r="H484" i="5"/>
  <c r="I90" i="4"/>
  <c r="I531" i="4"/>
  <c r="H21" i="5"/>
  <c r="H926" i="5"/>
  <c r="I245" i="4"/>
  <c r="I937" i="4"/>
  <c r="H216" i="5"/>
  <c r="H910" i="5"/>
  <c r="I282" i="4"/>
  <c r="I910" i="4"/>
  <c r="H11" i="5" l="1"/>
  <c r="H724" i="5"/>
  <c r="I55" i="4"/>
  <c r="I729" i="4"/>
  <c r="H70" i="5"/>
  <c r="I118" i="4"/>
  <c r="H871" i="5"/>
  <c r="I878" i="4"/>
  <c r="H69" i="5"/>
  <c r="I174" i="4"/>
  <c r="H902" i="5"/>
  <c r="I906" i="4"/>
  <c r="H38" i="5"/>
  <c r="H492" i="5"/>
  <c r="I281" i="4"/>
  <c r="I624" i="4"/>
  <c r="H392" i="5"/>
  <c r="I398" i="4"/>
  <c r="H843" i="5"/>
  <c r="I839" i="4"/>
  <c r="H172" i="5" l="1"/>
  <c r="H552" i="5"/>
  <c r="I26" i="4"/>
  <c r="I494" i="4"/>
  <c r="Q32" i="1" l="1"/>
  <c r="Q33" i="1"/>
  <c r="Q30" i="1"/>
  <c r="Q29" i="1"/>
  <c r="Q28" i="1"/>
  <c r="Q27" i="1"/>
  <c r="Q26" i="1"/>
  <c r="Q25" i="1"/>
  <c r="Q15" i="1"/>
  <c r="Q22" i="1"/>
  <c r="Q20" i="1"/>
  <c r="Q23" i="1"/>
  <c r="Q21" i="1"/>
  <c r="Q24" i="1"/>
  <c r="Q19" i="1"/>
  <c r="Q16" i="1"/>
  <c r="Q14" i="1"/>
  <c r="Q13" i="1"/>
  <c r="Q18" i="1"/>
  <c r="R13" i="1" a="1"/>
  <c r="R13" i="1" s="1"/>
  <c r="R14" i="1" a="1"/>
  <c r="R14" i="1" s="1"/>
  <c r="R16" i="1" a="1"/>
  <c r="R16" i="1" s="1"/>
  <c r="R19" i="1" a="1"/>
  <c r="R19" i="1" s="1"/>
  <c r="R24" i="1" a="1"/>
  <c r="R24" i="1" s="1"/>
  <c r="R21" i="1" a="1"/>
  <c r="R21" i="1" s="1"/>
  <c r="R23" i="1" a="1"/>
  <c r="R23" i="1" s="1"/>
  <c r="R20" i="1" a="1"/>
  <c r="R20" i="1" s="1"/>
  <c r="R22" i="1" a="1"/>
  <c r="R22" i="1" s="1"/>
  <c r="R15" i="1" a="1"/>
  <c r="R15" i="1" s="1"/>
  <c r="R25" i="1" a="1"/>
  <c r="R25" i="1" s="1"/>
  <c r="R26" i="1" a="1"/>
  <c r="R26" i="1" s="1"/>
  <c r="R27" i="1" a="1"/>
  <c r="R27" i="1" s="1"/>
  <c r="R28" i="1" a="1"/>
  <c r="R28" i="1" s="1"/>
  <c r="R29" i="1" a="1"/>
  <c r="R29" i="1" s="1"/>
  <c r="R30" i="1" a="1"/>
  <c r="R30" i="1" s="1"/>
  <c r="R33" i="1" a="1"/>
  <c r="R33" i="1" s="1"/>
  <c r="R32" i="1" a="1"/>
  <c r="R32" i="1" s="1"/>
  <c r="R18" i="1" a="1"/>
  <c r="R18" i="1" s="1"/>
  <c r="S13" i="1" a="1"/>
  <c r="S13" i="1" s="1"/>
  <c r="S14" i="1" a="1"/>
  <c r="S14" i="1" s="1"/>
  <c r="S16" i="1" a="1"/>
  <c r="S16" i="1" s="1"/>
  <c r="S19" i="1" a="1"/>
  <c r="S19" i="1" s="1"/>
  <c r="S24" i="1" a="1"/>
  <c r="S24" i="1" s="1"/>
  <c r="S21" i="1" a="1"/>
  <c r="S21" i="1" s="1"/>
  <c r="S23" i="1" a="1"/>
  <c r="S23" i="1" s="1"/>
  <c r="S20" i="1" a="1"/>
  <c r="S20" i="1" s="1"/>
  <c r="S22" i="1" a="1"/>
  <c r="S22" i="1" s="1"/>
  <c r="S15" i="1" a="1"/>
  <c r="S15" i="1" s="1"/>
  <c r="S25" i="1" a="1"/>
  <c r="S25" i="1" s="1"/>
  <c r="S26" i="1" a="1"/>
  <c r="S26" i="1" s="1"/>
  <c r="S27" i="1" a="1"/>
  <c r="S27" i="1" s="1"/>
  <c r="S28" i="1" a="1"/>
  <c r="S28" i="1" s="1"/>
  <c r="S29" i="1" a="1"/>
  <c r="S29" i="1" s="1"/>
  <c r="S30" i="1" a="1"/>
  <c r="S30" i="1" s="1"/>
  <c r="S33" i="1" a="1"/>
  <c r="S33" i="1" s="1"/>
  <c r="S32" i="1" a="1"/>
  <c r="S32" i="1" s="1"/>
  <c r="S18" i="1" a="1"/>
  <c r="S18" i="1" s="1"/>
  <c r="T13" i="1" a="1"/>
  <c r="T13" i="1" s="1"/>
  <c r="T14" i="1" a="1"/>
  <c r="T14" i="1" s="1"/>
  <c r="T16" i="1" a="1"/>
  <c r="T16" i="1" s="1"/>
  <c r="T19" i="1" a="1"/>
  <c r="T19" i="1" s="1"/>
  <c r="T24" i="1" a="1"/>
  <c r="T24" i="1" s="1"/>
  <c r="T21" i="1" a="1"/>
  <c r="T21" i="1" s="1"/>
  <c r="T23" i="1" a="1"/>
  <c r="T23" i="1" s="1"/>
  <c r="T20" i="1" a="1"/>
  <c r="T20" i="1" s="1"/>
  <c r="T22" i="1" a="1"/>
  <c r="T22" i="1" s="1"/>
  <c r="T15" i="1" a="1"/>
  <c r="T15" i="1" s="1"/>
  <c r="T25" i="1" a="1"/>
  <c r="T25" i="1" s="1"/>
  <c r="T26" i="1" a="1"/>
  <c r="T26" i="1" s="1"/>
  <c r="T27" i="1" a="1"/>
  <c r="T27" i="1" s="1"/>
  <c r="T28" i="1" a="1"/>
  <c r="T28" i="1" s="1"/>
  <c r="T29" i="1" a="1"/>
  <c r="T29" i="1" s="1"/>
  <c r="T30" i="1" a="1"/>
  <c r="T30" i="1" s="1"/>
  <c r="T33" i="1" a="1"/>
  <c r="T33" i="1" s="1"/>
  <c r="T32" i="1" a="1"/>
  <c r="T32" i="1" s="1"/>
  <c r="T18" i="1" a="1"/>
  <c r="T18" i="1" s="1"/>
  <c r="U13" i="1" a="1"/>
  <c r="U13" i="1" s="1"/>
  <c r="U14" i="1" a="1"/>
  <c r="U14" i="1" s="1"/>
  <c r="U16" i="1" a="1"/>
  <c r="U16" i="1" s="1"/>
  <c r="U19" i="1" a="1"/>
  <c r="U19" i="1" s="1"/>
  <c r="U24" i="1" a="1"/>
  <c r="U24" i="1" s="1"/>
  <c r="U21" i="1" a="1"/>
  <c r="U21" i="1" s="1"/>
  <c r="U23" i="1" a="1"/>
  <c r="U23" i="1" s="1"/>
  <c r="U20" i="1" a="1"/>
  <c r="U20" i="1" s="1"/>
  <c r="U22" i="1" a="1"/>
  <c r="U22" i="1" s="1"/>
  <c r="U15" i="1" a="1"/>
  <c r="U15" i="1" s="1"/>
  <c r="U25" i="1" a="1"/>
  <c r="U25" i="1" s="1"/>
  <c r="U26" i="1" a="1"/>
  <c r="U26" i="1" s="1"/>
  <c r="U27" i="1" a="1"/>
  <c r="U27" i="1" s="1"/>
  <c r="U28" i="1" a="1"/>
  <c r="U28" i="1" s="1"/>
  <c r="U29" i="1" a="1"/>
  <c r="U29" i="1" s="1"/>
  <c r="U30" i="1" a="1"/>
  <c r="U30" i="1" s="1"/>
  <c r="U33" i="1" a="1"/>
  <c r="U33" i="1" s="1"/>
  <c r="U32" i="1" a="1"/>
  <c r="U32" i="1" s="1"/>
  <c r="U18" i="1" a="1"/>
  <c r="U18" i="1" s="1"/>
  <c r="V13" i="1" a="1"/>
  <c r="V13" i="1" s="1"/>
  <c r="V14" i="1" a="1"/>
  <c r="V14" i="1" s="1"/>
  <c r="V16" i="1" a="1"/>
  <c r="V16" i="1" s="1"/>
  <c r="V19" i="1" a="1"/>
  <c r="V19" i="1" s="1"/>
  <c r="V24" i="1" a="1"/>
  <c r="V24" i="1" s="1"/>
  <c r="V21" i="1" a="1"/>
  <c r="V21" i="1" s="1"/>
  <c r="V23" i="1" a="1"/>
  <c r="V23" i="1" s="1"/>
  <c r="V20" i="1" a="1"/>
  <c r="V20" i="1" s="1"/>
  <c r="V22" i="1" a="1"/>
  <c r="V22" i="1" s="1"/>
  <c r="V15" i="1" a="1"/>
  <c r="V15" i="1" s="1"/>
  <c r="V25" i="1" a="1"/>
  <c r="V25" i="1" s="1"/>
  <c r="V26" i="1" a="1"/>
  <c r="V26" i="1" s="1"/>
  <c r="V27" i="1" a="1"/>
  <c r="V27" i="1" s="1"/>
  <c r="V28" i="1" a="1"/>
  <c r="V28" i="1" s="1"/>
  <c r="V29" i="1" a="1"/>
  <c r="V29" i="1" s="1"/>
  <c r="V30" i="1" a="1"/>
  <c r="V30" i="1" s="1"/>
  <c r="V33" i="1" a="1"/>
  <c r="V33" i="1" s="1"/>
  <c r="V32" i="1" a="1"/>
  <c r="V32" i="1" s="1"/>
  <c r="V18" i="1" a="1"/>
  <c r="V18" i="1" s="1"/>
  <c r="N13" i="4"/>
  <c r="N17" i="4"/>
  <c r="N14" i="4"/>
  <c r="N21" i="4"/>
  <c r="N20" i="4"/>
  <c r="N22" i="4"/>
  <c r="N19" i="4"/>
  <c r="N23" i="4"/>
  <c r="N16" i="4"/>
  <c r="N25" i="4"/>
  <c r="N24" i="4"/>
  <c r="N26" i="4"/>
  <c r="N27" i="4"/>
  <c r="N30" i="4"/>
  <c r="N28" i="4"/>
  <c r="N29" i="4"/>
  <c r="N33" i="4"/>
  <c r="N32" i="4"/>
  <c r="N15" i="4"/>
  <c r="O13" i="4" a="1"/>
  <c r="O13" i="4" s="1"/>
  <c r="O17" i="4" a="1"/>
  <c r="O17" i="4" s="1"/>
  <c r="O14" i="4" a="1"/>
  <c r="O14" i="4" s="1"/>
  <c r="O21" i="4" a="1"/>
  <c r="O21" i="4" s="1"/>
  <c r="O20" i="4" a="1"/>
  <c r="O20" i="4" s="1"/>
  <c r="O22" i="4" a="1"/>
  <c r="O22" i="4" s="1"/>
  <c r="O19" i="4" a="1"/>
  <c r="O19" i="4" s="1"/>
  <c r="O23" i="4" a="1"/>
  <c r="O23" i="4" s="1"/>
  <c r="O16" i="4" a="1"/>
  <c r="O16" i="4" s="1"/>
  <c r="O25" i="4" a="1"/>
  <c r="O25" i="4" s="1"/>
  <c r="O24" i="4" a="1"/>
  <c r="O24" i="4" s="1"/>
  <c r="O26" i="4" a="1"/>
  <c r="O26" i="4" s="1"/>
  <c r="O27" i="4" a="1"/>
  <c r="O27" i="4" s="1"/>
  <c r="O30" i="4" a="1"/>
  <c r="O30" i="4" s="1"/>
  <c r="O28" i="4" a="1"/>
  <c r="O28" i="4" s="1"/>
  <c r="O29" i="4" a="1"/>
  <c r="O29" i="4" s="1"/>
  <c r="O33" i="4" a="1"/>
  <c r="O33" i="4" s="1"/>
  <c r="O32" i="4" a="1"/>
  <c r="O32" i="4" s="1"/>
  <c r="O15" i="4" a="1"/>
  <c r="O15" i="4" s="1"/>
  <c r="P13" i="4" a="1"/>
  <c r="P13" i="4" s="1"/>
  <c r="P17" i="4" a="1"/>
  <c r="P17" i="4" s="1"/>
  <c r="P14" i="4" a="1"/>
  <c r="P14" i="4" s="1"/>
  <c r="P21" i="4" a="1"/>
  <c r="P21" i="4" s="1"/>
  <c r="P20" i="4" a="1"/>
  <c r="P20" i="4" s="1"/>
  <c r="P22" i="4" a="1"/>
  <c r="P22" i="4" s="1"/>
  <c r="P19" i="4" a="1"/>
  <c r="P19" i="4" s="1"/>
  <c r="P23" i="4" a="1"/>
  <c r="P23" i="4" s="1"/>
  <c r="P16" i="4" a="1"/>
  <c r="P16" i="4" s="1"/>
  <c r="P25" i="4" a="1"/>
  <c r="P25" i="4" s="1"/>
  <c r="P24" i="4" a="1"/>
  <c r="P24" i="4" s="1"/>
  <c r="P26" i="4" a="1"/>
  <c r="P26" i="4" s="1"/>
  <c r="P27" i="4" a="1"/>
  <c r="P27" i="4" s="1"/>
  <c r="P30" i="4" a="1"/>
  <c r="P30" i="4" s="1"/>
  <c r="P28" i="4" a="1"/>
  <c r="P28" i="4" s="1"/>
  <c r="P29" i="4" a="1"/>
  <c r="P29" i="4" s="1"/>
  <c r="P33" i="4" a="1"/>
  <c r="P33" i="4" s="1"/>
  <c r="P32" i="4" a="1"/>
  <c r="P32" i="4" s="1"/>
  <c r="P15" i="4" a="1"/>
  <c r="P15" i="4" s="1"/>
  <c r="Q13" i="4" a="1"/>
  <c r="Q13" i="4" s="1"/>
  <c r="Q17" i="4" a="1"/>
  <c r="Q17" i="4" s="1"/>
  <c r="Q14" i="4" a="1"/>
  <c r="Q14" i="4" s="1"/>
  <c r="Q21" i="4" a="1"/>
  <c r="Q21" i="4" s="1"/>
  <c r="Q20" i="4" a="1"/>
  <c r="Q20" i="4" s="1"/>
  <c r="Q22" i="4" a="1"/>
  <c r="Q22" i="4" s="1"/>
  <c r="Q19" i="4" a="1"/>
  <c r="Q19" i="4" s="1"/>
  <c r="Q23" i="4" a="1"/>
  <c r="Q23" i="4" s="1"/>
  <c r="Q16" i="4" a="1"/>
  <c r="Q16" i="4" s="1"/>
  <c r="Q25" i="4" a="1"/>
  <c r="Q25" i="4" s="1"/>
  <c r="Q24" i="4" a="1"/>
  <c r="Q24" i="4" s="1"/>
  <c r="Q26" i="4" a="1"/>
  <c r="Q26" i="4" s="1"/>
  <c r="Q27" i="4" a="1"/>
  <c r="Q27" i="4" s="1"/>
  <c r="Q30" i="4" a="1"/>
  <c r="Q30" i="4" s="1"/>
  <c r="Q28" i="4" a="1"/>
  <c r="Q28" i="4" s="1"/>
  <c r="Q29" i="4" a="1"/>
  <c r="Q29" i="4" s="1"/>
  <c r="Q33" i="4" a="1"/>
  <c r="Q33" i="4" s="1"/>
  <c r="Q32" i="4" a="1"/>
  <c r="Q32" i="4" s="1"/>
  <c r="Q15" i="4" a="1"/>
  <c r="Q15" i="4" s="1"/>
  <c r="N12" i="5"/>
  <c r="N19" i="5"/>
  <c r="N13" i="5"/>
  <c r="N14" i="5"/>
  <c r="N22" i="5"/>
  <c r="N16" i="5"/>
  <c r="N23" i="5"/>
  <c r="N26" i="5"/>
  <c r="N24" i="5"/>
  <c r="N20" i="5"/>
  <c r="N21" i="5"/>
  <c r="N25" i="5"/>
  <c r="N18" i="5"/>
  <c r="N28" i="5"/>
  <c r="N27" i="5"/>
  <c r="N30" i="5"/>
  <c r="N31" i="5"/>
  <c r="N33" i="5"/>
  <c r="N7" i="5"/>
  <c r="O12" i="5" a="1"/>
  <c r="O12" i="5" s="1"/>
  <c r="O19" i="5" a="1"/>
  <c r="O19" i="5" s="1"/>
  <c r="O13" i="5" a="1"/>
  <c r="O13" i="5" s="1"/>
  <c r="O14" i="5" a="1"/>
  <c r="O14" i="5" s="1"/>
  <c r="O22" i="5" a="1"/>
  <c r="O22" i="5" s="1"/>
  <c r="O16" i="5" a="1"/>
  <c r="O16" i="5" s="1"/>
  <c r="O23" i="5" a="1"/>
  <c r="O23" i="5" s="1"/>
  <c r="O26" i="5" a="1"/>
  <c r="O26" i="5" s="1"/>
  <c r="O24" i="5" a="1"/>
  <c r="O24" i="5" s="1"/>
  <c r="O20" i="5" a="1"/>
  <c r="O20" i="5" s="1"/>
  <c r="O21" i="5" a="1"/>
  <c r="O21" i="5" s="1"/>
  <c r="O25" i="5" a="1"/>
  <c r="O25" i="5" s="1"/>
  <c r="O18" i="5" a="1"/>
  <c r="O18" i="5" s="1"/>
  <c r="O28" i="5" a="1"/>
  <c r="O28" i="5" s="1"/>
  <c r="O27" i="5" a="1"/>
  <c r="O27" i="5" s="1"/>
  <c r="O30" i="5" a="1"/>
  <c r="O30" i="5" s="1"/>
  <c r="O31" i="5" a="1"/>
  <c r="O31" i="5" s="1"/>
  <c r="O33" i="5" a="1"/>
  <c r="O33" i="5" s="1"/>
  <c r="O7" i="5" a="1"/>
  <c r="O7" i="5" s="1"/>
  <c r="P12" i="5" a="1"/>
  <c r="P12" i="5" s="1"/>
  <c r="P19" i="5" a="1"/>
  <c r="P19" i="5" s="1"/>
  <c r="P13" i="5" a="1"/>
  <c r="P13" i="5" s="1"/>
  <c r="P14" i="5" a="1"/>
  <c r="P14" i="5" s="1"/>
  <c r="P22" i="5" a="1"/>
  <c r="P22" i="5" s="1"/>
  <c r="P16" i="5" a="1"/>
  <c r="P16" i="5" s="1"/>
  <c r="P23" i="5" a="1"/>
  <c r="P23" i="5" s="1"/>
  <c r="P26" i="5" a="1"/>
  <c r="P26" i="5" s="1"/>
  <c r="P24" i="5" a="1"/>
  <c r="P24" i="5" s="1"/>
  <c r="P20" i="5" a="1"/>
  <c r="P20" i="5" s="1"/>
  <c r="P21" i="5" a="1"/>
  <c r="P21" i="5" s="1"/>
  <c r="P25" i="5" a="1"/>
  <c r="P25" i="5" s="1"/>
  <c r="P18" i="5" a="1"/>
  <c r="P18" i="5" s="1"/>
  <c r="P28" i="5" a="1"/>
  <c r="P28" i="5" s="1"/>
  <c r="P27" i="5" a="1"/>
  <c r="P27" i="5" s="1"/>
  <c r="P30" i="5" a="1"/>
  <c r="P30" i="5" s="1"/>
  <c r="P31" i="5" a="1"/>
  <c r="P31" i="5" s="1"/>
  <c r="P33" i="5" a="1"/>
  <c r="P33" i="5" s="1"/>
  <c r="P7" i="5" a="1"/>
  <c r="P7" i="5" s="1"/>
  <c r="H928" i="5"/>
  <c r="H925" i="5"/>
  <c r="H930" i="5"/>
  <c r="H927" i="5"/>
  <c r="H931" i="5"/>
  <c r="H932" i="5"/>
  <c r="H934" i="5"/>
  <c r="H940" i="5"/>
  <c r="H933" i="5"/>
  <c r="H941" i="5"/>
  <c r="H942" i="5"/>
  <c r="H951" i="5"/>
  <c r="H954" i="5"/>
  <c r="H944" i="5"/>
  <c r="H937" i="5"/>
  <c r="H939" i="5"/>
  <c r="H955" i="5"/>
  <c r="H945" i="5"/>
  <c r="H952" i="5"/>
  <c r="H946" i="5"/>
  <c r="H957" i="5"/>
  <c r="H949" i="5"/>
  <c r="H959" i="5"/>
  <c r="H961" i="5"/>
  <c r="H960" i="5"/>
  <c r="H958" i="5"/>
  <c r="H962" i="5"/>
  <c r="H963" i="5"/>
  <c r="H924" i="5"/>
  <c r="H907" i="5"/>
  <c r="H899" i="5"/>
  <c r="H908" i="5"/>
  <c r="H911" i="5"/>
  <c r="H909" i="5"/>
  <c r="H913" i="5"/>
  <c r="H912" i="5"/>
  <c r="H915" i="5"/>
  <c r="H914" i="5"/>
  <c r="H916" i="5"/>
  <c r="H904" i="5"/>
  <c r="H881" i="5"/>
  <c r="H874" i="5"/>
  <c r="H877" i="5"/>
  <c r="H878" i="5"/>
  <c r="H865" i="5"/>
  <c r="H866" i="5"/>
  <c r="H876" i="5"/>
  <c r="H886" i="5"/>
  <c r="H875" i="5"/>
  <c r="H889" i="5"/>
  <c r="H880" i="5"/>
  <c r="H882" i="5"/>
  <c r="H891" i="5"/>
  <c r="H888" i="5"/>
  <c r="H890" i="5"/>
  <c r="H867" i="5"/>
  <c r="H725" i="5"/>
  <c r="H729" i="5"/>
  <c r="H735" i="5"/>
  <c r="H732" i="5"/>
  <c r="H765" i="5"/>
  <c r="H744" i="5"/>
  <c r="H812" i="5"/>
  <c r="H750" i="5"/>
  <c r="H764" i="5"/>
  <c r="H752" i="5"/>
  <c r="H733" i="5"/>
  <c r="H769" i="5"/>
  <c r="H782" i="5"/>
  <c r="H837" i="5"/>
  <c r="H740" i="5"/>
  <c r="H766" i="5"/>
  <c r="H767" i="5"/>
  <c r="H728" i="5"/>
  <c r="H835" i="5"/>
  <c r="H789" i="5"/>
  <c r="H775" i="5"/>
  <c r="H780" i="5"/>
  <c r="H747" i="5"/>
  <c r="H796" i="5"/>
  <c r="H756" i="5"/>
  <c r="H790" i="5"/>
  <c r="H738" i="5"/>
  <c r="H791" i="5"/>
  <c r="H776" i="5"/>
  <c r="H763" i="5"/>
  <c r="H808" i="5"/>
  <c r="H746" i="5"/>
  <c r="H781" i="5"/>
  <c r="H774" i="5"/>
  <c r="H817" i="5"/>
  <c r="H807" i="5"/>
  <c r="H793" i="5"/>
  <c r="H771" i="5"/>
  <c r="H825" i="5"/>
  <c r="H801" i="5"/>
  <c r="H802" i="5"/>
  <c r="H809" i="5"/>
  <c r="H810" i="5"/>
  <c r="H792" i="5"/>
  <c r="H768" i="5"/>
  <c r="H783" i="5"/>
  <c r="H815" i="5"/>
  <c r="H842" i="5"/>
  <c r="H846" i="5"/>
  <c r="H813" i="5"/>
  <c r="H760" i="5"/>
  <c r="H827" i="5"/>
  <c r="H839" i="5"/>
  <c r="H831" i="5"/>
  <c r="H845" i="5"/>
  <c r="H820" i="5"/>
  <c r="H822" i="5"/>
  <c r="H833" i="5"/>
  <c r="H795" i="5"/>
  <c r="H797" i="5"/>
  <c r="H844" i="5"/>
  <c r="H786" i="5"/>
  <c r="H803" i="5"/>
  <c r="H821" i="5"/>
  <c r="H824" i="5"/>
  <c r="H826" i="5"/>
  <c r="H804" i="5"/>
  <c r="H832" i="5"/>
  <c r="H855" i="5"/>
  <c r="H834" i="5"/>
  <c r="H838" i="5"/>
  <c r="H850" i="5"/>
  <c r="H856" i="5"/>
  <c r="H828" i="5"/>
  <c r="H757" i="5"/>
  <c r="H772" i="5"/>
  <c r="H854" i="5"/>
  <c r="H841" i="5"/>
  <c r="H836" i="5"/>
  <c r="H840" i="5"/>
  <c r="H849" i="5"/>
  <c r="H858" i="5"/>
  <c r="H848" i="5"/>
  <c r="H852" i="5"/>
  <c r="H851" i="5"/>
  <c r="H860" i="5"/>
  <c r="H859" i="5"/>
  <c r="H857" i="5"/>
  <c r="H737" i="5"/>
  <c r="H519" i="5"/>
  <c r="H512" i="5"/>
  <c r="H495" i="5"/>
  <c r="H590" i="5"/>
  <c r="H564" i="5"/>
  <c r="H490" i="5"/>
  <c r="H530" i="5"/>
  <c r="H533" i="5"/>
  <c r="H479" i="5"/>
  <c r="H515" i="5"/>
  <c r="H518" i="5"/>
  <c r="H603" i="5"/>
  <c r="H517" i="5"/>
  <c r="H600" i="5"/>
  <c r="H546" i="5"/>
  <c r="H577" i="5"/>
  <c r="H532" i="5"/>
  <c r="H542" i="5"/>
  <c r="H595" i="5"/>
  <c r="H506" i="5"/>
  <c r="H525" i="5"/>
  <c r="H496" i="5"/>
  <c r="H531" i="5"/>
  <c r="H540" i="5"/>
  <c r="H514" i="5"/>
  <c r="H563" i="5"/>
  <c r="H501" i="5"/>
  <c r="H555" i="5"/>
  <c r="H508" i="5"/>
  <c r="H560" i="5"/>
  <c r="H499" i="5"/>
  <c r="H626" i="5"/>
  <c r="H505" i="5"/>
  <c r="H574" i="5"/>
  <c r="H547" i="5"/>
  <c r="H575" i="5"/>
  <c r="H576" i="5"/>
  <c r="H511" i="5"/>
  <c r="H585" i="5"/>
  <c r="H539" i="5"/>
  <c r="H544" i="5"/>
  <c r="H502" i="5"/>
  <c r="H491" i="5"/>
  <c r="H637" i="5"/>
  <c r="H527" i="5"/>
  <c r="H566" i="5"/>
  <c r="H503" i="5"/>
  <c r="H650" i="5"/>
  <c r="H550" i="5"/>
  <c r="H551" i="5"/>
  <c r="H535" i="5"/>
  <c r="H569" i="5"/>
  <c r="H628" i="5"/>
  <c r="H548" i="5"/>
  <c r="H605" i="5"/>
  <c r="H524" i="5"/>
  <c r="H584" i="5"/>
  <c r="H537" i="5"/>
  <c r="H588" i="5"/>
  <c r="H623" i="5"/>
  <c r="H520" i="5"/>
  <c r="H602" i="5"/>
  <c r="H507" i="5"/>
  <c r="H655" i="5"/>
  <c r="H509" i="5"/>
  <c r="H594" i="5"/>
  <c r="H592" i="5"/>
  <c r="H571" i="5"/>
  <c r="H608" i="5"/>
  <c r="H556" i="5"/>
  <c r="H612" i="5"/>
  <c r="H708" i="5"/>
  <c r="H582" i="5"/>
  <c r="H688" i="5"/>
  <c r="H616" i="5"/>
  <c r="H624" i="5"/>
  <c r="H669" i="5"/>
  <c r="H632" i="5"/>
  <c r="H578" i="5"/>
  <c r="H610" i="5"/>
  <c r="H642" i="5"/>
  <c r="H674" i="5"/>
  <c r="H619" i="5"/>
  <c r="H562" i="5"/>
  <c r="H565" i="5"/>
  <c r="H598" i="5"/>
  <c r="H653" i="5"/>
  <c r="H611" i="5"/>
  <c r="H615" i="5"/>
  <c r="H639" i="5"/>
  <c r="H559" i="5"/>
  <c r="H662" i="5"/>
  <c r="H647" i="5"/>
  <c r="H649" i="5"/>
  <c r="H652" i="5"/>
  <c r="H635" i="5"/>
  <c r="H580" i="5"/>
  <c r="H613" i="5"/>
  <c r="H640" i="5"/>
  <c r="H663" i="5"/>
  <c r="H648" i="5"/>
  <c r="H630" i="5"/>
  <c r="H521" i="5"/>
  <c r="H636" i="5"/>
  <c r="H641" i="5"/>
  <c r="H689" i="5"/>
  <c r="H646" i="5"/>
  <c r="H638" i="5"/>
  <c r="H716" i="5"/>
  <c r="H660" i="5"/>
  <c r="H617" i="5"/>
  <c r="H618" i="5"/>
  <c r="H665" i="5"/>
  <c r="H670" i="5"/>
  <c r="H684" i="5"/>
  <c r="H679" i="5"/>
  <c r="H596" i="5"/>
  <c r="H678" i="5"/>
  <c r="H693" i="5"/>
  <c r="H631" i="5"/>
  <c r="H685" i="5"/>
  <c r="H591" i="5"/>
  <c r="H633" i="5"/>
  <c r="H671" i="5"/>
  <c r="H698" i="5"/>
  <c r="H686" i="5"/>
  <c r="H687" i="5"/>
  <c r="H604" i="5"/>
  <c r="H695" i="5"/>
  <c r="H711" i="5"/>
  <c r="H675" i="5"/>
  <c r="H705" i="5"/>
  <c r="H691" i="5"/>
  <c r="H597" i="5"/>
  <c r="H634" i="5"/>
  <c r="H657" i="5"/>
  <c r="H676" i="5"/>
  <c r="H680" i="5"/>
  <c r="H696" i="5"/>
  <c r="H672" i="5"/>
  <c r="H659" i="5"/>
  <c r="H654" i="5"/>
  <c r="H697" i="5"/>
  <c r="H701" i="5"/>
  <c r="H664" i="5"/>
  <c r="H651" i="5"/>
  <c r="H692" i="5"/>
  <c r="H712" i="5"/>
  <c r="H699" i="5"/>
  <c r="H702" i="5"/>
  <c r="H717" i="5"/>
  <c r="H690" i="5"/>
  <c r="H710" i="5"/>
  <c r="H694" i="5"/>
  <c r="H707" i="5"/>
  <c r="H703" i="5"/>
  <c r="H700" i="5"/>
  <c r="H714" i="5"/>
  <c r="H681" i="5"/>
  <c r="H713" i="5"/>
  <c r="H709" i="5"/>
  <c r="H706" i="5"/>
  <c r="H715" i="5"/>
  <c r="H480" i="5"/>
  <c r="H55" i="5"/>
  <c r="H105" i="5"/>
  <c r="H86" i="5"/>
  <c r="H15" i="5"/>
  <c r="H34" i="5"/>
  <c r="H77" i="5"/>
  <c r="H49" i="5"/>
  <c r="H192" i="5"/>
  <c r="H242" i="5"/>
  <c r="H36" i="5"/>
  <c r="H134" i="5"/>
  <c r="H138" i="5"/>
  <c r="H234" i="5"/>
  <c r="H97" i="5"/>
  <c r="H7" i="5"/>
  <c r="H166" i="5"/>
  <c r="H46" i="5"/>
  <c r="H14" i="5"/>
  <c r="H93" i="5"/>
  <c r="H102" i="5"/>
  <c r="H262" i="5"/>
  <c r="H169" i="5"/>
  <c r="H29" i="5"/>
  <c r="H101" i="5"/>
  <c r="H17" i="5"/>
  <c r="H162" i="5"/>
  <c r="H33" i="5"/>
  <c r="H32" i="5"/>
  <c r="H257" i="5"/>
  <c r="H126" i="5"/>
  <c r="H127" i="5"/>
  <c r="H50" i="5"/>
  <c r="H217" i="5"/>
  <c r="H42" i="5"/>
  <c r="H123" i="5"/>
  <c r="H26" i="5"/>
  <c r="H80" i="5"/>
  <c r="H288" i="5"/>
  <c r="H137" i="5"/>
  <c r="H92" i="5"/>
  <c r="H154" i="5"/>
  <c r="H251" i="5"/>
  <c r="H71" i="5"/>
  <c r="H120" i="5"/>
  <c r="H122" i="5"/>
  <c r="H51" i="5"/>
  <c r="H135" i="5"/>
  <c r="H91" i="5"/>
  <c r="H150" i="5"/>
  <c r="H191" i="5"/>
  <c r="H98" i="5"/>
  <c r="H60" i="5"/>
  <c r="H203" i="5"/>
  <c r="H176" i="5"/>
  <c r="H45" i="5"/>
  <c r="H124" i="5"/>
  <c r="H75" i="5"/>
  <c r="H186" i="5"/>
  <c r="H142" i="5"/>
  <c r="H190" i="5"/>
  <c r="H57" i="5"/>
  <c r="H374" i="5"/>
  <c r="H301" i="5"/>
  <c r="H66" i="5"/>
  <c r="H163" i="5"/>
  <c r="H213" i="5"/>
  <c r="H214" i="5"/>
  <c r="H212" i="5"/>
  <c r="H67" i="5"/>
  <c r="H220" i="5"/>
  <c r="H39" i="5"/>
  <c r="H125" i="5"/>
  <c r="H132" i="5"/>
  <c r="H131" i="5"/>
  <c r="H231" i="5"/>
  <c r="H81" i="5"/>
  <c r="H367" i="5"/>
  <c r="H28" i="5"/>
  <c r="H148" i="5"/>
  <c r="H159" i="5"/>
  <c r="H61" i="5"/>
  <c r="H207" i="5"/>
  <c r="H37" i="5"/>
  <c r="H168" i="5"/>
  <c r="H319" i="5"/>
  <c r="H356" i="5"/>
  <c r="H129" i="5"/>
  <c r="H185" i="5"/>
  <c r="H144" i="5"/>
  <c r="H85" i="5"/>
  <c r="H194" i="5"/>
  <c r="H241" i="5"/>
  <c r="H345" i="5"/>
  <c r="H62" i="5"/>
  <c r="H104" i="5"/>
  <c r="H211" i="5"/>
  <c r="H63" i="5"/>
  <c r="H215" i="5"/>
  <c r="H115" i="5"/>
  <c r="H167" i="5"/>
  <c r="H174" i="5"/>
  <c r="H170" i="5"/>
  <c r="H121" i="5"/>
  <c r="H398" i="5"/>
  <c r="H140" i="5"/>
  <c r="H197" i="5"/>
  <c r="H155" i="5"/>
  <c r="H304" i="5"/>
  <c r="H266" i="5"/>
  <c r="H164" i="5"/>
  <c r="H119" i="5"/>
  <c r="H274" i="5"/>
  <c r="H226" i="5"/>
  <c r="H84" i="5"/>
  <c r="H230" i="5"/>
  <c r="H145" i="5"/>
  <c r="H238" i="5"/>
  <c r="H188" i="5"/>
  <c r="H295" i="5"/>
  <c r="H106" i="5"/>
  <c r="H259" i="5"/>
  <c r="H161" i="5"/>
  <c r="H305" i="5"/>
  <c r="H208" i="5"/>
  <c r="H74" i="5"/>
  <c r="H355" i="5"/>
  <c r="H76" i="5"/>
  <c r="H273" i="5"/>
  <c r="H223" i="5"/>
  <c r="H337" i="5"/>
  <c r="H240" i="5"/>
  <c r="H147" i="5"/>
  <c r="H250" i="5"/>
  <c r="H248" i="5"/>
  <c r="H256" i="5"/>
  <c r="H204" i="5"/>
  <c r="H260" i="5"/>
  <c r="H271" i="5"/>
  <c r="H222" i="5"/>
  <c r="H276" i="5"/>
  <c r="H177" i="5"/>
  <c r="H277" i="5"/>
  <c r="H278" i="5"/>
  <c r="H459" i="5"/>
  <c r="H228" i="5"/>
  <c r="H136" i="5"/>
  <c r="H426" i="5"/>
  <c r="H284" i="5"/>
  <c r="H198" i="5"/>
  <c r="H297" i="5"/>
  <c r="H383" i="5"/>
  <c r="H298" i="5"/>
  <c r="H309" i="5"/>
  <c r="H311" i="5"/>
  <c r="H218" i="5"/>
  <c r="H391" i="5"/>
  <c r="H272" i="5"/>
  <c r="H397" i="5"/>
  <c r="H227" i="5"/>
  <c r="H327" i="5"/>
  <c r="H401" i="5"/>
  <c r="H289" i="5"/>
  <c r="H189" i="5"/>
  <c r="H290" i="5"/>
  <c r="H193" i="5"/>
  <c r="H152" i="5"/>
  <c r="H254" i="5"/>
  <c r="H351" i="5"/>
  <c r="H112" i="5"/>
  <c r="H275" i="5"/>
  <c r="H282" i="5"/>
  <c r="H321" i="5"/>
  <c r="H184" i="5"/>
  <c r="H373" i="5"/>
  <c r="H339" i="5"/>
  <c r="H341" i="5"/>
  <c r="H343" i="5"/>
  <c r="H350" i="5"/>
  <c r="H384" i="5"/>
  <c r="H352" i="5"/>
  <c r="H316" i="5"/>
  <c r="H224" i="5"/>
  <c r="H279" i="5"/>
  <c r="H322" i="5"/>
  <c r="H281" i="5"/>
  <c r="H283" i="5"/>
  <c r="H375" i="5"/>
  <c r="H340" i="5"/>
  <c r="H308" i="5"/>
  <c r="H109" i="5"/>
  <c r="H317" i="5"/>
  <c r="H395" i="5"/>
  <c r="H325" i="5"/>
  <c r="H324" i="5"/>
  <c r="H328" i="5"/>
  <c r="H364" i="5"/>
  <c r="H427" i="5"/>
  <c r="H237" i="5"/>
  <c r="H244" i="5"/>
  <c r="H371" i="5"/>
  <c r="H334" i="5"/>
  <c r="H293" i="5"/>
  <c r="H320" i="5"/>
  <c r="H471" i="5"/>
  <c r="H394" i="5"/>
  <c r="H286" i="5"/>
  <c r="H365" i="5"/>
  <c r="H287" i="5"/>
  <c r="H377" i="5"/>
  <c r="H202" i="5"/>
  <c r="H261" i="5"/>
  <c r="H413" i="5"/>
  <c r="H312" i="5"/>
  <c r="H385" i="5"/>
  <c r="H171" i="5"/>
  <c r="H357" i="5"/>
  <c r="H326" i="5"/>
  <c r="H424" i="5"/>
  <c r="H232" i="5"/>
  <c r="H331" i="5"/>
  <c r="H338" i="5"/>
  <c r="H409" i="5"/>
  <c r="H253" i="5"/>
  <c r="H410" i="5"/>
  <c r="H435" i="5"/>
  <c r="H263" i="5"/>
  <c r="H310" i="5"/>
  <c r="H318" i="5"/>
  <c r="H444" i="5"/>
  <c r="H358" i="5"/>
  <c r="H366" i="5"/>
  <c r="H423" i="5"/>
  <c r="H245" i="5"/>
  <c r="H411" i="5"/>
  <c r="H380" i="5"/>
  <c r="H313" i="5"/>
  <c r="H417" i="5"/>
  <c r="H390" i="5"/>
  <c r="H442" i="5"/>
  <c r="H443" i="5"/>
  <c r="H422" i="5"/>
  <c r="H451" i="5"/>
  <c r="H425" i="5"/>
  <c r="H346" i="5"/>
  <c r="H107" i="5"/>
  <c r="H264" i="5"/>
  <c r="H463" i="5"/>
  <c r="H439" i="5"/>
  <c r="H452" i="5"/>
  <c r="H400" i="5"/>
  <c r="H149" i="5"/>
  <c r="H335" i="5"/>
  <c r="H431" i="5"/>
  <c r="H252" i="5"/>
  <c r="H433" i="5"/>
  <c r="H314" i="5"/>
  <c r="H387" i="5"/>
  <c r="H360" i="5"/>
  <c r="H404" i="5"/>
  <c r="H372" i="5"/>
  <c r="H412" i="5"/>
  <c r="H386" i="5"/>
  <c r="H441" i="5"/>
  <c r="H388" i="5"/>
  <c r="H393" i="5"/>
  <c r="H363" i="5"/>
  <c r="H402" i="5"/>
  <c r="H408" i="5"/>
  <c r="H428" i="5"/>
  <c r="H354" i="5"/>
  <c r="H440" i="5"/>
  <c r="H389" i="5"/>
  <c r="H447" i="5"/>
  <c r="H460" i="5"/>
  <c r="H405" i="5"/>
  <c r="H344" i="5"/>
  <c r="H376" i="5"/>
  <c r="H437" i="5"/>
  <c r="H418" i="5"/>
  <c r="H368" i="5"/>
  <c r="H347" i="5"/>
  <c r="H415" i="5"/>
  <c r="H432" i="5"/>
  <c r="H445" i="5"/>
  <c r="H464" i="5"/>
  <c r="H448" i="5"/>
  <c r="H472" i="5"/>
  <c r="H430" i="5"/>
  <c r="H462" i="5"/>
  <c r="H456" i="5"/>
  <c r="H436" i="5"/>
  <c r="H457" i="5"/>
  <c r="H449" i="5"/>
  <c r="H446" i="5"/>
  <c r="H468" i="5"/>
  <c r="H466" i="5"/>
  <c r="H416" i="5"/>
  <c r="H455" i="5"/>
  <c r="H467" i="5"/>
  <c r="H461" i="5"/>
  <c r="H453" i="5"/>
  <c r="H470" i="5"/>
  <c r="H469" i="5"/>
  <c r="H465" i="5"/>
  <c r="H458" i="5"/>
  <c r="H438" i="5"/>
  <c r="H473" i="5"/>
  <c r="H474" i="5"/>
  <c r="H8" i="5"/>
  <c r="I925" i="4"/>
  <c r="I927" i="4"/>
  <c r="I928" i="4"/>
  <c r="I931" i="4"/>
  <c r="I934" i="4"/>
  <c r="I933" i="4"/>
  <c r="I935" i="4"/>
  <c r="I936" i="4"/>
  <c r="I943" i="4"/>
  <c r="I941" i="4"/>
  <c r="I939" i="4"/>
  <c r="I944" i="4"/>
  <c r="I949" i="4"/>
  <c r="I940" i="4"/>
  <c r="I946" i="4"/>
  <c r="I951" i="4"/>
  <c r="I945" i="4"/>
  <c r="I952" i="4"/>
  <c r="I957" i="4"/>
  <c r="I953" i="4"/>
  <c r="I954" i="4"/>
  <c r="I958" i="4"/>
  <c r="I956" i="4"/>
  <c r="I959" i="4"/>
  <c r="I960" i="4"/>
  <c r="I961" i="4"/>
  <c r="I962" i="4"/>
  <c r="I963" i="4"/>
  <c r="I924" i="4"/>
  <c r="I900" i="4"/>
  <c r="I905" i="4"/>
  <c r="I902" i="4"/>
  <c r="I903" i="4"/>
  <c r="I907" i="4"/>
  <c r="I908" i="4"/>
  <c r="I913" i="4"/>
  <c r="I916" i="4"/>
  <c r="I918" i="4"/>
  <c r="I919" i="4"/>
  <c r="I897" i="4"/>
  <c r="I868" i="4"/>
  <c r="I865" i="4"/>
  <c r="I867" i="4"/>
  <c r="I869" i="4"/>
  <c r="I876" i="4"/>
  <c r="I872" i="4"/>
  <c r="I877" i="4"/>
  <c r="I873" i="4"/>
  <c r="I884" i="4"/>
  <c r="I874" i="4"/>
  <c r="I882" i="4"/>
  <c r="I889" i="4"/>
  <c r="I890" i="4"/>
  <c r="I892" i="4"/>
  <c r="I891" i="4"/>
  <c r="I866" i="4"/>
  <c r="I860" i="4"/>
  <c r="I739" i="4"/>
  <c r="I734" i="4"/>
  <c r="I725" i="4"/>
  <c r="I740" i="4"/>
  <c r="I749" i="4"/>
  <c r="I741" i="4"/>
  <c r="I742" i="4"/>
  <c r="I743" i="4"/>
  <c r="I744" i="4"/>
  <c r="I750" i="4"/>
  <c r="I751" i="4"/>
  <c r="I726" i="4"/>
  <c r="I773" i="4"/>
  <c r="I774" i="4"/>
  <c r="I757" i="4"/>
  <c r="I758" i="4"/>
  <c r="I728" i="4"/>
  <c r="I752" i="4"/>
  <c r="I759" i="4"/>
  <c r="I780" i="4"/>
  <c r="I745" i="4"/>
  <c r="I797" i="4"/>
  <c r="I775" i="4"/>
  <c r="I798" i="4"/>
  <c r="I760" i="4"/>
  <c r="I753" i="4"/>
  <c r="I781" i="4"/>
  <c r="I761" i="4"/>
  <c r="I782" i="4"/>
  <c r="I762" i="4"/>
  <c r="I763" i="4"/>
  <c r="I764" i="4"/>
  <c r="I776" i="4"/>
  <c r="I783" i="4"/>
  <c r="I765" i="4"/>
  <c r="I810" i="4"/>
  <c r="I784" i="4"/>
  <c r="I799" i="4"/>
  <c r="I785" i="4"/>
  <c r="I786" i="4"/>
  <c r="I811" i="4"/>
  <c r="I787" i="4"/>
  <c r="I788" i="4"/>
  <c r="I819" i="4"/>
  <c r="I766" i="4"/>
  <c r="I800" i="4"/>
  <c r="I767" i="4"/>
  <c r="I789" i="4"/>
  <c r="I801" i="4"/>
  <c r="I812" i="4"/>
  <c r="I790" i="4"/>
  <c r="I802" i="4"/>
  <c r="I803" i="4"/>
  <c r="I813" i="4"/>
  <c r="I804" i="4"/>
  <c r="I820" i="4"/>
  <c r="I821" i="4"/>
  <c r="I827" i="4"/>
  <c r="I814" i="4"/>
  <c r="I840" i="4"/>
  <c r="I828" i="4"/>
  <c r="I829" i="4"/>
  <c r="I830" i="4"/>
  <c r="I837" i="4"/>
  <c r="I831" i="4"/>
  <c r="I841" i="4"/>
  <c r="I832" i="4"/>
  <c r="I815" i="4"/>
  <c r="I833" i="4"/>
  <c r="I822" i="4"/>
  <c r="I853" i="4"/>
  <c r="I854" i="4"/>
  <c r="I834" i="4"/>
  <c r="I835" i="4"/>
  <c r="I824" i="4"/>
  <c r="I842" i="4"/>
  <c r="I843" i="4"/>
  <c r="I846" i="4"/>
  <c r="I847" i="4"/>
  <c r="I848" i="4"/>
  <c r="I838" i="4"/>
  <c r="I850" i="4"/>
  <c r="I851" i="4"/>
  <c r="I852" i="4"/>
  <c r="I836" i="4"/>
  <c r="I858" i="4"/>
  <c r="I859" i="4"/>
  <c r="I722" i="4"/>
  <c r="I499" i="4"/>
  <c r="I481" i="4"/>
  <c r="I482" i="4"/>
  <c r="I483" i="4"/>
  <c r="I500" i="4"/>
  <c r="I491" i="4"/>
  <c r="I479" i="4"/>
  <c r="I558" i="4"/>
  <c r="I506" i="4"/>
  <c r="I492" i="4"/>
  <c r="I507" i="4"/>
  <c r="I517" i="4"/>
  <c r="I508" i="4"/>
  <c r="I484" i="4"/>
  <c r="I509" i="4"/>
  <c r="I526" i="4"/>
  <c r="I527" i="4"/>
  <c r="I559" i="4"/>
  <c r="I533" i="4"/>
  <c r="I510" i="4"/>
  <c r="I534" i="4"/>
  <c r="I548" i="4"/>
  <c r="I528" i="4"/>
  <c r="I535" i="4"/>
  <c r="I518" i="4"/>
  <c r="I549" i="4"/>
  <c r="I560" i="4"/>
  <c r="I573" i="4"/>
  <c r="I536" i="4"/>
  <c r="I537" i="4"/>
  <c r="I561" i="4"/>
  <c r="I529" i="4"/>
  <c r="I538" i="4"/>
  <c r="I574" i="4"/>
  <c r="I539" i="4"/>
  <c r="I550" i="4"/>
  <c r="I540" i="4"/>
  <c r="I530" i="4"/>
  <c r="I562" i="4"/>
  <c r="I541" i="4"/>
  <c r="I575" i="4"/>
  <c r="I590" i="4"/>
  <c r="I563" i="4"/>
  <c r="I576" i="4"/>
  <c r="I577" i="4"/>
  <c r="I591" i="4"/>
  <c r="I564" i="4"/>
  <c r="I611" i="4"/>
  <c r="I578" i="4"/>
  <c r="I612" i="4"/>
  <c r="I551" i="4"/>
  <c r="I565" i="4"/>
  <c r="I613" i="4"/>
  <c r="I579" i="4"/>
  <c r="I592" i="4"/>
  <c r="I580" i="4"/>
  <c r="I552" i="4"/>
  <c r="I646" i="4"/>
  <c r="I581" i="4"/>
  <c r="I582" i="4"/>
  <c r="I631" i="4"/>
  <c r="I593" i="4"/>
  <c r="I594" i="4"/>
  <c r="I595" i="4"/>
  <c r="I614" i="4"/>
  <c r="I596" i="4"/>
  <c r="I615" i="4"/>
  <c r="I566" i="4"/>
  <c r="I647" i="4"/>
  <c r="I597" i="4"/>
  <c r="I616" i="4"/>
  <c r="I519" i="4"/>
  <c r="I598" i="4"/>
  <c r="I632" i="4"/>
  <c r="I633" i="4"/>
  <c r="I599" i="4"/>
  <c r="I567" i="4"/>
  <c r="I648" i="4"/>
  <c r="I634" i="4"/>
  <c r="I635" i="4"/>
  <c r="I542" i="4"/>
  <c r="I568" i="4"/>
  <c r="I600" i="4"/>
  <c r="I617" i="4"/>
  <c r="I636" i="4"/>
  <c r="I618" i="4"/>
  <c r="I663" i="4"/>
  <c r="I619" i="4"/>
  <c r="I620" i="4"/>
  <c r="I637" i="4"/>
  <c r="I649" i="4"/>
  <c r="I621" i="4"/>
  <c r="I622" i="4"/>
  <c r="I650" i="4"/>
  <c r="I601" i="4"/>
  <c r="I638" i="4"/>
  <c r="I651" i="4"/>
  <c r="I681" i="4"/>
  <c r="I652" i="4"/>
  <c r="I653" i="4"/>
  <c r="I639" i="4"/>
  <c r="I602" i="4"/>
  <c r="I623" i="4"/>
  <c r="I670" i="4"/>
  <c r="I664" i="4"/>
  <c r="I654" i="4"/>
  <c r="I543" i="4"/>
  <c r="I655" i="4"/>
  <c r="I603" i="4"/>
  <c r="I665" i="4"/>
  <c r="I656" i="4"/>
  <c r="I671" i="4"/>
  <c r="I657" i="4"/>
  <c r="I640" i="4"/>
  <c r="I658" i="4"/>
  <c r="I682" i="4"/>
  <c r="I677" i="4"/>
  <c r="I659" i="4"/>
  <c r="I660" i="4"/>
  <c r="I672" i="4"/>
  <c r="I661" i="4"/>
  <c r="I666" i="4"/>
  <c r="I641" i="4"/>
  <c r="I642" i="4"/>
  <c r="I667" i="4"/>
  <c r="I668" i="4"/>
  <c r="I690" i="4"/>
  <c r="I683" i="4"/>
  <c r="I678" i="4"/>
  <c r="I669" i="4"/>
  <c r="I673" i="4"/>
  <c r="I699" i="4"/>
  <c r="I691" i="4"/>
  <c r="I493" i="4"/>
  <c r="I695" i="4"/>
  <c r="I684" i="4"/>
  <c r="I679" i="4"/>
  <c r="I692" i="4"/>
  <c r="I696" i="4"/>
  <c r="I700" i="4"/>
  <c r="I685" i="4"/>
  <c r="I686" i="4"/>
  <c r="I687" i="4"/>
  <c r="I697" i="4"/>
  <c r="I701" i="4"/>
  <c r="I702" i="4"/>
  <c r="I711" i="4"/>
  <c r="I693" i="4"/>
  <c r="I703" i="4"/>
  <c r="I704" i="4"/>
  <c r="I680" i="4"/>
  <c r="I707" i="4"/>
  <c r="I708" i="4"/>
  <c r="I705" i="4"/>
  <c r="I698" i="4"/>
  <c r="I712" i="4"/>
  <c r="I709" i="4"/>
  <c r="I706" i="4"/>
  <c r="I716" i="4"/>
  <c r="I713" i="4"/>
  <c r="I715" i="4"/>
  <c r="I714" i="4"/>
  <c r="I717" i="4"/>
  <c r="I480" i="4"/>
  <c r="I8" i="4"/>
  <c r="I33" i="4"/>
  <c r="I9" i="4"/>
  <c r="I12" i="4"/>
  <c r="I13" i="4"/>
  <c r="I10" i="4"/>
  <c r="I34" i="4"/>
  <c r="I35" i="4"/>
  <c r="I21" i="4"/>
  <c r="I22" i="4"/>
  <c r="I36" i="4"/>
  <c r="I6" i="4"/>
  <c r="I150" i="4"/>
  <c r="I49" i="4"/>
  <c r="I64" i="4"/>
  <c r="I11" i="4"/>
  <c r="I65" i="4"/>
  <c r="I97" i="4"/>
  <c r="I37" i="4"/>
  <c r="I50" i="4"/>
  <c r="I23" i="4"/>
  <c r="I24" i="4"/>
  <c r="I98" i="4"/>
  <c r="I83" i="4"/>
  <c r="I14" i="4"/>
  <c r="I128" i="4"/>
  <c r="I66" i="4"/>
  <c r="I67" i="4"/>
  <c r="I51" i="4"/>
  <c r="I52" i="4"/>
  <c r="I38" i="4"/>
  <c r="I129" i="4"/>
  <c r="I99" i="4"/>
  <c r="I100" i="4"/>
  <c r="I84" i="4"/>
  <c r="I101" i="4"/>
  <c r="I102" i="4"/>
  <c r="I103" i="4"/>
  <c r="I151" i="4"/>
  <c r="I85" i="4"/>
  <c r="I104" i="4"/>
  <c r="I130" i="4"/>
  <c r="I68" i="4"/>
  <c r="I105" i="4"/>
  <c r="I106" i="4"/>
  <c r="I86" i="4"/>
  <c r="I131" i="4"/>
  <c r="I107" i="4"/>
  <c r="I132" i="4"/>
  <c r="I53" i="4"/>
  <c r="I133" i="4"/>
  <c r="I87" i="4"/>
  <c r="I39" i="4"/>
  <c r="I187" i="4"/>
  <c r="I108" i="4"/>
  <c r="I109" i="4"/>
  <c r="I188" i="4"/>
  <c r="I152" i="4"/>
  <c r="I153" i="4"/>
  <c r="I154" i="4"/>
  <c r="I155" i="4"/>
  <c r="I134" i="4"/>
  <c r="I54" i="4"/>
  <c r="I189" i="4"/>
  <c r="I110" i="4"/>
  <c r="I88" i="4"/>
  <c r="I69" i="4"/>
  <c r="I111" i="4"/>
  <c r="I135" i="4"/>
  <c r="I136" i="4"/>
  <c r="I190" i="4"/>
  <c r="I112" i="4"/>
  <c r="I156" i="4"/>
  <c r="I89" i="4"/>
  <c r="I157" i="4"/>
  <c r="I214" i="4"/>
  <c r="I158" i="4"/>
  <c r="I215" i="4"/>
  <c r="I113" i="4"/>
  <c r="I159" i="4"/>
  <c r="I260" i="4"/>
  <c r="I191" i="4"/>
  <c r="I114" i="4"/>
  <c r="I160" i="4"/>
  <c r="I115" i="4"/>
  <c r="I216" i="4"/>
  <c r="I192" i="4"/>
  <c r="I193" i="4"/>
  <c r="I217" i="4"/>
  <c r="I194" i="4"/>
  <c r="I161" i="4"/>
  <c r="I162" i="4"/>
  <c r="I218" i="4"/>
  <c r="I261" i="4"/>
  <c r="I262" i="4"/>
  <c r="I163" i="4"/>
  <c r="I195" i="4"/>
  <c r="I219" i="4"/>
  <c r="I196" i="4"/>
  <c r="I197" i="4"/>
  <c r="I263" i="4"/>
  <c r="I137" i="4"/>
  <c r="I138" i="4"/>
  <c r="I164" i="4"/>
  <c r="I220" i="4"/>
  <c r="I264" i="4"/>
  <c r="I165" i="4"/>
  <c r="I166" i="4"/>
  <c r="I329" i="4"/>
  <c r="I198" i="4"/>
  <c r="I139" i="4"/>
  <c r="I221" i="4"/>
  <c r="I199" i="4"/>
  <c r="I167" i="4"/>
  <c r="I168" i="4"/>
  <c r="I222" i="4"/>
  <c r="I223" i="4"/>
  <c r="I299" i="4"/>
  <c r="I224" i="4"/>
  <c r="I225" i="4"/>
  <c r="I200" i="4"/>
  <c r="I201" i="4"/>
  <c r="I226" i="4"/>
  <c r="I300" i="4"/>
  <c r="I265" i="4"/>
  <c r="I266" i="4"/>
  <c r="I70" i="4"/>
  <c r="I202" i="4"/>
  <c r="I227" i="4"/>
  <c r="I228" i="4"/>
  <c r="I229" i="4"/>
  <c r="I230" i="4"/>
  <c r="I267" i="4"/>
  <c r="I330" i="4"/>
  <c r="I331" i="4"/>
  <c r="I231" i="4"/>
  <c r="I71" i="4"/>
  <c r="I268" i="4"/>
  <c r="I232" i="4"/>
  <c r="I233" i="4"/>
  <c r="I234" i="4"/>
  <c r="I235" i="4"/>
  <c r="I236" i="4"/>
  <c r="I269" i="4"/>
  <c r="I169" i="4"/>
  <c r="I301" i="4"/>
  <c r="I170" i="4"/>
  <c r="I302" i="4"/>
  <c r="I303" i="4"/>
  <c r="I171" i="4"/>
  <c r="I332" i="4"/>
  <c r="I237" i="4"/>
  <c r="I304" i="4"/>
  <c r="I238" i="4"/>
  <c r="I356" i="4"/>
  <c r="I305" i="4"/>
  <c r="I172" i="4"/>
  <c r="I270" i="4"/>
  <c r="I173" i="4"/>
  <c r="I271" i="4"/>
  <c r="I239" i="4"/>
  <c r="I357" i="4"/>
  <c r="I272" i="4"/>
  <c r="I116" i="4"/>
  <c r="I273" i="4"/>
  <c r="I274" i="4"/>
  <c r="I240" i="4"/>
  <c r="I306" i="4"/>
  <c r="I241" i="4"/>
  <c r="I307" i="4"/>
  <c r="I308" i="4"/>
  <c r="I309" i="4"/>
  <c r="I333" i="4"/>
  <c r="I275" i="4"/>
  <c r="I276" i="4"/>
  <c r="I334" i="4"/>
  <c r="I310" i="4"/>
  <c r="I277" i="4"/>
  <c r="I278" i="4"/>
  <c r="I335" i="4"/>
  <c r="I399" i="4"/>
  <c r="I336" i="4"/>
  <c r="I337" i="4"/>
  <c r="I242" i="4"/>
  <c r="I311" i="4"/>
  <c r="I279" i="4"/>
  <c r="I338" i="4"/>
  <c r="I339" i="4"/>
  <c r="I312" i="4"/>
  <c r="I370" i="4"/>
  <c r="I340" i="4"/>
  <c r="I243" i="4"/>
  <c r="I371" i="4"/>
  <c r="I341" i="4"/>
  <c r="I280" i="4"/>
  <c r="I313" i="4"/>
  <c r="I358" i="4"/>
  <c r="I372" i="4"/>
  <c r="I342" i="4"/>
  <c r="I117" i="4"/>
  <c r="I314" i="4"/>
  <c r="I343" i="4"/>
  <c r="I400" i="4"/>
  <c r="I359" i="4"/>
  <c r="I373" i="4"/>
  <c r="I374" i="4"/>
  <c r="I344" i="4"/>
  <c r="I244" i="4"/>
  <c r="I360" i="4"/>
  <c r="I375" i="4"/>
  <c r="I315" i="4"/>
  <c r="I345" i="4"/>
  <c r="I391" i="4"/>
  <c r="I316" i="4"/>
  <c r="I401" i="4"/>
  <c r="I402" i="4"/>
  <c r="I376" i="4"/>
  <c r="I403" i="4"/>
  <c r="I346" i="4"/>
  <c r="I347" i="4"/>
  <c r="I361" i="4"/>
  <c r="I377" i="4"/>
  <c r="I392" i="4"/>
  <c r="I417" i="4"/>
  <c r="I378" i="4"/>
  <c r="I362" i="4"/>
  <c r="I348" i="4"/>
  <c r="I317" i="4"/>
  <c r="I349" i="4"/>
  <c r="I393" i="4"/>
  <c r="I379" i="4"/>
  <c r="I363" i="4"/>
  <c r="I380" i="4"/>
  <c r="I318" i="4"/>
  <c r="I350" i="4"/>
  <c r="I351" i="4"/>
  <c r="I456" i="4"/>
  <c r="I457" i="4"/>
  <c r="I319" i="4"/>
  <c r="I364" i="4"/>
  <c r="I381" i="4"/>
  <c r="I365" i="4"/>
  <c r="I366" i="4"/>
  <c r="I367" i="4"/>
  <c r="I382" i="4"/>
  <c r="I418" i="4"/>
  <c r="I394" i="4"/>
  <c r="I439" i="4"/>
  <c r="I404" i="4"/>
  <c r="I383" i="4"/>
  <c r="I419" i="4"/>
  <c r="I405" i="4"/>
  <c r="I406" i="4"/>
  <c r="I407" i="4"/>
  <c r="I395" i="4"/>
  <c r="I420" i="4"/>
  <c r="I421" i="4"/>
  <c r="I422" i="4"/>
  <c r="I25" i="4"/>
  <c r="I432" i="4"/>
  <c r="I423" i="4"/>
  <c r="I424" i="4"/>
  <c r="I408" i="4"/>
  <c r="I409" i="4"/>
  <c r="I433" i="4"/>
  <c r="I425" i="4"/>
  <c r="I440" i="4"/>
  <c r="I410" i="4"/>
  <c r="I434" i="4"/>
  <c r="I435" i="4"/>
  <c r="I411" i="4"/>
  <c r="I436" i="4"/>
  <c r="I449" i="4"/>
  <c r="I396" i="4"/>
  <c r="I437" i="4"/>
  <c r="I441" i="4"/>
  <c r="I426" i="4"/>
  <c r="I427" i="4"/>
  <c r="I458" i="4"/>
  <c r="I442" i="4"/>
  <c r="I428" i="4"/>
  <c r="I443" i="4"/>
  <c r="I444" i="4"/>
  <c r="I450" i="4"/>
  <c r="I397" i="4"/>
  <c r="I451" i="4"/>
  <c r="I452" i="4"/>
  <c r="I445" i="4"/>
  <c r="I446" i="4"/>
  <c r="I459" i="4"/>
  <c r="I438" i="4"/>
  <c r="I447" i="4"/>
  <c r="I453" i="4"/>
  <c r="I448" i="4"/>
  <c r="I454" i="4"/>
  <c r="I460" i="4"/>
  <c r="I467" i="4"/>
  <c r="I463" i="4"/>
  <c r="I464" i="4"/>
  <c r="I461" i="4"/>
  <c r="I468" i="4"/>
  <c r="I384" i="4"/>
  <c r="I472" i="4"/>
  <c r="I469" i="4"/>
  <c r="I471" i="4"/>
  <c r="I473" i="4"/>
  <c r="I474" i="4"/>
  <c r="I470" i="4"/>
  <c r="I7" i="4"/>
  <c r="G1" i="5"/>
  <c r="I41" i="5" s="1"/>
  <c r="G965" i="5"/>
  <c r="F965" i="5"/>
  <c r="G921" i="5"/>
  <c r="F921" i="5"/>
  <c r="G894" i="5"/>
  <c r="F894" i="5"/>
  <c r="G862" i="5"/>
  <c r="F862" i="5"/>
  <c r="G719" i="5"/>
  <c r="F719" i="5"/>
  <c r="G476" i="5"/>
  <c r="F476" i="5"/>
  <c r="G1" i="4"/>
  <c r="H965" i="4"/>
  <c r="G965" i="4"/>
  <c r="F965" i="4"/>
  <c r="H921" i="4"/>
  <c r="G921" i="4"/>
  <c r="F921" i="4"/>
  <c r="H894" i="4"/>
  <c r="G894" i="4"/>
  <c r="F894" i="4"/>
  <c r="H862" i="4"/>
  <c r="G862" i="4"/>
  <c r="F862" i="4"/>
  <c r="H719" i="4"/>
  <c r="G719" i="4"/>
  <c r="F719" i="4"/>
  <c r="H476" i="4"/>
  <c r="G476" i="4"/>
  <c r="F476" i="4"/>
  <c r="G965" i="1"/>
  <c r="H965" i="1"/>
  <c r="I965" i="1"/>
  <c r="J965" i="1"/>
  <c r="K965" i="1"/>
  <c r="F965" i="1"/>
  <c r="G921" i="1"/>
  <c r="H921" i="1"/>
  <c r="I921" i="1"/>
  <c r="J921" i="1"/>
  <c r="K921" i="1"/>
  <c r="F921" i="1"/>
  <c r="G894" i="1"/>
  <c r="H894" i="1"/>
  <c r="I894" i="1"/>
  <c r="J894" i="1"/>
  <c r="K894" i="1"/>
  <c r="F894" i="1"/>
  <c r="G862" i="1"/>
  <c r="H862" i="1"/>
  <c r="I862" i="1"/>
  <c r="J862" i="1"/>
  <c r="F862" i="1"/>
  <c r="G719" i="1"/>
  <c r="H719" i="1"/>
  <c r="I719" i="1"/>
  <c r="J719" i="1"/>
  <c r="F719" i="1"/>
  <c r="K811" i="1"/>
  <c r="K862" i="1" s="1"/>
  <c r="K716" i="1"/>
  <c r="K513" i="1"/>
  <c r="G1" i="1"/>
  <c r="L55" i="1" s="1"/>
  <c r="A96" i="4" l="1"/>
  <c r="A82" i="4"/>
  <c r="A733" i="4"/>
  <c r="A738" i="4"/>
  <c r="I118" i="5"/>
  <c r="I731" i="5"/>
  <c r="L72" i="1"/>
  <c r="L730" i="1"/>
  <c r="I23" i="5"/>
  <c r="I762" i="5"/>
  <c r="L9" i="1"/>
  <c r="L733" i="1"/>
  <c r="A20" i="4"/>
  <c r="A490" i="4"/>
  <c r="I117" i="5"/>
  <c r="I486" i="5"/>
  <c r="L198" i="1"/>
  <c r="L480" i="1"/>
  <c r="A899" i="4"/>
  <c r="A149" i="4"/>
  <c r="A48" i="4"/>
  <c r="A259" i="4"/>
  <c r="A610" i="4"/>
  <c r="A557" i="4"/>
  <c r="I116" i="5"/>
  <c r="I523" i="5"/>
  <c r="L46" i="1"/>
  <c r="L575" i="1"/>
  <c r="I173" i="5"/>
  <c r="I906" i="5"/>
  <c r="L152" i="1"/>
  <c r="L900" i="1"/>
  <c r="I73" i="5"/>
  <c r="I553" i="5"/>
  <c r="L197" i="1"/>
  <c r="L554" i="1"/>
  <c r="A912" i="4"/>
  <c r="A298" i="4"/>
  <c r="A297" i="4"/>
  <c r="A186" i="4"/>
  <c r="A572" i="4"/>
  <c r="A809" i="4"/>
  <c r="I270" i="5"/>
  <c r="I903" i="5"/>
  <c r="L217" i="1"/>
  <c r="L907" i="1"/>
  <c r="I40" i="5"/>
  <c r="I609" i="5"/>
  <c r="L175" i="1"/>
  <c r="L587" i="1"/>
  <c r="I72" i="5"/>
  <c r="I730" i="5"/>
  <c r="L760" i="1"/>
  <c r="L768" i="1"/>
  <c r="A213" i="4"/>
  <c r="A779" i="4"/>
  <c r="I43" i="5"/>
  <c r="I742" i="5"/>
  <c r="A212" i="4"/>
  <c r="A589" i="4"/>
  <c r="I44" i="5"/>
  <c r="I493" i="5"/>
  <c r="L538" i="1"/>
  <c r="L124" i="1"/>
  <c r="A211" i="4"/>
  <c r="A588" i="4"/>
  <c r="I178" i="5"/>
  <c r="I494" i="5"/>
  <c r="L933" i="1"/>
  <c r="L541" i="1"/>
  <c r="A930" i="4"/>
  <c r="A756" i="4"/>
  <c r="A148" i="4"/>
  <c r="I280" i="5"/>
  <c r="I938" i="5"/>
  <c r="A147" i="4"/>
  <c r="A32" i="4"/>
  <c r="A498" i="4"/>
  <c r="I743" i="5"/>
  <c r="I614" i="5"/>
  <c r="L516" i="1"/>
  <c r="L76" i="1"/>
  <c r="I396" i="5"/>
  <c r="I78" i="5"/>
  <c r="A849" i="4"/>
  <c r="L103" i="1"/>
  <c r="L746" i="1"/>
  <c r="A431" i="4"/>
  <c r="I128" i="5"/>
  <c r="I847" i="5"/>
  <c r="L848" i="1"/>
  <c r="L425" i="1"/>
  <c r="A63" i="4"/>
  <c r="A146" i="4"/>
  <c r="A556" i="4"/>
  <c r="A516" i="4"/>
  <c r="I12" i="5"/>
  <c r="I526" i="5"/>
  <c r="L509" i="1"/>
  <c r="L58" i="1"/>
  <c r="I528" i="5"/>
  <c r="I482" i="5"/>
  <c r="L508" i="1"/>
  <c r="L57" i="1"/>
  <c r="A875" i="4"/>
  <c r="A95" i="4"/>
  <c r="A258" i="4"/>
  <c r="A145" i="4"/>
  <c r="A555" i="4"/>
  <c r="A796" i="4"/>
  <c r="I777" i="5"/>
  <c r="I130" i="5"/>
  <c r="L129" i="1"/>
  <c r="L542" i="1"/>
  <c r="I869" i="5"/>
  <c r="I180" i="5"/>
  <c r="L220" i="1"/>
  <c r="L784" i="1"/>
  <c r="I421" i="5"/>
  <c r="I48" i="5"/>
  <c r="L59" i="1"/>
  <c r="L872" i="1"/>
  <c r="A296" i="4"/>
  <c r="A911" i="4"/>
  <c r="I52" i="5"/>
  <c r="I919" i="5"/>
  <c r="L915" i="1"/>
  <c r="L349" i="1"/>
  <c r="A47" i="4"/>
  <c r="A505" i="4"/>
  <c r="I83" i="5"/>
  <c r="I497" i="5"/>
  <c r="L493" i="1"/>
  <c r="L29" i="1"/>
  <c r="A46" i="4"/>
  <c r="A870" i="4"/>
  <c r="I27" i="5"/>
  <c r="I873" i="5"/>
  <c r="L867" i="1"/>
  <c r="L36" i="1"/>
  <c r="A127" i="4"/>
  <c r="A904" i="4"/>
  <c r="I233" i="5"/>
  <c r="I900" i="5"/>
  <c r="L901" i="1"/>
  <c r="L60" i="1"/>
  <c r="A772" i="4"/>
  <c r="A185" i="4"/>
  <c r="I187" i="5"/>
  <c r="I794" i="5"/>
  <c r="L780" i="1"/>
  <c r="L202" i="1"/>
  <c r="A62" i="4"/>
  <c r="A210" i="4"/>
  <c r="A45" i="4"/>
  <c r="A515" i="4"/>
  <c r="A504" i="4"/>
  <c r="A587" i="4"/>
  <c r="I235" i="5"/>
  <c r="I561" i="5"/>
  <c r="L511" i="1"/>
  <c r="L62" i="1"/>
  <c r="I141" i="5"/>
  <c r="I586" i="5"/>
  <c r="L591" i="1"/>
  <c r="L225" i="1"/>
  <c r="L510" i="1"/>
  <c r="L61" i="1"/>
  <c r="I88" i="5"/>
  <c r="I536" i="5"/>
  <c r="A19" i="4"/>
  <c r="A489" i="4"/>
  <c r="I236" i="5"/>
  <c r="I513" i="5"/>
  <c r="L486" i="1"/>
  <c r="L21" i="1"/>
  <c r="A94" i="4"/>
  <c r="A31" i="4"/>
  <c r="A209" i="4"/>
  <c r="A126" i="4"/>
  <c r="A586" i="4"/>
  <c r="A532" i="4"/>
  <c r="A748" i="4"/>
  <c r="A724" i="4"/>
  <c r="I332" i="5"/>
  <c r="I587" i="5"/>
  <c r="L132" i="1"/>
  <c r="L544" i="1"/>
  <c r="I89" i="5"/>
  <c r="I644" i="5"/>
  <c r="L616" i="1"/>
  <c r="L273" i="1"/>
  <c r="I143" i="5"/>
  <c r="I748" i="5"/>
  <c r="L726" i="1"/>
  <c r="L31" i="1"/>
  <c r="I90" i="5"/>
  <c r="I770" i="5"/>
  <c r="L747" i="1"/>
  <c r="L108" i="1"/>
  <c r="A755" i="4"/>
  <c r="A144" i="4"/>
  <c r="I146" i="5"/>
  <c r="I749" i="5"/>
  <c r="L748" i="1"/>
  <c r="L109" i="1"/>
  <c r="A328" i="4"/>
  <c r="A645" i="4"/>
  <c r="I243" i="5"/>
  <c r="I538" i="5"/>
  <c r="L601" i="1"/>
  <c r="L245" i="1"/>
  <c r="A795" i="4"/>
  <c r="A257" i="4"/>
  <c r="A327" i="4"/>
  <c r="A256" i="4"/>
  <c r="A888" i="4"/>
  <c r="A909" i="4"/>
  <c r="I336" i="5"/>
  <c r="I799" i="5"/>
  <c r="L795" i="1"/>
  <c r="L249" i="1"/>
  <c r="I406" i="5"/>
  <c r="I884" i="5"/>
  <c r="L887" i="1"/>
  <c r="L325" i="1"/>
  <c r="A723" i="4"/>
  <c r="I56" i="5"/>
  <c r="I917" i="5"/>
  <c r="L914" i="1"/>
  <c r="L324" i="1"/>
  <c r="Q6" i="5" a="1"/>
  <c r="Q6" i="5" s="1"/>
  <c r="R8" i="4" a="1"/>
  <c r="R8" i="4" s="1"/>
  <c r="A61" i="4"/>
  <c r="A871" i="4"/>
  <c r="I247" i="5"/>
  <c r="I870" i="5"/>
  <c r="L868" i="1"/>
  <c r="L39" i="1"/>
  <c r="A30" i="4"/>
  <c r="I94" i="5"/>
  <c r="I800" i="5"/>
  <c r="L731" i="1"/>
  <c r="L63" i="1"/>
  <c r="A125" i="4"/>
  <c r="A747" i="4"/>
  <c r="I95" i="5"/>
  <c r="I751" i="5"/>
  <c r="L742" i="1"/>
  <c r="L94" i="1"/>
  <c r="A295" i="4"/>
  <c r="A630" i="4"/>
  <c r="I249" i="5"/>
  <c r="I516" i="5"/>
  <c r="L577" i="1"/>
  <c r="L205" i="1"/>
  <c r="A771" i="4"/>
  <c r="A926" i="4"/>
  <c r="A629" i="4"/>
  <c r="A294" i="4"/>
  <c r="A81" i="4"/>
  <c r="A184" i="4"/>
  <c r="I151" i="5"/>
  <c r="I593" i="5"/>
  <c r="L617" i="1"/>
  <c r="L274" i="1"/>
  <c r="I96" i="5"/>
  <c r="I773" i="5"/>
  <c r="L765" i="1"/>
  <c r="L165" i="1"/>
  <c r="I378" i="5"/>
  <c r="I929" i="5"/>
  <c r="L926" i="1"/>
  <c r="L64" i="1"/>
  <c r="A80" i="4"/>
  <c r="A525" i="4"/>
  <c r="I153" i="5"/>
  <c r="I666" i="5"/>
  <c r="L570" i="1"/>
  <c r="L185" i="1"/>
  <c r="A255" i="4"/>
  <c r="A732" i="4"/>
  <c r="A609" i="4"/>
  <c r="A898" i="4"/>
  <c r="I201" i="5"/>
  <c r="I541" i="5"/>
  <c r="L580" i="1"/>
  <c r="L208" i="1"/>
  <c r="A79" i="4"/>
  <c r="I488" i="5"/>
  <c r="I785" i="5"/>
  <c r="L743" i="1"/>
  <c r="L97" i="1"/>
  <c r="Q8" i="5" a="1"/>
  <c r="Q8" i="5" s="1"/>
  <c r="R10" i="4" a="1"/>
  <c r="R10" i="4" s="1"/>
  <c r="A503" i="4"/>
  <c r="A44" i="4"/>
  <c r="I754" i="5"/>
  <c r="I30" i="5"/>
  <c r="A254" i="4"/>
  <c r="A754" i="4"/>
  <c r="A794" i="4"/>
  <c r="L24" i="1"/>
  <c r="L489" i="1"/>
  <c r="I753" i="5"/>
  <c r="I100" i="5"/>
  <c r="A143" i="4"/>
  <c r="L186" i="1"/>
  <c r="L772" i="1"/>
  <c r="I299" i="5"/>
  <c r="I99" i="5"/>
  <c r="A628" i="4"/>
  <c r="A293" i="4"/>
  <c r="L115" i="1"/>
  <c r="L750" i="1"/>
  <c r="I18" i="5"/>
  <c r="I625" i="5"/>
  <c r="L628" i="1"/>
  <c r="L295" i="1"/>
  <c r="A43" i="4"/>
  <c r="I302" i="5"/>
  <c r="I898" i="5"/>
  <c r="L897" i="1"/>
  <c r="L15" i="1"/>
  <c r="A524" i="4"/>
  <c r="A78" i="4"/>
  <c r="I830" i="5"/>
  <c r="I627" i="5"/>
  <c r="L548" i="1"/>
  <c r="L140" i="1"/>
  <c r="A466" i="4"/>
  <c r="A857" i="4"/>
  <c r="I160" i="5"/>
  <c r="I349" i="5"/>
  <c r="L459" i="1"/>
  <c r="L857" i="1"/>
  <c r="Q11" i="5" a="1"/>
  <c r="Q11" i="5" s="1"/>
  <c r="R12" i="4" a="1"/>
  <c r="R12" i="4" s="1"/>
  <c r="A183" i="4"/>
  <c r="A292" i="4"/>
  <c r="A124" i="4"/>
  <c r="A547" i="4"/>
  <c r="A770" i="4"/>
  <c r="A808" i="4"/>
  <c r="I206" i="5"/>
  <c r="I545" i="5"/>
  <c r="L536" i="1"/>
  <c r="L118" i="1"/>
  <c r="I64" i="5"/>
  <c r="I788" i="5"/>
  <c r="L797" i="1"/>
  <c r="L257" i="1"/>
  <c r="I209" i="5"/>
  <c r="I739" i="5"/>
  <c r="L751" i="1"/>
  <c r="L117" i="1"/>
  <c r="A291" i="4"/>
  <c r="A627" i="4"/>
  <c r="I758" i="5"/>
  <c r="I572" i="5"/>
  <c r="L258" i="1"/>
  <c r="L608" i="1"/>
  <c r="Q32" i="5" a="1"/>
  <c r="Q32" i="5" s="1"/>
  <c r="Q29" i="5" a="1"/>
  <c r="Q29" i="5" s="1"/>
  <c r="R31" i="4" a="1"/>
  <c r="R31" i="4" s="1"/>
  <c r="R6" i="4" a="1"/>
  <c r="R6" i="4" s="1"/>
  <c r="A823" i="4"/>
  <c r="A355" i="4"/>
  <c r="I111" i="5"/>
  <c r="I108" i="5"/>
  <c r="L259" i="1"/>
  <c r="L798" i="1"/>
  <c r="A737" i="4"/>
  <c r="A93" i="4"/>
  <c r="A208" i="4"/>
  <c r="A585" i="4"/>
  <c r="I110" i="5"/>
  <c r="I759" i="5"/>
  <c r="L736" i="1"/>
  <c r="L81" i="1"/>
  <c r="A793" i="4"/>
  <c r="I20" i="5"/>
  <c r="I522" i="5"/>
  <c r="L562" i="1"/>
  <c r="L170" i="1"/>
  <c r="A253" i="4"/>
  <c r="I265" i="5"/>
  <c r="I727" i="5"/>
  <c r="L752" i="1"/>
  <c r="L119" i="1"/>
  <c r="A769" i="4"/>
  <c r="A182" i="4"/>
  <c r="I68" i="5"/>
  <c r="I805" i="5"/>
  <c r="L782" i="1"/>
  <c r="L214" i="1"/>
  <c r="A778" i="4"/>
  <c r="A207" i="4"/>
  <c r="I113" i="5"/>
  <c r="I741" i="5"/>
  <c r="L759" i="1"/>
  <c r="L147" i="1"/>
  <c r="A390" i="4"/>
  <c r="A917" i="4"/>
  <c r="I269" i="5"/>
  <c r="I905" i="5"/>
  <c r="L913" i="1"/>
  <c r="L299" i="1"/>
  <c r="A77" i="4"/>
  <c r="A326" i="4"/>
  <c r="A123" i="4"/>
  <c r="A523" i="4"/>
  <c r="A818" i="4"/>
  <c r="A746" i="4"/>
  <c r="I114" i="5"/>
  <c r="I607" i="5"/>
  <c r="L537" i="1"/>
  <c r="L121" i="1"/>
  <c r="I268" i="5"/>
  <c r="I761" i="5"/>
  <c r="L744" i="1"/>
  <c r="L99" i="1"/>
  <c r="A736" i="4"/>
  <c r="I6" i="5"/>
  <c r="I806" i="5"/>
  <c r="L812" i="1"/>
  <c r="L300" i="1"/>
  <c r="A92" i="4"/>
  <c r="I219" i="5"/>
  <c r="I722" i="5"/>
  <c r="L724" i="1"/>
  <c r="L12" i="1"/>
  <c r="A142" i="4"/>
  <c r="A554" i="4"/>
  <c r="I24" i="5"/>
  <c r="I579" i="5"/>
  <c r="L565" i="1"/>
  <c r="L174" i="1"/>
  <c r="A122" i="4"/>
  <c r="A546" i="4"/>
  <c r="I175" i="5"/>
  <c r="I485" i="5"/>
  <c r="L507" i="1"/>
  <c r="L56" i="1"/>
  <c r="A121" i="4"/>
  <c r="A60" i="4"/>
  <c r="A514" i="4"/>
  <c r="A879" i="4"/>
  <c r="I221" i="5"/>
  <c r="I554" i="5"/>
  <c r="L515" i="1"/>
  <c r="L73" i="1"/>
  <c r="I25" i="5"/>
  <c r="I879" i="5"/>
  <c r="L878" i="1"/>
  <c r="L153" i="1"/>
  <c r="A59" i="4"/>
  <c r="A513" i="4"/>
  <c r="I419" i="5"/>
  <c r="I487" i="5"/>
  <c r="L492" i="1"/>
  <c r="L27" i="1"/>
  <c r="A252" i="4"/>
  <c r="A416" i="4"/>
  <c r="A689" i="4"/>
  <c r="A608" i="4"/>
  <c r="I359" i="5"/>
  <c r="I682" i="5"/>
  <c r="L649" i="1"/>
  <c r="L332" i="1"/>
  <c r="I420" i="5"/>
  <c r="I656" i="5"/>
  <c r="L680" i="1"/>
  <c r="L402" i="1"/>
  <c r="A389" i="4"/>
  <c r="A76" i="4"/>
  <c r="A388" i="4"/>
  <c r="A676" i="4"/>
  <c r="A522" i="4"/>
  <c r="A675" i="4"/>
  <c r="I179" i="5"/>
  <c r="I683" i="5"/>
  <c r="L681" i="1"/>
  <c r="L403" i="1"/>
  <c r="I361" i="5"/>
  <c r="I557" i="5"/>
  <c r="L520" i="1"/>
  <c r="L87" i="1"/>
  <c r="I79" i="5"/>
  <c r="I658" i="5"/>
  <c r="L669" i="1"/>
  <c r="L381" i="1"/>
  <c r="A18" i="4"/>
  <c r="A488" i="4"/>
  <c r="I13" i="5"/>
  <c r="I510" i="5"/>
  <c r="L484" i="1"/>
  <c r="L19" i="1"/>
  <c r="A955" i="4"/>
  <c r="A730" i="4"/>
  <c r="A75" i="4"/>
  <c r="A430" i="4"/>
  <c r="A57" i="4"/>
  <c r="A58" i="4"/>
  <c r="A512" i="4"/>
  <c r="A901" i="4"/>
  <c r="I225" i="5"/>
  <c r="I897" i="5"/>
  <c r="L899" i="1"/>
  <c r="L28" i="1"/>
  <c r="I47" i="5"/>
  <c r="I581" i="5"/>
  <c r="L521" i="1"/>
  <c r="L89" i="1"/>
  <c r="I362" i="5"/>
  <c r="I734" i="5"/>
  <c r="L728" i="1"/>
  <c r="L35" i="1"/>
  <c r="I9" i="5"/>
  <c r="I948" i="5"/>
  <c r="L952" i="1"/>
  <c r="L415" i="1"/>
  <c r="A290" i="4"/>
  <c r="A626" i="4"/>
  <c r="I323" i="5"/>
  <c r="I481" i="5"/>
  <c r="L522" i="1"/>
  <c r="L90" i="1"/>
  <c r="A289" i="4"/>
  <c r="A251" i="4"/>
  <c r="A288" i="4"/>
  <c r="A607" i="4"/>
  <c r="A806" i="4"/>
  <c r="A807" i="4"/>
  <c r="I182" i="5"/>
  <c r="I819" i="5"/>
  <c r="L813" i="1"/>
  <c r="L303" i="1"/>
  <c r="I181" i="5"/>
  <c r="I778" i="5"/>
  <c r="L791" i="1"/>
  <c r="L242" i="1"/>
  <c r="I133" i="5"/>
  <c r="I558" i="5"/>
  <c r="L589" i="1"/>
  <c r="L222" i="1"/>
  <c r="A415" i="4"/>
  <c r="A74" i="4"/>
  <c r="A688" i="4"/>
  <c r="A521" i="4"/>
  <c r="I450" i="5"/>
  <c r="I529" i="5"/>
  <c r="L517" i="1"/>
  <c r="L78" i="1"/>
  <c r="I719" i="4"/>
  <c r="I229" i="5"/>
  <c r="I704" i="5"/>
  <c r="L697" i="1"/>
  <c r="L435" i="1"/>
  <c r="A17" i="4"/>
  <c r="A487" i="4"/>
  <c r="I285" i="5"/>
  <c r="I583" i="5"/>
  <c r="L502" i="1"/>
  <c r="L48" i="1"/>
  <c r="A287" i="4"/>
  <c r="A455" i="4"/>
  <c r="A325" i="4"/>
  <c r="A710" i="4"/>
  <c r="A805" i="4"/>
  <c r="A817" i="4"/>
  <c r="I183" i="5"/>
  <c r="I811" i="5"/>
  <c r="L814" i="1"/>
  <c r="L305" i="1"/>
  <c r="I399" i="5"/>
  <c r="I779" i="5"/>
  <c r="L792" i="1"/>
  <c r="L243" i="1"/>
  <c r="I82" i="5"/>
  <c r="I673" i="5"/>
  <c r="L700" i="1"/>
  <c r="L445" i="1"/>
  <c r="A91" i="4"/>
  <c r="A735" i="4"/>
  <c r="I454" i="5"/>
  <c r="I745" i="5"/>
  <c r="L735" i="1"/>
  <c r="L79" i="1"/>
  <c r="Q15" i="5" a="1"/>
  <c r="Q15" i="5" s="1"/>
  <c r="R18" i="4" a="1"/>
  <c r="R18" i="4" s="1"/>
  <c r="A286" i="4"/>
  <c r="A465" i="4"/>
  <c r="A181" i="4"/>
  <c r="A414" i="4"/>
  <c r="A120" i="4"/>
  <c r="A571" i="4"/>
  <c r="A545" i="4"/>
  <c r="A856" i="4"/>
  <c r="A886" i="4"/>
  <c r="A950" i="4"/>
  <c r="I139" i="5"/>
  <c r="I892" i="5"/>
  <c r="L889" i="1"/>
  <c r="L368" i="1"/>
  <c r="I53" i="5"/>
  <c r="I534" i="5"/>
  <c r="L531" i="1"/>
  <c r="L107" i="1"/>
  <c r="I403" i="5"/>
  <c r="I498" i="5"/>
  <c r="L530" i="1"/>
  <c r="L106" i="1"/>
  <c r="I329" i="5"/>
  <c r="I953" i="5"/>
  <c r="L953" i="1"/>
  <c r="L416" i="1"/>
  <c r="I330" i="5"/>
  <c r="I823" i="5"/>
  <c r="L856" i="1"/>
  <c r="L458" i="1"/>
  <c r="A16" i="4"/>
  <c r="A486" i="4"/>
  <c r="I87" i="5"/>
  <c r="I643" i="5"/>
  <c r="L518" i="1"/>
  <c r="L80" i="1"/>
  <c r="L160" i="1"/>
  <c r="A206" i="4"/>
  <c r="A883" i="4"/>
  <c r="I54" i="5"/>
  <c r="I872" i="5"/>
  <c r="L133" i="1"/>
  <c r="L879" i="1"/>
  <c r="A205" i="4"/>
  <c r="A354" i="4"/>
  <c r="A73" i="4"/>
  <c r="A285" i="4"/>
  <c r="A520" i="4"/>
  <c r="A662" i="4"/>
  <c r="A777" i="4"/>
  <c r="A938" i="4"/>
  <c r="I370" i="5"/>
  <c r="I736" i="5"/>
  <c r="L323" i="1"/>
  <c r="L755" i="1"/>
  <c r="I333" i="5"/>
  <c r="I950" i="5"/>
  <c r="L557" i="1"/>
  <c r="L940" i="1"/>
  <c r="I369" i="5"/>
  <c r="I645" i="5"/>
  <c r="L353" i="1"/>
  <c r="L162" i="1"/>
  <c r="I239" i="5"/>
  <c r="I661" i="5"/>
  <c r="L244" i="1"/>
  <c r="L659" i="1"/>
  <c r="A250" i="4"/>
  <c r="A606" i="4"/>
  <c r="I291" i="5"/>
  <c r="I589" i="5"/>
  <c r="L248" i="1"/>
  <c r="L600" i="1"/>
  <c r="A204" i="4"/>
  <c r="A584" i="4"/>
  <c r="I429" i="5"/>
  <c r="I620" i="5"/>
  <c r="L429" i="1"/>
  <c r="L602" i="1"/>
  <c r="A413" i="4"/>
  <c r="A119" i="4"/>
  <c r="A29" i="4"/>
  <c r="A180" i="4"/>
  <c r="A497" i="4"/>
  <c r="A544" i="4"/>
  <c r="A845" i="4"/>
  <c r="A768" i="4"/>
  <c r="I246" i="5"/>
  <c r="I853" i="5"/>
  <c r="L204" i="1"/>
  <c r="L849" i="1"/>
  <c r="I407" i="5"/>
  <c r="I798" i="5"/>
  <c r="L135" i="1"/>
  <c r="L781" i="1"/>
  <c r="I292" i="5"/>
  <c r="I677" i="5"/>
  <c r="L183" i="1"/>
  <c r="L545" i="1"/>
  <c r="I10" i="5"/>
  <c r="I621" i="5"/>
  <c r="L8" i="1"/>
  <c r="L568" i="1"/>
  <c r="A42" i="4"/>
  <c r="A727" i="4"/>
  <c r="I58" i="5"/>
  <c r="I723" i="5"/>
  <c r="L32" i="1"/>
  <c r="L723" i="1"/>
  <c r="A41" i="4"/>
  <c r="A502" i="4"/>
  <c r="I59" i="5"/>
  <c r="I500" i="5"/>
  <c r="L229" i="1"/>
  <c r="L495" i="1"/>
  <c r="A353" i="4"/>
  <c r="A915" i="4"/>
  <c r="I195" i="5"/>
  <c r="I901" i="5"/>
  <c r="L164" i="1"/>
  <c r="L908" i="1"/>
  <c r="A141" i="4"/>
  <c r="A553" i="4"/>
  <c r="I196" i="5"/>
  <c r="I567" i="5"/>
  <c r="L206" i="1"/>
  <c r="L559" i="1"/>
  <c r="A203" i="4"/>
  <c r="A284" i="4"/>
  <c r="A387" i="4"/>
  <c r="A583" i="4"/>
  <c r="A674" i="4"/>
  <c r="A885" i="4"/>
  <c r="I294" i="5"/>
  <c r="I568" i="5"/>
  <c r="L355" i="1"/>
  <c r="L578" i="1"/>
  <c r="I342" i="5"/>
  <c r="I622" i="5"/>
  <c r="L310" i="1"/>
  <c r="L661" i="1"/>
  <c r="I199" i="5"/>
  <c r="I885" i="5"/>
  <c r="L276" i="1"/>
  <c r="L885" i="1"/>
  <c r="A816" i="4"/>
  <c r="A324" i="4"/>
  <c r="I200" i="5"/>
  <c r="I784" i="5"/>
  <c r="L253" i="1"/>
  <c r="L805" i="1"/>
  <c r="A412" i="4"/>
  <c r="A429" i="4"/>
  <c r="A283" i="4"/>
  <c r="A694" i="4"/>
  <c r="A625" i="4"/>
  <c r="A844" i="4"/>
  <c r="I379" i="5"/>
  <c r="I570" i="5"/>
  <c r="L419" i="1"/>
  <c r="L605" i="1"/>
  <c r="I296" i="5"/>
  <c r="I667" i="5"/>
  <c r="L385" i="1"/>
  <c r="L689" i="1"/>
  <c r="I16" i="5"/>
  <c r="I814" i="5"/>
  <c r="L33" i="1"/>
  <c r="L836" i="1"/>
  <c r="A72" i="4"/>
  <c r="A731" i="4"/>
  <c r="I381" i="5"/>
  <c r="I726" i="5"/>
  <c r="L344" i="1"/>
  <c r="L727" i="1"/>
  <c r="A323" i="4"/>
  <c r="A140" i="4"/>
  <c r="A369" i="4"/>
  <c r="A179" i="4"/>
  <c r="A826" i="4"/>
  <c r="A887" i="4"/>
  <c r="A929" i="4"/>
  <c r="A932" i="4"/>
  <c r="I205" i="5"/>
  <c r="I887" i="5"/>
  <c r="L312" i="1"/>
  <c r="L888" i="1"/>
  <c r="I157" i="5"/>
  <c r="I787" i="5"/>
  <c r="L166" i="1"/>
  <c r="L816" i="1"/>
  <c r="I156" i="5"/>
  <c r="I936" i="5"/>
  <c r="L138" i="1"/>
  <c r="L934" i="1"/>
  <c r="I158" i="5"/>
  <c r="I935" i="5"/>
  <c r="L210" i="1"/>
  <c r="L930" i="1"/>
  <c r="A249" i="4"/>
  <c r="A605" i="4"/>
  <c r="I103" i="5"/>
  <c r="I543" i="5"/>
  <c r="L189" i="1"/>
  <c r="L581" i="1"/>
  <c r="A248" i="4"/>
  <c r="A352" i="4"/>
  <c r="A322" i="4"/>
  <c r="A644" i="4"/>
  <c r="A792" i="4"/>
  <c r="A942" i="4"/>
  <c r="I382" i="5"/>
  <c r="I755" i="5"/>
  <c r="L345" i="1"/>
  <c r="L773" i="1"/>
  <c r="I300" i="5"/>
  <c r="I668" i="5"/>
  <c r="L328" i="1"/>
  <c r="L653" i="1"/>
  <c r="I434" i="5"/>
  <c r="I943" i="5"/>
  <c r="L411" i="1"/>
  <c r="L941" i="1"/>
  <c r="A386" i="4"/>
  <c r="A178" i="4"/>
  <c r="A56" i="4"/>
  <c r="A368" i="4"/>
  <c r="A511" i="4"/>
  <c r="A570" i="4"/>
  <c r="A825" i="4"/>
  <c r="A948" i="4"/>
  <c r="I255" i="5"/>
  <c r="I956" i="5"/>
  <c r="L211" i="1"/>
  <c r="L951" i="1"/>
  <c r="I348" i="5"/>
  <c r="I599" i="5"/>
  <c r="L357" i="1"/>
  <c r="L582" i="1"/>
  <c r="I19" i="5"/>
  <c r="I829" i="5"/>
  <c r="L25" i="1"/>
  <c r="L827" i="1"/>
  <c r="I303" i="5"/>
  <c r="I483" i="5"/>
  <c r="L280" i="1"/>
  <c r="L490" i="1"/>
  <c r="A247" i="4"/>
  <c r="A246" i="4"/>
  <c r="A604" i="4"/>
  <c r="A791" i="4"/>
  <c r="I258" i="5"/>
  <c r="I816" i="5"/>
  <c r="L256" i="1"/>
  <c r="L807" i="1"/>
  <c r="I489" i="5"/>
  <c r="I601" i="5"/>
  <c r="L482" i="1"/>
  <c r="L607" i="1"/>
  <c r="A15" i="4"/>
  <c r="A485" i="4"/>
  <c r="I414" i="5"/>
  <c r="I31" i="5"/>
  <c r="L359" i="1"/>
  <c r="L11" i="1"/>
  <c r="A321" i="4"/>
  <c r="A28" i="4"/>
  <c r="A177" i="4"/>
  <c r="A320" i="4"/>
  <c r="A496" i="4"/>
  <c r="A643" i="4"/>
  <c r="A881" i="4"/>
  <c r="A914" i="4"/>
  <c r="I307" i="5"/>
  <c r="I918" i="5"/>
  <c r="L638" i="1"/>
  <c r="L916" i="1"/>
  <c r="I306" i="5"/>
  <c r="I629" i="5"/>
  <c r="L884" i="1"/>
  <c r="L314" i="1"/>
  <c r="I210" i="5"/>
  <c r="I883" i="5"/>
  <c r="L52" i="1"/>
  <c r="L236" i="1"/>
  <c r="I65" i="5"/>
  <c r="I573" i="5"/>
  <c r="L34" i="1"/>
  <c r="L505" i="1"/>
  <c r="A40" i="4"/>
  <c r="A501" i="4"/>
  <c r="I315" i="5"/>
  <c r="I504" i="5"/>
  <c r="L447" i="1"/>
  <c r="L496" i="1"/>
  <c r="A462" i="4"/>
  <c r="A855" i="4"/>
  <c r="I818" i="5"/>
  <c r="L377" i="1"/>
  <c r="L855" i="1"/>
  <c r="A385" i="4"/>
  <c r="A947" i="4"/>
  <c r="I947" i="5"/>
  <c r="I353" i="5"/>
  <c r="L98" i="1"/>
  <c r="L948" i="1"/>
  <c r="A880" i="4"/>
  <c r="A176" i="4"/>
  <c r="I868" i="5"/>
  <c r="I35" i="5"/>
  <c r="L42" i="1"/>
  <c r="L877" i="1"/>
  <c r="A27" i="4"/>
  <c r="A495" i="4"/>
  <c r="I549" i="5"/>
  <c r="I165" i="5"/>
  <c r="L216" i="1"/>
  <c r="L499" i="1"/>
  <c r="Q17" i="5" a="1"/>
  <c r="Q17" i="5" s="1"/>
  <c r="Q9" i="5" a="1"/>
  <c r="Q9" i="5" s="1"/>
  <c r="Q10" i="5" a="1"/>
  <c r="Q10" i="5" s="1"/>
  <c r="R9" i="4" a="1"/>
  <c r="R9" i="4" s="1"/>
  <c r="R7" i="4" a="1"/>
  <c r="R7" i="4" s="1"/>
  <c r="R11" i="4" a="1"/>
  <c r="R11" i="4" s="1"/>
  <c r="A916" i="4"/>
  <c r="A470" i="4"/>
  <c r="A469" i="4"/>
  <c r="A461" i="4"/>
  <c r="A175" i="4"/>
  <c r="A480" i="4"/>
  <c r="A713" i="4"/>
  <c r="A712" i="4"/>
  <c r="A569" i="4"/>
  <c r="I606" i="5"/>
  <c r="I267" i="5"/>
  <c r="L44" i="1"/>
  <c r="L586" i="1"/>
  <c r="A943" i="4"/>
  <c r="A445" i="4"/>
  <c r="A441" i="4"/>
  <c r="A409" i="4"/>
  <c r="A420" i="4"/>
  <c r="A367" i="4"/>
  <c r="A317" i="4"/>
  <c r="A402" i="4"/>
  <c r="A359" i="4"/>
  <c r="A313" i="4"/>
  <c r="A242" i="4"/>
  <c r="A309" i="4"/>
  <c r="A305" i="4"/>
  <c r="A269" i="4"/>
  <c r="A230" i="4"/>
  <c r="A225" i="4"/>
  <c r="A166" i="4"/>
  <c r="A160" i="4"/>
  <c r="A460" i="4"/>
  <c r="A450" i="4"/>
  <c r="A436" i="4"/>
  <c r="A432" i="4"/>
  <c r="A439" i="4"/>
  <c r="A351" i="4"/>
  <c r="A417" i="4"/>
  <c r="A345" i="4"/>
  <c r="A117" i="4"/>
  <c r="A339" i="4"/>
  <c r="A334" i="4"/>
  <c r="A116" i="4"/>
  <c r="A237" i="4"/>
  <c r="A233" i="4"/>
  <c r="A202" i="4"/>
  <c r="A222" i="4"/>
  <c r="A164" i="4"/>
  <c r="A159" i="4"/>
  <c r="A447" i="4"/>
  <c r="A442" i="4"/>
  <c r="A410" i="4"/>
  <c r="A405" i="4"/>
  <c r="A364" i="4"/>
  <c r="A363" i="4"/>
  <c r="A347" i="4"/>
  <c r="A244" i="4"/>
  <c r="A243" i="4"/>
  <c r="A335" i="4"/>
  <c r="A306" i="4"/>
  <c r="A271" i="4"/>
  <c r="A302" i="4"/>
  <c r="A231" i="4"/>
  <c r="A300" i="4"/>
  <c r="A221" i="4"/>
  <c r="A197" i="4"/>
  <c r="A163" i="4"/>
  <c r="A162" i="4"/>
  <c r="A193" i="4"/>
  <c r="A214" i="4"/>
  <c r="A112" i="4"/>
  <c r="A111" i="4"/>
  <c r="A189" i="4"/>
  <c r="A87" i="4"/>
  <c r="A105" i="4"/>
  <c r="A129" i="4"/>
  <c r="A50" i="4"/>
  <c r="A12" i="4"/>
  <c r="A697" i="4"/>
  <c r="A699" i="4"/>
  <c r="A672" i="4"/>
  <c r="A655" i="4"/>
  <c r="A638" i="4"/>
  <c r="A619" i="4"/>
  <c r="A599" i="4"/>
  <c r="A595" i="4"/>
  <c r="A565" i="4"/>
  <c r="A541" i="4"/>
  <c r="A529" i="4"/>
  <c r="A535" i="4"/>
  <c r="A526" i="4"/>
  <c r="A483" i="4"/>
  <c r="A903" i="4"/>
  <c r="A945" i="4"/>
  <c r="A949" i="4"/>
  <c r="A925" i="4"/>
  <c r="A474" i="4"/>
  <c r="A472" i="4"/>
  <c r="A464" i="4"/>
  <c r="A454" i="4"/>
  <c r="A438" i="4"/>
  <c r="A452" i="4"/>
  <c r="A444" i="4"/>
  <c r="A458" i="4"/>
  <c r="A437" i="4"/>
  <c r="A411" i="4"/>
  <c r="A440" i="4"/>
  <c r="A408" i="4"/>
  <c r="A25" i="4"/>
  <c r="A395" i="4"/>
  <c r="A419" i="4"/>
  <c r="A394" i="4"/>
  <c r="A366" i="4"/>
  <c r="A319" i="4"/>
  <c r="A350" i="4"/>
  <c r="A379" i="4"/>
  <c r="A348" i="4"/>
  <c r="A392" i="4"/>
  <c r="A346" i="4"/>
  <c r="A401" i="4"/>
  <c r="A315" i="4"/>
  <c r="A344" i="4"/>
  <c r="A400" i="4"/>
  <c r="A342" i="4"/>
  <c r="A280" i="4"/>
  <c r="A340" i="4"/>
  <c r="A338" i="4"/>
  <c r="A337" i="4"/>
  <c r="A278" i="4"/>
  <c r="A276" i="4"/>
  <c r="A308" i="4"/>
  <c r="A240" i="4"/>
  <c r="A272" i="4"/>
  <c r="A173" i="4"/>
  <c r="A356" i="4"/>
  <c r="A332" i="4"/>
  <c r="A170" i="4"/>
  <c r="A236" i="4"/>
  <c r="A232" i="4"/>
  <c r="A331" i="4"/>
  <c r="A229" i="4"/>
  <c r="A70" i="4"/>
  <c r="A226" i="4"/>
  <c r="A224" i="4"/>
  <c r="A168" i="4"/>
  <c r="A139" i="4"/>
  <c r="A165" i="4"/>
  <c r="A138" i="4"/>
  <c r="A196" i="4"/>
  <c r="A262" i="4"/>
  <c r="A161" i="4"/>
  <c r="A192" i="4"/>
  <c r="A114" i="4"/>
  <c r="A113" i="4"/>
  <c r="A157" i="4"/>
  <c r="A190" i="4"/>
  <c r="A69" i="4"/>
  <c r="A54" i="4"/>
  <c r="A153" i="4"/>
  <c r="A108" i="4"/>
  <c r="A133" i="4"/>
  <c r="A131" i="4"/>
  <c r="A68" i="4"/>
  <c r="A151" i="4"/>
  <c r="A84" i="4"/>
  <c r="A38" i="4"/>
  <c r="A66" i="4"/>
  <c r="A98" i="4"/>
  <c r="A37" i="4"/>
  <c r="A64" i="4"/>
  <c r="A36" i="4"/>
  <c r="A34" i="4"/>
  <c r="A9" i="4"/>
  <c r="A717" i="4"/>
  <c r="A716" i="4"/>
  <c r="A698" i="4"/>
  <c r="A680" i="4"/>
  <c r="A711" i="4"/>
  <c r="A687" i="4"/>
  <c r="A696" i="4"/>
  <c r="A695" i="4"/>
  <c r="A673" i="4"/>
  <c r="A690" i="4"/>
  <c r="A641" i="4"/>
  <c r="A660" i="4"/>
  <c r="A658" i="4"/>
  <c r="A656" i="4"/>
  <c r="A543" i="4"/>
  <c r="A623" i="4"/>
  <c r="A652" i="4"/>
  <c r="A601" i="4"/>
  <c r="A649" i="4"/>
  <c r="A663" i="4"/>
  <c r="A600" i="4"/>
  <c r="A634" i="4"/>
  <c r="A633" i="4"/>
  <c r="A616" i="4"/>
  <c r="A615" i="4"/>
  <c r="A594" i="4"/>
  <c r="A581" i="4"/>
  <c r="A592" i="4"/>
  <c r="A551" i="4"/>
  <c r="A564" i="4"/>
  <c r="A563" i="4"/>
  <c r="A562" i="4"/>
  <c r="A539" i="4"/>
  <c r="A561" i="4"/>
  <c r="A560" i="4"/>
  <c r="A528" i="4"/>
  <c r="A533" i="4"/>
  <c r="A509" i="4"/>
  <c r="A507" i="4"/>
  <c r="A531" i="4"/>
  <c r="A624" i="4"/>
  <c r="A482" i="4"/>
  <c r="A910" i="4"/>
  <c r="A906" i="4"/>
  <c r="A913" i="4"/>
  <c r="A902" i="4"/>
  <c r="A944" i="4"/>
  <c r="A936" i="4"/>
  <c r="A931" i="4"/>
  <c r="A109" i="4"/>
  <c r="A85" i="4"/>
  <c r="A67" i="4"/>
  <c r="A11" i="4"/>
  <c r="A90" i="4"/>
  <c r="A282" i="4"/>
  <c r="A245" i="4"/>
  <c r="A398" i="4"/>
  <c r="A281" i="4"/>
  <c r="A174" i="4"/>
  <c r="A118" i="4"/>
  <c r="A55" i="4"/>
  <c r="A693" i="4"/>
  <c r="A684" i="4"/>
  <c r="A642" i="4"/>
  <c r="A671" i="4"/>
  <c r="A653" i="4"/>
  <c r="A617" i="4"/>
  <c r="A519" i="4"/>
  <c r="A582" i="4"/>
  <c r="A576" i="4"/>
  <c r="A517" i="4"/>
  <c r="A463" i="4"/>
  <c r="A459" i="4"/>
  <c r="A443" i="4"/>
  <c r="A396" i="4"/>
  <c r="A425" i="4"/>
  <c r="A422" i="4"/>
  <c r="A383" i="4"/>
  <c r="A365" i="4"/>
  <c r="A318" i="4"/>
  <c r="A362" i="4"/>
  <c r="A403" i="4"/>
  <c r="A375" i="4"/>
  <c r="A343" i="4"/>
  <c r="A341" i="4"/>
  <c r="A279" i="4"/>
  <c r="A277" i="4"/>
  <c r="A274" i="4"/>
  <c r="A357" i="4"/>
  <c r="A238" i="4"/>
  <c r="A301" i="4"/>
  <c r="A268" i="4"/>
  <c r="A228" i="4"/>
  <c r="A201" i="4"/>
  <c r="A167" i="4"/>
  <c r="A264" i="4"/>
  <c r="A219" i="4"/>
  <c r="A194" i="4"/>
  <c r="A191" i="4"/>
  <c r="A89" i="4"/>
  <c r="A134" i="4"/>
  <c r="A187" i="4"/>
  <c r="A86" i="4"/>
  <c r="A103" i="4"/>
  <c r="A52" i="4"/>
  <c r="A24" i="4"/>
  <c r="A49" i="4"/>
  <c r="A10" i="4"/>
  <c r="A706" i="4"/>
  <c r="A704" i="4"/>
  <c r="A686" i="4"/>
  <c r="A493" i="4"/>
  <c r="A668" i="4"/>
  <c r="A659" i="4"/>
  <c r="A665" i="4"/>
  <c r="A602" i="4"/>
  <c r="A650" i="4"/>
  <c r="A568" i="4"/>
  <c r="A632" i="4"/>
  <c r="A597" i="4"/>
  <c r="A596" i="4"/>
  <c r="A646" i="4"/>
  <c r="A579" i="4"/>
  <c r="A612" i="4"/>
  <c r="A591" i="4"/>
  <c r="A590" i="4"/>
  <c r="A530" i="4"/>
  <c r="A574" i="4"/>
  <c r="A537" i="4"/>
  <c r="A549" i="4"/>
  <c r="A548" i="4"/>
  <c r="A559" i="4"/>
  <c r="A484" i="4"/>
  <c r="A492" i="4"/>
  <c r="A491" i="4"/>
  <c r="A908" i="4"/>
  <c r="A905" i="4"/>
  <c r="A946" i="4"/>
  <c r="A939" i="4"/>
  <c r="A935" i="4"/>
  <c r="A928" i="4"/>
  <c r="A26" i="4"/>
  <c r="A154" i="4"/>
  <c r="A107" i="4"/>
  <c r="A101" i="4"/>
  <c r="A83" i="4"/>
  <c r="A35" i="4"/>
  <c r="A707" i="4"/>
  <c r="A700" i="4"/>
  <c r="A683" i="4"/>
  <c r="A682" i="4"/>
  <c r="A670" i="4"/>
  <c r="A621" i="4"/>
  <c r="A635" i="4"/>
  <c r="A566" i="4"/>
  <c r="A580" i="4"/>
  <c r="A611" i="4"/>
  <c r="A550" i="4"/>
  <c r="A573" i="4"/>
  <c r="A510" i="4"/>
  <c r="A558" i="4"/>
  <c r="A937" i="4"/>
  <c r="A934" i="4"/>
  <c r="A473" i="4"/>
  <c r="A384" i="4"/>
  <c r="A448" i="4"/>
  <c r="A451" i="4"/>
  <c r="A427" i="4"/>
  <c r="A435" i="4"/>
  <c r="A424" i="4"/>
  <c r="A407" i="4"/>
  <c r="A418" i="4"/>
  <c r="A457" i="4"/>
  <c r="A393" i="4"/>
  <c r="A377" i="4"/>
  <c r="A316" i="4"/>
  <c r="A374" i="4"/>
  <c r="A372" i="4"/>
  <c r="A370" i="4"/>
  <c r="A336" i="4"/>
  <c r="A275" i="4"/>
  <c r="A307" i="4"/>
  <c r="A270" i="4"/>
  <c r="A171" i="4"/>
  <c r="A235" i="4"/>
  <c r="A330" i="4"/>
  <c r="A266" i="4"/>
  <c r="A299" i="4"/>
  <c r="A198" i="4"/>
  <c r="A137" i="4"/>
  <c r="A261" i="4"/>
  <c r="A216" i="4"/>
  <c r="A215" i="4"/>
  <c r="A136" i="4"/>
  <c r="A88" i="4"/>
  <c r="A152" i="4"/>
  <c r="A53" i="4"/>
  <c r="A130" i="4"/>
  <c r="A100" i="4"/>
  <c r="A128" i="4"/>
  <c r="A97" i="4"/>
  <c r="A22" i="4"/>
  <c r="A33" i="4"/>
  <c r="A714" i="4"/>
  <c r="A705" i="4"/>
  <c r="A702" i="4"/>
  <c r="A692" i="4"/>
  <c r="A669" i="4"/>
  <c r="A666" i="4"/>
  <c r="A640" i="4"/>
  <c r="A654" i="4"/>
  <c r="A681" i="4"/>
  <c r="A637" i="4"/>
  <c r="A618" i="4"/>
  <c r="A648" i="4"/>
  <c r="A593" i="4"/>
  <c r="A481" i="4"/>
  <c r="A7" i="4"/>
  <c r="A471" i="4"/>
  <c r="A468" i="4"/>
  <c r="A467" i="4"/>
  <c r="A453" i="4"/>
  <c r="A446" i="4"/>
  <c r="A397" i="4"/>
  <c r="A428" i="4"/>
  <c r="A426" i="4"/>
  <c r="A449" i="4"/>
  <c r="A434" i="4"/>
  <c r="A433" i="4"/>
  <c r="A423" i="4"/>
  <c r="A421" i="4"/>
  <c r="A406" i="4"/>
  <c r="A404" i="4"/>
  <c r="A382" i="4"/>
  <c r="A381" i="4"/>
  <c r="A456" i="4"/>
  <c r="A380" i="4"/>
  <c r="A349" i="4"/>
  <c r="A378" i="4"/>
  <c r="A361" i="4"/>
  <c r="A376" i="4"/>
  <c r="A391" i="4"/>
  <c r="A360" i="4"/>
  <c r="A373" i="4"/>
  <c r="A314" i="4"/>
  <c r="A358" i="4"/>
  <c r="A371" i="4"/>
  <c r="A312" i="4"/>
  <c r="A311" i="4"/>
  <c r="A399" i="4"/>
  <c r="A310" i="4"/>
  <c r="A333" i="4"/>
  <c r="A241" i="4"/>
  <c r="A273" i="4"/>
  <c r="A239" i="4"/>
  <c r="A172" i="4"/>
  <c r="A304" i="4"/>
  <c r="A303" i="4"/>
  <c r="A169" i="4"/>
  <c r="A234" i="4"/>
  <c r="A71" i="4"/>
  <c r="A267" i="4"/>
  <c r="A227" i="4"/>
  <c r="A265" i="4"/>
  <c r="A200" i="4"/>
  <c r="A223" i="4"/>
  <c r="A199" i="4"/>
  <c r="A329" i="4"/>
  <c r="A220" i="4"/>
  <c r="A263" i="4"/>
  <c r="A195" i="4"/>
  <c r="A218" i="4"/>
  <c r="A217" i="4"/>
  <c r="A115" i="4"/>
  <c r="A260" i="4"/>
  <c r="A158" i="4"/>
  <c r="A156" i="4"/>
  <c r="A135" i="4"/>
  <c r="A110" i="4"/>
  <c r="A155" i="4"/>
  <c r="A188" i="4"/>
  <c r="A39" i="4"/>
  <c r="A132" i="4"/>
  <c r="A106" i="4"/>
  <c r="A104" i="4"/>
  <c r="A102" i="4"/>
  <c r="A99" i="4"/>
  <c r="A51" i="4"/>
  <c r="A14" i="4"/>
  <c r="A23" i="4"/>
  <c r="A65" i="4"/>
  <c r="A150" i="4"/>
  <c r="A21" i="4"/>
  <c r="A13" i="4"/>
  <c r="A8" i="4"/>
  <c r="A715" i="4"/>
  <c r="A709" i="4"/>
  <c r="A708" i="4"/>
  <c r="A703" i="4"/>
  <c r="A701" i="4"/>
  <c r="A685" i="4"/>
  <c r="A679" i="4"/>
  <c r="A691" i="4"/>
  <c r="A678" i="4"/>
  <c r="A667" i="4"/>
  <c r="A661" i="4"/>
  <c r="A677" i="4"/>
  <c r="A657" i="4"/>
  <c r="A603" i="4"/>
  <c r="A664" i="4"/>
  <c r="A639" i="4"/>
  <c r="A651" i="4"/>
  <c r="A622" i="4"/>
  <c r="A620" i="4"/>
  <c r="A636" i="4"/>
  <c r="A542" i="4"/>
  <c r="A567" i="4"/>
  <c r="A598" i="4"/>
  <c r="A647" i="4"/>
  <c r="A614" i="4"/>
  <c r="A631" i="4"/>
  <c r="A552" i="4"/>
  <c r="A613" i="4"/>
  <c r="A578" i="4"/>
  <c r="A577" i="4"/>
  <c r="A575" i="4"/>
  <c r="A540" i="4"/>
  <c r="A538" i="4"/>
  <c r="A536" i="4"/>
  <c r="A518" i="4"/>
  <c r="A534" i="4"/>
  <c r="A527" i="4"/>
  <c r="A508" i="4"/>
  <c r="A506" i="4"/>
  <c r="A500" i="4"/>
  <c r="A499" i="4"/>
  <c r="A907" i="4"/>
  <c r="A900" i="4"/>
  <c r="A940" i="4"/>
  <c r="A941" i="4"/>
  <c r="A933" i="4"/>
  <c r="A927" i="4"/>
  <c r="A494" i="4"/>
  <c r="I484" i="5"/>
  <c r="I22" i="5"/>
  <c r="L120" i="1"/>
  <c r="L500" i="1"/>
  <c r="I926" i="5"/>
  <c r="I21" i="5"/>
  <c r="L261" i="1"/>
  <c r="L928" i="1"/>
  <c r="I910" i="5"/>
  <c r="I216" i="5"/>
  <c r="L17" i="1"/>
  <c r="L910" i="1"/>
  <c r="A728" i="4"/>
  <c r="A739" i="4"/>
  <c r="A729" i="4"/>
  <c r="A726" i="4"/>
  <c r="A740" i="4"/>
  <c r="A741" i="4"/>
  <c r="A734" i="4"/>
  <c r="A725" i="4"/>
  <c r="I724" i="5"/>
  <c r="I11" i="5"/>
  <c r="L83" i="1"/>
  <c r="L725" i="1"/>
  <c r="A839" i="4"/>
  <c r="A852" i="4"/>
  <c r="A842" i="4"/>
  <c r="A837" i="4"/>
  <c r="A802" i="4"/>
  <c r="A819" i="4"/>
  <c r="A810" i="4"/>
  <c r="A761" i="4"/>
  <c r="A780" i="4"/>
  <c r="A876" i="4"/>
  <c r="A868" i="4"/>
  <c r="A848" i="4"/>
  <c r="A815" i="4"/>
  <c r="A840" i="4"/>
  <c r="A820" i="4"/>
  <c r="A789" i="4"/>
  <c r="A786" i="4"/>
  <c r="A764" i="4"/>
  <c r="A798" i="4"/>
  <c r="A758" i="4"/>
  <c r="A743" i="4"/>
  <c r="A851" i="4"/>
  <c r="A847" i="4"/>
  <c r="A824" i="4"/>
  <c r="A832" i="4"/>
  <c r="A830" i="4"/>
  <c r="A814" i="4"/>
  <c r="A804" i="4"/>
  <c r="A790" i="4"/>
  <c r="A767" i="4"/>
  <c r="A788" i="4"/>
  <c r="A785" i="4"/>
  <c r="A765" i="4"/>
  <c r="A763" i="4"/>
  <c r="A781" i="4"/>
  <c r="A775" i="4"/>
  <c r="A759" i="4"/>
  <c r="A757" i="4"/>
  <c r="A751" i="4"/>
  <c r="A742" i="4"/>
  <c r="A866" i="4"/>
  <c r="A873" i="4"/>
  <c r="A869" i="4"/>
  <c r="A850" i="4"/>
  <c r="A846" i="4"/>
  <c r="A835" i="4"/>
  <c r="A822" i="4"/>
  <c r="A841" i="4"/>
  <c r="A829" i="4"/>
  <c r="A827" i="4"/>
  <c r="A813" i="4"/>
  <c r="A812" i="4"/>
  <c r="A800" i="4"/>
  <c r="A787" i="4"/>
  <c r="A799" i="4"/>
  <c r="A783" i="4"/>
  <c r="A762" i="4"/>
  <c r="A753" i="4"/>
  <c r="A797" i="4"/>
  <c r="A752" i="4"/>
  <c r="A774" i="4"/>
  <c r="A750" i="4"/>
  <c r="A882" i="4"/>
  <c r="A877" i="4"/>
  <c r="A867" i="4"/>
  <c r="A919" i="4"/>
  <c r="A836" i="4"/>
  <c r="A838" i="4"/>
  <c r="A843" i="4"/>
  <c r="A834" i="4"/>
  <c r="A833" i="4"/>
  <c r="A831" i="4"/>
  <c r="A828" i="4"/>
  <c r="A821" i="4"/>
  <c r="A803" i="4"/>
  <c r="A801" i="4"/>
  <c r="A766" i="4"/>
  <c r="A811" i="4"/>
  <c r="A784" i="4"/>
  <c r="A776" i="4"/>
  <c r="A782" i="4"/>
  <c r="A760" i="4"/>
  <c r="A745" i="4"/>
  <c r="A773" i="4"/>
  <c r="A744" i="4"/>
  <c r="A749" i="4"/>
  <c r="A874" i="4"/>
  <c r="A872" i="4"/>
  <c r="A878" i="4"/>
  <c r="A918" i="4"/>
  <c r="I871" i="5"/>
  <c r="I70" i="5"/>
  <c r="L122" i="1"/>
  <c r="L876" i="1"/>
  <c r="I902" i="5"/>
  <c r="I69" i="5"/>
  <c r="L173" i="1"/>
  <c r="L905" i="1"/>
  <c r="I492" i="5"/>
  <c r="I38" i="5"/>
  <c r="L401" i="1"/>
  <c r="L564" i="1"/>
  <c r="I843" i="5"/>
  <c r="I392" i="5"/>
  <c r="L45" i="1"/>
  <c r="L842" i="1"/>
  <c r="A479" i="4"/>
  <c r="I552" i="5"/>
  <c r="I172" i="5"/>
  <c r="L263" i="1"/>
  <c r="L501" i="1"/>
  <c r="Q23" i="5" a="1"/>
  <c r="Q23" i="5" s="1"/>
  <c r="Q22" i="5" a="1"/>
  <c r="Q22" i="5" s="1"/>
  <c r="R17" i="4" a="1"/>
  <c r="R17" i="4" s="1"/>
  <c r="R33" i="4" a="1"/>
  <c r="R33" i="4" s="1"/>
  <c r="R30" i="4" a="1"/>
  <c r="R30" i="4" s="1"/>
  <c r="R19" i="4" a="1"/>
  <c r="R19" i="4" s="1"/>
  <c r="R21" i="4" a="1"/>
  <c r="R21" i="4" s="1"/>
  <c r="R13" i="4" a="1"/>
  <c r="R13" i="4" s="1"/>
  <c r="R29" i="4" a="1"/>
  <c r="R29" i="4" s="1"/>
  <c r="R25" i="4" a="1"/>
  <c r="R25" i="4" s="1"/>
  <c r="R14" i="4" a="1"/>
  <c r="R14" i="4" s="1"/>
  <c r="R28" i="4" a="1"/>
  <c r="R28" i="4" s="1"/>
  <c r="R26" i="4" a="1"/>
  <c r="R26" i="4" s="1"/>
  <c r="R16" i="4" a="1"/>
  <c r="R16" i="4" s="1"/>
  <c r="R22" i="4" a="1"/>
  <c r="R22" i="4" s="1"/>
  <c r="A897" i="4"/>
  <c r="R15" i="4" a="1"/>
  <c r="R15" i="4" s="1"/>
  <c r="R27" i="4" a="1"/>
  <c r="R27" i="4" s="1"/>
  <c r="R32" i="4" a="1"/>
  <c r="R32" i="4" s="1"/>
  <c r="R24" i="4" a="1"/>
  <c r="R24" i="4" s="1"/>
  <c r="R23" i="4" a="1"/>
  <c r="R23" i="4" s="1"/>
  <c r="R20" i="4" a="1"/>
  <c r="R20" i="4" s="1"/>
  <c r="K719" i="1"/>
  <c r="Q33" i="5" a="1"/>
  <c r="Q33" i="5" s="1"/>
  <c r="Q31" i="5" a="1"/>
  <c r="Q31" i="5" s="1"/>
  <c r="Q25" i="5" a="1"/>
  <c r="Q25" i="5" s="1"/>
  <c r="Q24" i="5" a="1"/>
  <c r="Q24" i="5" s="1"/>
  <c r="Q14" i="5" a="1"/>
  <c r="Q14" i="5" s="1"/>
  <c r="Q12" i="5" a="1"/>
  <c r="Q12" i="5" s="1"/>
  <c r="Q20" i="5" a="1"/>
  <c r="Q20" i="5" s="1"/>
  <c r="Q19" i="5" a="1"/>
  <c r="Q19" i="5" s="1"/>
  <c r="Q7" i="5" a="1"/>
  <c r="Q7" i="5" s="1"/>
  <c r="Q21" i="5" a="1"/>
  <c r="Q21" i="5" s="1"/>
  <c r="Q16" i="5" a="1"/>
  <c r="Q16" i="5" s="1"/>
  <c r="Q13" i="5" a="1"/>
  <c r="Q13" i="5" s="1"/>
  <c r="Q27" i="5" a="1"/>
  <c r="Q27" i="5" s="1"/>
  <c r="Q28" i="5" a="1"/>
  <c r="Q28" i="5" s="1"/>
  <c r="Q30" i="5" a="1"/>
  <c r="Q30" i="5" s="1"/>
  <c r="Q18" i="5" a="1"/>
  <c r="Q18" i="5" s="1"/>
  <c r="Q26" i="5" a="1"/>
  <c r="Q26" i="5" s="1"/>
  <c r="H894" i="5"/>
  <c r="H921" i="5"/>
  <c r="H965" i="5"/>
  <c r="H862" i="5"/>
  <c r="I105" i="5"/>
  <c r="A953" i="4"/>
  <c r="I921" i="4"/>
  <c r="A892" i="4"/>
  <c r="A961" i="4"/>
  <c r="A958" i="4"/>
  <c r="A854" i="4"/>
  <c r="A884" i="4"/>
  <c r="A951" i="4"/>
  <c r="A962" i="4"/>
  <c r="A952" i="4"/>
  <c r="I965" i="4"/>
  <c r="A956" i="4"/>
  <c r="A924" i="4"/>
  <c r="A960" i="4"/>
  <c r="A954" i="4"/>
  <c r="A963" i="4"/>
  <c r="A959" i="4"/>
  <c r="A957" i="4"/>
  <c r="I894" i="4"/>
  <c r="A865" i="4"/>
  <c r="A890" i="4"/>
  <c r="A889" i="4"/>
  <c r="A891" i="4"/>
  <c r="I862" i="4"/>
  <c r="A860" i="4"/>
  <c r="H719" i="5"/>
  <c r="I821" i="5"/>
  <c r="I960" i="5"/>
  <c r="I957" i="5"/>
  <c r="I955" i="5"/>
  <c r="I954" i="5"/>
  <c r="I933" i="5"/>
  <c r="I931" i="5"/>
  <c r="I963" i="5"/>
  <c r="I961" i="5"/>
  <c r="I946" i="5"/>
  <c r="I939" i="5"/>
  <c r="I951" i="5"/>
  <c r="I940" i="5"/>
  <c r="I927" i="5"/>
  <c r="I962" i="5"/>
  <c r="I959" i="5"/>
  <c r="I952" i="5"/>
  <c r="I937" i="5"/>
  <c r="I942" i="5"/>
  <c r="I934" i="5"/>
  <c r="I930" i="5"/>
  <c r="I958" i="5"/>
  <c r="I949" i="5"/>
  <c r="I945" i="5"/>
  <c r="I944" i="5"/>
  <c r="I941" i="5"/>
  <c r="I932" i="5"/>
  <c r="I925" i="5"/>
  <c r="I928" i="5"/>
  <c r="I915" i="5"/>
  <c r="I911" i="5"/>
  <c r="I924" i="5"/>
  <c r="I842" i="5"/>
  <c r="I912" i="5"/>
  <c r="I908" i="5"/>
  <c r="I916" i="5"/>
  <c r="I913" i="5"/>
  <c r="I899" i="5"/>
  <c r="I914" i="5"/>
  <c r="I909" i="5"/>
  <c r="I907" i="5"/>
  <c r="I746" i="5"/>
  <c r="I840" i="5"/>
  <c r="I904" i="5"/>
  <c r="I880" i="5"/>
  <c r="I844" i="5"/>
  <c r="I776" i="5"/>
  <c r="I890" i="5"/>
  <c r="I877" i="5"/>
  <c r="I857" i="5"/>
  <c r="I850" i="5"/>
  <c r="I820" i="5"/>
  <c r="I801" i="5"/>
  <c r="I796" i="5"/>
  <c r="I750" i="5"/>
  <c r="I888" i="5"/>
  <c r="I889" i="5"/>
  <c r="I866" i="5"/>
  <c r="I874" i="5"/>
  <c r="I766" i="5"/>
  <c r="I867" i="5"/>
  <c r="I882" i="5"/>
  <c r="I886" i="5"/>
  <c r="I878" i="5"/>
  <c r="I854" i="5"/>
  <c r="I768" i="5"/>
  <c r="I782" i="5"/>
  <c r="I876" i="5"/>
  <c r="I851" i="5"/>
  <c r="I855" i="5"/>
  <c r="I839" i="5"/>
  <c r="I793" i="5"/>
  <c r="I775" i="5"/>
  <c r="I765" i="5"/>
  <c r="I891" i="5"/>
  <c r="I875" i="5"/>
  <c r="I865" i="5"/>
  <c r="I881" i="5"/>
  <c r="I852" i="5"/>
  <c r="I772" i="5"/>
  <c r="I832" i="5"/>
  <c r="I797" i="5"/>
  <c r="I827" i="5"/>
  <c r="I792" i="5"/>
  <c r="I807" i="5"/>
  <c r="I791" i="5"/>
  <c r="I789" i="5"/>
  <c r="I769" i="5"/>
  <c r="I732" i="5"/>
  <c r="I737" i="5"/>
  <c r="I849" i="5"/>
  <c r="I856" i="5"/>
  <c r="I824" i="5"/>
  <c r="I822" i="5"/>
  <c r="I846" i="5"/>
  <c r="I802" i="5"/>
  <c r="I781" i="5"/>
  <c r="I756" i="5"/>
  <c r="I767" i="5"/>
  <c r="I764" i="5"/>
  <c r="I725" i="5"/>
  <c r="I859" i="5"/>
  <c r="I848" i="5"/>
  <c r="I836" i="5"/>
  <c r="I757" i="5"/>
  <c r="I838" i="5"/>
  <c r="I804" i="5"/>
  <c r="I803" i="5"/>
  <c r="I795" i="5"/>
  <c r="I845" i="5"/>
  <c r="I760" i="5"/>
  <c r="I815" i="5"/>
  <c r="I810" i="5"/>
  <c r="I825" i="5"/>
  <c r="I817" i="5"/>
  <c r="I808" i="5"/>
  <c r="I738" i="5"/>
  <c r="I747" i="5"/>
  <c r="I835" i="5"/>
  <c r="I740" i="5"/>
  <c r="I733" i="5"/>
  <c r="I812" i="5"/>
  <c r="I735" i="5"/>
  <c r="I860" i="5"/>
  <c r="I858" i="5"/>
  <c r="I841" i="5"/>
  <c r="I828" i="5"/>
  <c r="I834" i="5"/>
  <c r="I826" i="5"/>
  <c r="I786" i="5"/>
  <c r="I833" i="5"/>
  <c r="I831" i="5"/>
  <c r="I813" i="5"/>
  <c r="I783" i="5"/>
  <c r="I809" i="5"/>
  <c r="I771" i="5"/>
  <c r="I774" i="5"/>
  <c r="I763" i="5"/>
  <c r="I790" i="5"/>
  <c r="I780" i="5"/>
  <c r="I728" i="5"/>
  <c r="I837" i="5"/>
  <c r="I752" i="5"/>
  <c r="I744" i="5"/>
  <c r="I729" i="5"/>
  <c r="I453" i="5"/>
  <c r="I428" i="5"/>
  <c r="I713" i="5"/>
  <c r="I703" i="5"/>
  <c r="I690" i="5"/>
  <c r="I712" i="5"/>
  <c r="I701" i="5"/>
  <c r="I672" i="5"/>
  <c r="I657" i="5"/>
  <c r="I705" i="5"/>
  <c r="I604" i="5"/>
  <c r="I671" i="5"/>
  <c r="I631" i="5"/>
  <c r="I679" i="5"/>
  <c r="I618" i="5"/>
  <c r="I638" i="5"/>
  <c r="I636" i="5"/>
  <c r="I663" i="5"/>
  <c r="I635" i="5"/>
  <c r="I662" i="5"/>
  <c r="I611" i="5"/>
  <c r="I562" i="5"/>
  <c r="I610" i="5"/>
  <c r="I624" i="5"/>
  <c r="I708" i="5"/>
  <c r="I571" i="5"/>
  <c r="I655" i="5"/>
  <c r="I623" i="5"/>
  <c r="I524" i="5"/>
  <c r="I569" i="5"/>
  <c r="I650" i="5"/>
  <c r="I637" i="5"/>
  <c r="I539" i="5"/>
  <c r="I575" i="5"/>
  <c r="I626" i="5"/>
  <c r="I555" i="5"/>
  <c r="I540" i="5"/>
  <c r="I506" i="5"/>
  <c r="I577" i="5"/>
  <c r="I603" i="5"/>
  <c r="I533" i="5"/>
  <c r="I590" i="5"/>
  <c r="I449" i="5"/>
  <c r="I715" i="5"/>
  <c r="I681" i="5"/>
  <c r="I707" i="5"/>
  <c r="I717" i="5"/>
  <c r="I692" i="5"/>
  <c r="I697" i="5"/>
  <c r="I696" i="5"/>
  <c r="I634" i="5"/>
  <c r="I675" i="5"/>
  <c r="I687" i="5"/>
  <c r="I633" i="5"/>
  <c r="I693" i="5"/>
  <c r="I684" i="5"/>
  <c r="I617" i="5"/>
  <c r="I646" i="5"/>
  <c r="I521" i="5"/>
  <c r="I640" i="5"/>
  <c r="I652" i="5"/>
  <c r="I559" i="5"/>
  <c r="I653" i="5"/>
  <c r="I619" i="5"/>
  <c r="I578" i="5"/>
  <c r="I616" i="5"/>
  <c r="I612" i="5"/>
  <c r="I592" i="5"/>
  <c r="I507" i="5"/>
  <c r="I588" i="5"/>
  <c r="I605" i="5"/>
  <c r="I535" i="5"/>
  <c r="I503" i="5"/>
  <c r="I491" i="5"/>
  <c r="I585" i="5"/>
  <c r="I547" i="5"/>
  <c r="I499" i="5"/>
  <c r="I501" i="5"/>
  <c r="I531" i="5"/>
  <c r="I595" i="5"/>
  <c r="I546" i="5"/>
  <c r="I518" i="5"/>
  <c r="I530" i="5"/>
  <c r="I495" i="5"/>
  <c r="I706" i="5"/>
  <c r="I694" i="5"/>
  <c r="I651" i="5"/>
  <c r="I680" i="5"/>
  <c r="I711" i="5"/>
  <c r="I678" i="5"/>
  <c r="I660" i="5"/>
  <c r="I630" i="5"/>
  <c r="I649" i="5"/>
  <c r="I598" i="5"/>
  <c r="I632" i="5"/>
  <c r="I556" i="5"/>
  <c r="I537" i="5"/>
  <c r="I566" i="5"/>
  <c r="I511" i="5"/>
  <c r="I560" i="5"/>
  <c r="I496" i="5"/>
  <c r="I515" i="5"/>
  <c r="I512" i="5"/>
  <c r="I464" i="5"/>
  <c r="I714" i="5"/>
  <c r="I702" i="5"/>
  <c r="I654" i="5"/>
  <c r="I597" i="5"/>
  <c r="I686" i="5"/>
  <c r="I591" i="5"/>
  <c r="I670" i="5"/>
  <c r="I689" i="5"/>
  <c r="I613" i="5"/>
  <c r="I639" i="5"/>
  <c r="I674" i="5"/>
  <c r="I688" i="5"/>
  <c r="I594" i="5"/>
  <c r="I602" i="5"/>
  <c r="I548" i="5"/>
  <c r="I551" i="5"/>
  <c r="I502" i="5"/>
  <c r="I574" i="5"/>
  <c r="I563" i="5"/>
  <c r="I542" i="5"/>
  <c r="I600" i="5"/>
  <c r="I490" i="5"/>
  <c r="I8" i="5"/>
  <c r="I376" i="5"/>
  <c r="I709" i="5"/>
  <c r="I700" i="5"/>
  <c r="I710" i="5"/>
  <c r="I699" i="5"/>
  <c r="I664" i="5"/>
  <c r="I659" i="5"/>
  <c r="I676" i="5"/>
  <c r="I691" i="5"/>
  <c r="I695" i="5"/>
  <c r="I698" i="5"/>
  <c r="I685" i="5"/>
  <c r="I596" i="5"/>
  <c r="I665" i="5"/>
  <c r="I716" i="5"/>
  <c r="I641" i="5"/>
  <c r="I648" i="5"/>
  <c r="I580" i="5"/>
  <c r="I647" i="5"/>
  <c r="I615" i="5"/>
  <c r="I565" i="5"/>
  <c r="I642" i="5"/>
  <c r="I669" i="5"/>
  <c r="I582" i="5"/>
  <c r="I608" i="5"/>
  <c r="I509" i="5"/>
  <c r="I520" i="5"/>
  <c r="I584" i="5"/>
  <c r="I628" i="5"/>
  <c r="I550" i="5"/>
  <c r="I527" i="5"/>
  <c r="I544" i="5"/>
  <c r="I576" i="5"/>
  <c r="I505" i="5"/>
  <c r="I508" i="5"/>
  <c r="I514" i="5"/>
  <c r="I525" i="5"/>
  <c r="I532" i="5"/>
  <c r="I517" i="5"/>
  <c r="I479" i="5"/>
  <c r="I564" i="5"/>
  <c r="I519" i="5"/>
  <c r="I417" i="5"/>
  <c r="I319" i="5"/>
  <c r="I474" i="5"/>
  <c r="I461" i="5"/>
  <c r="I457" i="5"/>
  <c r="I445" i="5"/>
  <c r="I344" i="5"/>
  <c r="I408" i="5"/>
  <c r="I372" i="5"/>
  <c r="I335" i="5"/>
  <c r="I346" i="5"/>
  <c r="I313" i="5"/>
  <c r="I318" i="5"/>
  <c r="I331" i="5"/>
  <c r="I413" i="5"/>
  <c r="I471" i="5"/>
  <c r="I364" i="5"/>
  <c r="I340" i="5"/>
  <c r="I352" i="5"/>
  <c r="I321" i="5"/>
  <c r="I290" i="5"/>
  <c r="I391" i="5"/>
  <c r="I284" i="5"/>
  <c r="I276" i="5"/>
  <c r="I147" i="5"/>
  <c r="I208" i="5"/>
  <c r="I145" i="5"/>
  <c r="I304" i="5"/>
  <c r="I167" i="5"/>
  <c r="I241" i="5"/>
  <c r="I168" i="5"/>
  <c r="I81" i="5"/>
  <c r="I212" i="5"/>
  <c r="I190" i="5"/>
  <c r="I60" i="5"/>
  <c r="I120" i="5"/>
  <c r="I26" i="5"/>
  <c r="I32" i="5"/>
  <c r="I102" i="5"/>
  <c r="I138" i="5"/>
  <c r="I15" i="5"/>
  <c r="I412" i="5"/>
  <c r="I431" i="5"/>
  <c r="I107" i="5"/>
  <c r="I444" i="5"/>
  <c r="I338" i="5"/>
  <c r="I312" i="5"/>
  <c r="I394" i="5"/>
  <c r="I427" i="5"/>
  <c r="I308" i="5"/>
  <c r="I316" i="5"/>
  <c r="I184" i="5"/>
  <c r="I193" i="5"/>
  <c r="I272" i="5"/>
  <c r="I198" i="5"/>
  <c r="I177" i="5"/>
  <c r="I250" i="5"/>
  <c r="I74" i="5"/>
  <c r="I238" i="5"/>
  <c r="I266" i="5"/>
  <c r="I174" i="5"/>
  <c r="I345" i="5"/>
  <c r="I367" i="5"/>
  <c r="I67" i="5"/>
  <c r="I57" i="5"/>
  <c r="I203" i="5"/>
  <c r="I122" i="5"/>
  <c r="I80" i="5"/>
  <c r="I257" i="5"/>
  <c r="I262" i="5"/>
  <c r="I234" i="5"/>
  <c r="I34" i="5"/>
  <c r="I458" i="5"/>
  <c r="I416" i="5"/>
  <c r="I462" i="5"/>
  <c r="I347" i="5"/>
  <c r="I447" i="5"/>
  <c r="I393" i="5"/>
  <c r="I387" i="5"/>
  <c r="I452" i="5"/>
  <c r="I422" i="5"/>
  <c r="I245" i="5"/>
  <c r="I435" i="5"/>
  <c r="I326" i="5"/>
  <c r="I377" i="5"/>
  <c r="I334" i="5"/>
  <c r="I325" i="5"/>
  <c r="I281" i="5"/>
  <c r="I343" i="5"/>
  <c r="I112" i="5"/>
  <c r="I401" i="5"/>
  <c r="I309" i="5"/>
  <c r="I228" i="5"/>
  <c r="I260" i="5"/>
  <c r="I223" i="5"/>
  <c r="I259" i="5"/>
  <c r="I226" i="5"/>
  <c r="I140" i="5"/>
  <c r="I63" i="5"/>
  <c r="I144" i="5"/>
  <c r="I61" i="5"/>
  <c r="I132" i="5"/>
  <c r="I163" i="5"/>
  <c r="I75" i="5"/>
  <c r="I150" i="5"/>
  <c r="I154" i="5"/>
  <c r="I217" i="5"/>
  <c r="I17" i="5"/>
  <c r="I46" i="5"/>
  <c r="I242" i="5"/>
  <c r="I55" i="5"/>
  <c r="I465" i="5"/>
  <c r="I466" i="5"/>
  <c r="I430" i="5"/>
  <c r="I368" i="5"/>
  <c r="I389" i="5"/>
  <c r="I388" i="5"/>
  <c r="I314" i="5"/>
  <c r="I439" i="5"/>
  <c r="I443" i="5"/>
  <c r="I423" i="5"/>
  <c r="I410" i="5"/>
  <c r="I357" i="5"/>
  <c r="I287" i="5"/>
  <c r="I371" i="5"/>
  <c r="I395" i="5"/>
  <c r="I322" i="5"/>
  <c r="I341" i="5"/>
  <c r="I351" i="5"/>
  <c r="I327" i="5"/>
  <c r="I298" i="5"/>
  <c r="I459" i="5"/>
  <c r="I204" i="5"/>
  <c r="I273" i="5"/>
  <c r="I106" i="5"/>
  <c r="I274" i="5"/>
  <c r="I398" i="5"/>
  <c r="I211" i="5"/>
  <c r="I185" i="5"/>
  <c r="I159" i="5"/>
  <c r="I125" i="5"/>
  <c r="I66" i="5"/>
  <c r="I124" i="5"/>
  <c r="I91" i="5"/>
  <c r="I92" i="5"/>
  <c r="I50" i="5"/>
  <c r="I101" i="5"/>
  <c r="I166" i="5"/>
  <c r="I192" i="5"/>
  <c r="I480" i="5"/>
  <c r="I473" i="5"/>
  <c r="I469" i="5"/>
  <c r="I467" i="5"/>
  <c r="I468" i="5"/>
  <c r="I436" i="5"/>
  <c r="I472" i="5"/>
  <c r="I432" i="5"/>
  <c r="I418" i="5"/>
  <c r="I405" i="5"/>
  <c r="I440" i="5"/>
  <c r="I402" i="5"/>
  <c r="I441" i="5"/>
  <c r="I404" i="5"/>
  <c r="I433" i="5"/>
  <c r="I149" i="5"/>
  <c r="I463" i="5"/>
  <c r="I425" i="5"/>
  <c r="I442" i="5"/>
  <c r="I380" i="5"/>
  <c r="I366" i="5"/>
  <c r="I310" i="5"/>
  <c r="I253" i="5"/>
  <c r="I232" i="5"/>
  <c r="I171" i="5"/>
  <c r="I261" i="5"/>
  <c r="I365" i="5"/>
  <c r="I320" i="5"/>
  <c r="I244" i="5"/>
  <c r="I328" i="5"/>
  <c r="I317" i="5"/>
  <c r="I375" i="5"/>
  <c r="I279" i="5"/>
  <c r="I384" i="5"/>
  <c r="I339" i="5"/>
  <c r="I282" i="5"/>
  <c r="I254" i="5"/>
  <c r="I189" i="5"/>
  <c r="I227" i="5"/>
  <c r="I218" i="5"/>
  <c r="I383" i="5"/>
  <c r="I426" i="5"/>
  <c r="I278" i="5"/>
  <c r="I222" i="5"/>
  <c r="I256" i="5"/>
  <c r="I240" i="5"/>
  <c r="I76" i="5"/>
  <c r="I305" i="5"/>
  <c r="I295" i="5"/>
  <c r="I230" i="5"/>
  <c r="I119" i="5"/>
  <c r="I155" i="5"/>
  <c r="I121" i="5"/>
  <c r="I115" i="5"/>
  <c r="I104" i="5"/>
  <c r="I194" i="5"/>
  <c r="I129" i="5"/>
  <c r="I37" i="5"/>
  <c r="I148" i="5"/>
  <c r="I231" i="5"/>
  <c r="I39" i="5"/>
  <c r="I214" i="5"/>
  <c r="I301" i="5"/>
  <c r="I142" i="5"/>
  <c r="I45" i="5"/>
  <c r="I98" i="5"/>
  <c r="I135" i="5"/>
  <c r="I71" i="5"/>
  <c r="I137" i="5"/>
  <c r="I123" i="5"/>
  <c r="I127" i="5"/>
  <c r="I33" i="5"/>
  <c r="I29" i="5"/>
  <c r="I93" i="5"/>
  <c r="I7" i="5"/>
  <c r="I134" i="5"/>
  <c r="I49" i="5"/>
  <c r="I86" i="5"/>
  <c r="I438" i="5"/>
  <c r="I470" i="5"/>
  <c r="I455" i="5"/>
  <c r="I446" i="5"/>
  <c r="I456" i="5"/>
  <c r="I448" i="5"/>
  <c r="I415" i="5"/>
  <c r="I437" i="5"/>
  <c r="I460" i="5"/>
  <c r="I354" i="5"/>
  <c r="I363" i="5"/>
  <c r="I386" i="5"/>
  <c r="I360" i="5"/>
  <c r="I252" i="5"/>
  <c r="I400" i="5"/>
  <c r="I264" i="5"/>
  <c r="I451" i="5"/>
  <c r="I390" i="5"/>
  <c r="I411" i="5"/>
  <c r="I358" i="5"/>
  <c r="I263" i="5"/>
  <c r="I409" i="5"/>
  <c r="I424" i="5"/>
  <c r="I385" i="5"/>
  <c r="I202" i="5"/>
  <c r="I286" i="5"/>
  <c r="I293" i="5"/>
  <c r="I237" i="5"/>
  <c r="I324" i="5"/>
  <c r="I109" i="5"/>
  <c r="I283" i="5"/>
  <c r="I224" i="5"/>
  <c r="I350" i="5"/>
  <c r="I373" i="5"/>
  <c r="I275" i="5"/>
  <c r="I152" i="5"/>
  <c r="I289" i="5"/>
  <c r="I397" i="5"/>
  <c r="I311" i="5"/>
  <c r="I297" i="5"/>
  <c r="I136" i="5"/>
  <c r="I277" i="5"/>
  <c r="I271" i="5"/>
  <c r="I248" i="5"/>
  <c r="I337" i="5"/>
  <c r="I355" i="5"/>
  <c r="I161" i="5"/>
  <c r="I188" i="5"/>
  <c r="I84" i="5"/>
  <c r="I164" i="5"/>
  <c r="I197" i="5"/>
  <c r="I170" i="5"/>
  <c r="I215" i="5"/>
  <c r="I62" i="5"/>
  <c r="I85" i="5"/>
  <c r="I356" i="5"/>
  <c r="I207" i="5"/>
  <c r="I28" i="5"/>
  <c r="I131" i="5"/>
  <c r="I220" i="5"/>
  <c r="I213" i="5"/>
  <c r="I374" i="5"/>
  <c r="I186" i="5"/>
  <c r="I176" i="5"/>
  <c r="I191" i="5"/>
  <c r="I51" i="5"/>
  <c r="I251" i="5"/>
  <c r="I288" i="5"/>
  <c r="I42" i="5"/>
  <c r="I126" i="5"/>
  <c r="I162" i="5"/>
  <c r="I169" i="5"/>
  <c r="I14" i="5"/>
  <c r="I97" i="5"/>
  <c r="I36" i="5"/>
  <c r="I77" i="5"/>
  <c r="H476" i="5"/>
  <c r="A859" i="4"/>
  <c r="A853" i="4"/>
  <c r="A858" i="4"/>
  <c r="A722" i="4"/>
  <c r="A6" i="4"/>
  <c r="I476" i="4"/>
  <c r="L770" i="1"/>
  <c r="L821" i="1"/>
  <c r="L851" i="1"/>
  <c r="L745" i="1"/>
  <c r="L774" i="1"/>
  <c r="L799" i="1"/>
  <c r="L817" i="1"/>
  <c r="L825" i="1"/>
  <c r="L834" i="1"/>
  <c r="L844" i="1"/>
  <c r="L854" i="1"/>
  <c r="L740" i="1"/>
  <c r="L794" i="1"/>
  <c r="L831" i="1"/>
  <c r="L840" i="1"/>
  <c r="L758" i="1"/>
  <c r="L783" i="1"/>
  <c r="L806" i="1"/>
  <c r="L818" i="1"/>
  <c r="L826" i="1"/>
  <c r="L835" i="1"/>
  <c r="L845" i="1"/>
  <c r="L858" i="1"/>
  <c r="L729" i="1"/>
  <c r="L762" i="1"/>
  <c r="L786" i="1"/>
  <c r="L809" i="1"/>
  <c r="L822" i="1"/>
  <c r="L830" i="1"/>
  <c r="L839" i="1"/>
  <c r="L850" i="1"/>
  <c r="L802" i="1"/>
  <c r="L734" i="1"/>
  <c r="L753" i="1"/>
  <c r="L764" i="1"/>
  <c r="L775" i="1"/>
  <c r="L787" i="1"/>
  <c r="L811" i="1"/>
  <c r="L819" i="1"/>
  <c r="L823" i="1"/>
  <c r="L828" i="1"/>
  <c r="L832" i="1"/>
  <c r="L837" i="1"/>
  <c r="L841" i="1"/>
  <c r="L846" i="1"/>
  <c r="L852" i="1"/>
  <c r="L859" i="1"/>
  <c r="L738" i="1"/>
  <c r="L756" i="1"/>
  <c r="L767" i="1"/>
  <c r="L778" i="1"/>
  <c r="L790" i="1"/>
  <c r="L803" i="1"/>
  <c r="L815" i="1"/>
  <c r="L820" i="1"/>
  <c r="L824" i="1"/>
  <c r="L829" i="1"/>
  <c r="L833" i="1"/>
  <c r="L838" i="1"/>
  <c r="L843" i="1"/>
  <c r="L847" i="1"/>
  <c r="L853" i="1"/>
  <c r="L860" i="1"/>
  <c r="L722" i="1"/>
  <c r="L732" i="1"/>
  <c r="L737" i="1"/>
  <c r="L739" i="1"/>
  <c r="L741" i="1"/>
  <c r="L749" i="1"/>
  <c r="L754" i="1"/>
  <c r="L757" i="1"/>
  <c r="L761" i="1"/>
  <c r="L763" i="1"/>
  <c r="L766" i="1"/>
  <c r="L769" i="1"/>
  <c r="L771" i="1"/>
  <c r="L776" i="1"/>
  <c r="L777" i="1"/>
  <c r="L779" i="1"/>
  <c r="L785" i="1"/>
  <c r="L788" i="1"/>
  <c r="L789" i="1"/>
  <c r="L793" i="1"/>
  <c r="L796" i="1"/>
  <c r="L801" i="1"/>
  <c r="L800" i="1"/>
  <c r="L804" i="1"/>
  <c r="L808" i="1"/>
  <c r="L810" i="1"/>
  <c r="L898" i="1"/>
  <c r="L903" i="1"/>
  <c r="L906" i="1"/>
  <c r="L911" i="1"/>
  <c r="L917" i="1"/>
  <c r="L919" i="1"/>
  <c r="L902" i="1"/>
  <c r="L904" i="1"/>
  <c r="L909" i="1"/>
  <c r="L912" i="1"/>
  <c r="L918" i="1"/>
  <c r="L866" i="1"/>
  <c r="L892" i="1"/>
  <c r="L875" i="1"/>
  <c r="L881" i="1"/>
  <c r="L870" i="1"/>
  <c r="L883" i="1"/>
  <c r="L873" i="1"/>
  <c r="L890" i="1"/>
  <c r="L865" i="1"/>
  <c r="L869" i="1"/>
  <c r="L871" i="1"/>
  <c r="L874" i="1"/>
  <c r="L880" i="1"/>
  <c r="L882" i="1"/>
  <c r="L886" i="1"/>
  <c r="L891" i="1"/>
  <c r="L513" i="1"/>
  <c r="L539" i="1"/>
  <c r="L566" i="1"/>
  <c r="L579" i="1"/>
  <c r="L606" i="1"/>
  <c r="L626" i="1"/>
  <c r="L644" i="1"/>
  <c r="L665" i="1"/>
  <c r="L683" i="1"/>
  <c r="L692" i="1"/>
  <c r="L710" i="1"/>
  <c r="L497" i="1"/>
  <c r="L528" i="1"/>
  <c r="L555" i="1"/>
  <c r="L569" i="1"/>
  <c r="L595" i="1"/>
  <c r="L610" i="1"/>
  <c r="L620" i="1"/>
  <c r="L637" i="1"/>
  <c r="L646" i="1"/>
  <c r="L656" i="1"/>
  <c r="L664" i="1"/>
  <c r="L675" i="1"/>
  <c r="L685" i="1"/>
  <c r="L694" i="1"/>
  <c r="L704" i="1"/>
  <c r="L712" i="1"/>
  <c r="L483" i="1"/>
  <c r="L503" i="1"/>
  <c r="L519" i="1"/>
  <c r="L534" i="1"/>
  <c r="L547" i="1"/>
  <c r="L558" i="1"/>
  <c r="L572" i="1"/>
  <c r="L588" i="1"/>
  <c r="L597" i="1"/>
  <c r="L612" i="1"/>
  <c r="L622" i="1"/>
  <c r="L631" i="1"/>
  <c r="L640" i="1"/>
  <c r="L648" i="1"/>
  <c r="L658" i="1"/>
  <c r="L668" i="1"/>
  <c r="L677" i="1"/>
  <c r="L687" i="1"/>
  <c r="L696" i="1"/>
  <c r="L706" i="1"/>
  <c r="L714" i="1"/>
  <c r="L491" i="1"/>
  <c r="L526" i="1"/>
  <c r="L551" i="1"/>
  <c r="L594" i="1"/>
  <c r="L618" i="1"/>
  <c r="L636" i="1"/>
  <c r="L655" i="1"/>
  <c r="L673" i="1"/>
  <c r="L702" i="1"/>
  <c r="L479" i="1"/>
  <c r="L543" i="1"/>
  <c r="L584" i="1"/>
  <c r="L629" i="1"/>
  <c r="L487" i="1"/>
  <c r="L506" i="1"/>
  <c r="L525" i="1"/>
  <c r="L533" i="1"/>
  <c r="L550" i="1"/>
  <c r="L560" i="1"/>
  <c r="L574" i="1"/>
  <c r="L592" i="1"/>
  <c r="L604" i="1"/>
  <c r="L615" i="1"/>
  <c r="L624" i="1"/>
  <c r="L632" i="1"/>
  <c r="L641" i="1"/>
  <c r="L651" i="1"/>
  <c r="L662" i="1"/>
  <c r="L671" i="1"/>
  <c r="L679" i="1"/>
  <c r="L690" i="1"/>
  <c r="L699" i="1"/>
  <c r="L708" i="1"/>
  <c r="L716" i="1"/>
  <c r="L481" i="1"/>
  <c r="L485" i="1"/>
  <c r="L488" i="1"/>
  <c r="L494" i="1"/>
  <c r="L498" i="1"/>
  <c r="L504" i="1"/>
  <c r="L512" i="1"/>
  <c r="L514" i="1"/>
  <c r="L523" i="1"/>
  <c r="L524" i="1"/>
  <c r="L527" i="1"/>
  <c r="L529" i="1"/>
  <c r="L532" i="1"/>
  <c r="L535" i="1"/>
  <c r="L540" i="1"/>
  <c r="L546" i="1"/>
  <c r="L549" i="1"/>
  <c r="L552" i="1"/>
  <c r="L553" i="1"/>
  <c r="L556" i="1"/>
  <c r="L561" i="1"/>
  <c r="L563" i="1"/>
  <c r="L567" i="1"/>
  <c r="L571" i="1"/>
  <c r="L573" i="1"/>
  <c r="L576" i="1"/>
  <c r="L583" i="1"/>
  <c r="L585" i="1"/>
  <c r="L590" i="1"/>
  <c r="L593" i="1"/>
  <c r="L596" i="1"/>
  <c r="L598" i="1"/>
  <c r="L599" i="1"/>
  <c r="L603" i="1"/>
  <c r="L609" i="1"/>
  <c r="L611" i="1"/>
  <c r="L613" i="1"/>
  <c r="L614" i="1"/>
  <c r="L619" i="1"/>
  <c r="L621" i="1"/>
  <c r="L623" i="1"/>
  <c r="L625" i="1"/>
  <c r="L627" i="1"/>
  <c r="L630" i="1"/>
  <c r="L633" i="1"/>
  <c r="L634" i="1"/>
  <c r="L635" i="1"/>
  <c r="L639" i="1"/>
  <c r="L642" i="1"/>
  <c r="L643" i="1"/>
  <c r="L645" i="1"/>
  <c r="L647" i="1"/>
  <c r="L650" i="1"/>
  <c r="L652" i="1"/>
  <c r="L654" i="1"/>
  <c r="L657" i="1"/>
  <c r="L660" i="1"/>
  <c r="L663" i="1"/>
  <c r="L666" i="1"/>
  <c r="L667" i="1"/>
  <c r="L670" i="1"/>
  <c r="L672" i="1"/>
  <c r="L674" i="1"/>
  <c r="L676" i="1"/>
  <c r="L678" i="1"/>
  <c r="L682" i="1"/>
  <c r="L684" i="1"/>
  <c r="L686" i="1"/>
  <c r="L688" i="1"/>
  <c r="L691" i="1"/>
  <c r="L693" i="1"/>
  <c r="L695" i="1"/>
  <c r="L698" i="1"/>
  <c r="L701" i="1"/>
  <c r="L703" i="1"/>
  <c r="L705" i="1"/>
  <c r="L707" i="1"/>
  <c r="L709" i="1"/>
  <c r="L711" i="1"/>
  <c r="L713" i="1"/>
  <c r="L715" i="1"/>
  <c r="L717" i="1"/>
  <c r="L942" i="1"/>
  <c r="L931" i="1"/>
  <c r="L955" i="1"/>
  <c r="L963" i="1"/>
  <c r="L935" i="1"/>
  <c r="L945" i="1"/>
  <c r="L957" i="1"/>
  <c r="L924" i="1"/>
  <c r="L937" i="1"/>
  <c r="L947" i="1"/>
  <c r="L959" i="1"/>
  <c r="L927" i="1"/>
  <c r="L939" i="1"/>
  <c r="L950" i="1"/>
  <c r="L961" i="1"/>
  <c r="L925" i="1"/>
  <c r="L929" i="1"/>
  <c r="L932" i="1"/>
  <c r="L936" i="1"/>
  <c r="L938" i="1"/>
  <c r="L943" i="1"/>
  <c r="L944" i="1"/>
  <c r="L946" i="1"/>
  <c r="L949" i="1"/>
  <c r="L954" i="1"/>
  <c r="L956" i="1"/>
  <c r="L958" i="1"/>
  <c r="L960" i="1"/>
  <c r="L962" i="1"/>
  <c r="L285" i="1"/>
  <c r="L126" i="1"/>
  <c r="L49" i="1"/>
  <c r="L464" i="1"/>
  <c r="L430" i="1"/>
  <c r="L395" i="1"/>
  <c r="L454" i="1"/>
  <c r="L386" i="1"/>
  <c r="L18" i="1"/>
  <c r="L448" i="1"/>
  <c r="L412" i="1"/>
  <c r="L376" i="1"/>
  <c r="L421" i="1"/>
  <c r="L471" i="1"/>
  <c r="L439" i="1"/>
  <c r="L399" i="1"/>
  <c r="L362" i="1"/>
  <c r="L333" i="1"/>
  <c r="L309" i="1"/>
  <c r="L290" i="1"/>
  <c r="L271" i="1"/>
  <c r="L247" i="1"/>
  <c r="L227" i="1"/>
  <c r="L201" i="1"/>
  <c r="L181" i="1"/>
  <c r="L157" i="1"/>
  <c r="L136" i="1"/>
  <c r="L105" i="1"/>
  <c r="L41" i="1"/>
  <c r="L10" i="1"/>
  <c r="L470" i="1"/>
  <c r="L462" i="1"/>
  <c r="L453" i="1"/>
  <c r="L444" i="1"/>
  <c r="L436" i="1"/>
  <c r="L428" i="1"/>
  <c r="L420" i="1"/>
  <c r="L409" i="1"/>
  <c r="L398" i="1"/>
  <c r="L391" i="1"/>
  <c r="L383" i="1"/>
  <c r="L375" i="1"/>
  <c r="L366" i="1"/>
  <c r="L354" i="1"/>
  <c r="L347" i="1"/>
  <c r="L342" i="1"/>
  <c r="L329" i="1"/>
  <c r="L318" i="1"/>
  <c r="L311" i="1"/>
  <c r="L297" i="1"/>
  <c r="L289" i="1"/>
  <c r="L281" i="1"/>
  <c r="L270" i="1"/>
  <c r="L262" i="1"/>
  <c r="L246" i="1"/>
  <c r="L235" i="1"/>
  <c r="L228" i="1"/>
  <c r="L213" i="1"/>
  <c r="L195" i="1"/>
  <c r="L188" i="1"/>
  <c r="L180" i="1"/>
  <c r="L169" i="1"/>
  <c r="L155" i="1"/>
  <c r="L144" i="1"/>
  <c r="L131" i="1"/>
  <c r="L113" i="1"/>
  <c r="L102" i="1"/>
  <c r="L84" i="1"/>
  <c r="L67" i="1"/>
  <c r="L40" i="1"/>
  <c r="L367" i="1"/>
  <c r="L348" i="1"/>
  <c r="L341" i="1"/>
  <c r="L320" i="1"/>
  <c r="L301" i="1"/>
  <c r="L283" i="1"/>
  <c r="L265" i="1"/>
  <c r="L237" i="1"/>
  <c r="L219" i="1"/>
  <c r="L190" i="1"/>
  <c r="L172" i="1"/>
  <c r="L146" i="1"/>
  <c r="L116" i="1"/>
  <c r="L92" i="1"/>
  <c r="L7" i="1"/>
  <c r="L460" i="1"/>
  <c r="L452" i="1"/>
  <c r="L442" i="1"/>
  <c r="L434" i="1"/>
  <c r="L426" i="1"/>
  <c r="L414" i="1"/>
  <c r="L407" i="1"/>
  <c r="L397" i="1"/>
  <c r="L389" i="1"/>
  <c r="L380" i="1"/>
  <c r="L372" i="1"/>
  <c r="L363" i="1"/>
  <c r="L356" i="1"/>
  <c r="L343" i="1"/>
  <c r="L334" i="1"/>
  <c r="L326" i="1"/>
  <c r="L317" i="1"/>
  <c r="L306" i="1"/>
  <c r="L294" i="1"/>
  <c r="L287" i="1"/>
  <c r="L275" i="1"/>
  <c r="L264" i="1"/>
  <c r="L255" i="1"/>
  <c r="L240" i="1"/>
  <c r="L233" i="1"/>
  <c r="L224" i="1"/>
  <c r="L207" i="1"/>
  <c r="L199" i="1"/>
  <c r="L191" i="1"/>
  <c r="L177" i="1"/>
  <c r="L161" i="1"/>
  <c r="L154" i="1"/>
  <c r="L143" i="1"/>
  <c r="L130" i="1"/>
  <c r="L112" i="1"/>
  <c r="L96" i="1"/>
  <c r="L75" i="1"/>
  <c r="L54" i="1"/>
  <c r="L26" i="1"/>
  <c r="L472" i="1"/>
  <c r="L466" i="1"/>
  <c r="L457" i="1"/>
  <c r="L449" i="1"/>
  <c r="L440" i="1"/>
  <c r="L432" i="1"/>
  <c r="L423" i="1"/>
  <c r="L413" i="1"/>
  <c r="L404" i="1"/>
  <c r="L393" i="1"/>
  <c r="L388" i="1"/>
  <c r="L378" i="1"/>
  <c r="L370" i="1"/>
  <c r="L361" i="1"/>
  <c r="L351" i="1"/>
  <c r="L338" i="1"/>
  <c r="L336" i="1"/>
  <c r="L321" i="1"/>
  <c r="L313" i="1"/>
  <c r="L304" i="1"/>
  <c r="L293" i="1"/>
  <c r="L284" i="1"/>
  <c r="L277" i="1"/>
  <c r="L268" i="1"/>
  <c r="L252" i="1"/>
  <c r="L238" i="1"/>
  <c r="L231" i="1"/>
  <c r="L218" i="1"/>
  <c r="L209" i="1"/>
  <c r="L194" i="1"/>
  <c r="L182" i="1"/>
  <c r="L171" i="1"/>
  <c r="L163" i="1"/>
  <c r="L148" i="1"/>
  <c r="L139" i="1"/>
  <c r="L127" i="1"/>
  <c r="L104" i="1"/>
  <c r="L91" i="1"/>
  <c r="L74" i="1"/>
  <c r="L6" i="1"/>
  <c r="L22" i="1"/>
  <c r="L38" i="1"/>
  <c r="L43" i="1"/>
  <c r="L51" i="1"/>
  <c r="L66" i="1"/>
  <c r="L70" i="1"/>
  <c r="L77" i="1"/>
  <c r="L88" i="1"/>
  <c r="L93" i="1"/>
  <c r="L100" i="1"/>
  <c r="L110" i="1"/>
  <c r="L114" i="1"/>
  <c r="L128" i="1"/>
  <c r="L137" i="1"/>
  <c r="L141" i="1"/>
  <c r="L145" i="1"/>
  <c r="L156" i="1"/>
  <c r="L159" i="1"/>
  <c r="L167" i="1"/>
  <c r="L176" i="1"/>
  <c r="L179" i="1"/>
  <c r="L187" i="1"/>
  <c r="L192" i="1"/>
  <c r="L196" i="1"/>
  <c r="L203" i="1"/>
  <c r="L215" i="1"/>
  <c r="L223" i="1"/>
  <c r="L226" i="1"/>
  <c r="L232" i="1"/>
  <c r="L239" i="1"/>
  <c r="L241" i="1"/>
  <c r="L251" i="1"/>
  <c r="L260" i="1"/>
  <c r="L267" i="1"/>
  <c r="L269" i="1"/>
  <c r="L278" i="1"/>
  <c r="L282" i="1"/>
  <c r="L288" i="1"/>
  <c r="L291" i="1"/>
  <c r="L296" i="1"/>
  <c r="L302" i="1"/>
  <c r="L308" i="1"/>
  <c r="L316" i="1"/>
  <c r="L319" i="1"/>
  <c r="L327" i="1"/>
  <c r="L331" i="1"/>
  <c r="L335" i="1"/>
  <c r="L340" i="1"/>
  <c r="L346" i="1"/>
  <c r="L352" i="1"/>
  <c r="L360" i="1"/>
  <c r="L364" i="1"/>
  <c r="L369" i="1"/>
  <c r="L373" i="1"/>
  <c r="L374" i="1"/>
  <c r="L382" i="1"/>
  <c r="L387" i="1"/>
  <c r="L390" i="1"/>
  <c r="L394" i="1"/>
  <c r="L400" i="1"/>
  <c r="L406" i="1"/>
  <c r="L410" i="1"/>
  <c r="L418" i="1"/>
  <c r="L422" i="1"/>
  <c r="L427" i="1"/>
  <c r="L433" i="1"/>
  <c r="L437" i="1"/>
  <c r="L441" i="1"/>
  <c r="L446" i="1"/>
  <c r="L451" i="1"/>
  <c r="L455" i="1"/>
  <c r="L461" i="1"/>
  <c r="L465" i="1"/>
  <c r="L469" i="1"/>
  <c r="L473" i="1"/>
  <c r="L16" i="1"/>
  <c r="L23" i="1"/>
  <c r="L37" i="1"/>
  <c r="L47" i="1"/>
  <c r="L53" i="1"/>
  <c r="L65" i="1"/>
  <c r="L69" i="1"/>
  <c r="L82" i="1"/>
  <c r="L85" i="1"/>
  <c r="L95" i="1"/>
  <c r="L474" i="1"/>
  <c r="L468" i="1"/>
  <c r="L463" i="1"/>
  <c r="L456" i="1"/>
  <c r="L450" i="1"/>
  <c r="L443" i="1"/>
  <c r="L438" i="1"/>
  <c r="L431" i="1"/>
  <c r="L424" i="1"/>
  <c r="L417" i="1"/>
  <c r="L408" i="1"/>
  <c r="L405" i="1"/>
  <c r="L396" i="1"/>
  <c r="L392" i="1"/>
  <c r="L384" i="1"/>
  <c r="L379" i="1"/>
  <c r="L371" i="1"/>
  <c r="L365" i="1"/>
  <c r="L358" i="1"/>
  <c r="L350" i="1"/>
  <c r="L339" i="1"/>
  <c r="L337" i="1"/>
  <c r="L330" i="1"/>
  <c r="L322" i="1"/>
  <c r="L315" i="1"/>
  <c r="L307" i="1"/>
  <c r="L292" i="1"/>
  <c r="L286" i="1"/>
  <c r="L279" i="1"/>
  <c r="L272" i="1"/>
  <c r="L266" i="1"/>
  <c r="L254" i="1"/>
  <c r="L250" i="1"/>
  <c r="L234" i="1"/>
  <c r="L230" i="1"/>
  <c r="L221" i="1"/>
  <c r="L212" i="1"/>
  <c r="L200" i="1"/>
  <c r="L193" i="1"/>
  <c r="L184" i="1"/>
  <c r="L178" i="1"/>
  <c r="L168" i="1"/>
  <c r="L158" i="1"/>
  <c r="L149" i="1"/>
  <c r="L142" i="1"/>
  <c r="L134" i="1"/>
  <c r="L125" i="1"/>
  <c r="L111" i="1"/>
  <c r="L101" i="1"/>
  <c r="L86" i="1"/>
  <c r="L71" i="1"/>
  <c r="L50" i="1"/>
  <c r="L30" i="1"/>
  <c r="L14" i="1"/>
  <c r="L20" i="1"/>
  <c r="L13" i="1"/>
  <c r="A41" i="5" l="1"/>
  <c r="A118" i="5"/>
  <c r="A762" i="5"/>
  <c r="A731" i="5"/>
  <c r="A730" i="1"/>
  <c r="A733" i="1"/>
  <c r="A23" i="5"/>
  <c r="A486" i="5"/>
  <c r="A480" i="1"/>
  <c r="A117" i="5"/>
  <c r="A173" i="5"/>
  <c r="A116" i="5"/>
  <c r="A553" i="5"/>
  <c r="A523" i="5"/>
  <c r="A906" i="5"/>
  <c r="A575" i="1"/>
  <c r="A900" i="1"/>
  <c r="A554" i="1"/>
  <c r="A73" i="5"/>
  <c r="A40" i="5"/>
  <c r="A270" i="5"/>
  <c r="A609" i="5"/>
  <c r="A730" i="5"/>
  <c r="A903" i="5"/>
  <c r="A907" i="1"/>
  <c r="A587" i="1"/>
  <c r="A768" i="1"/>
  <c r="A72" i="5"/>
  <c r="A742" i="5"/>
  <c r="A760" i="1"/>
  <c r="A43" i="5"/>
  <c r="A493" i="5"/>
  <c r="A538" i="1"/>
  <c r="A44" i="5"/>
  <c r="A494" i="5"/>
  <c r="A541" i="1"/>
  <c r="A178" i="5"/>
  <c r="A938" i="5"/>
  <c r="A933" i="1"/>
  <c r="A746" i="1"/>
  <c r="A280" i="5"/>
  <c r="A78" i="5"/>
  <c r="A614" i="5"/>
  <c r="A743" i="5"/>
  <c r="A516" i="1"/>
  <c r="A396" i="5"/>
  <c r="A847" i="5"/>
  <c r="A848" i="1"/>
  <c r="A128" i="5"/>
  <c r="A12" i="5"/>
  <c r="A526" i="5"/>
  <c r="A482" i="5"/>
  <c r="A509" i="1"/>
  <c r="A508" i="1"/>
  <c r="A48" i="5"/>
  <c r="A180" i="5"/>
  <c r="A130" i="5"/>
  <c r="A528" i="5"/>
  <c r="A777" i="5"/>
  <c r="A869" i="5"/>
  <c r="A542" i="1"/>
  <c r="A784" i="1"/>
  <c r="A872" i="1"/>
  <c r="A421" i="5"/>
  <c r="A919" i="5"/>
  <c r="A915" i="1"/>
  <c r="A52" i="5"/>
  <c r="A497" i="5"/>
  <c r="A493" i="1"/>
  <c r="A83" i="5"/>
  <c r="A873" i="5"/>
  <c r="A867" i="1"/>
  <c r="A27" i="5"/>
  <c r="A900" i="5"/>
  <c r="A901" i="1"/>
  <c r="A233" i="5"/>
  <c r="A794" i="5"/>
  <c r="A780" i="1"/>
  <c r="A187" i="5"/>
  <c r="A141" i="5"/>
  <c r="A235" i="5"/>
  <c r="A561" i="5"/>
  <c r="A536" i="5"/>
  <c r="A586" i="5"/>
  <c r="A511" i="1"/>
  <c r="A591" i="1"/>
  <c r="A510" i="1"/>
  <c r="A88" i="5"/>
  <c r="A513" i="5"/>
  <c r="A486" i="1"/>
  <c r="A236" i="5"/>
  <c r="A143" i="5"/>
  <c r="A89" i="5"/>
  <c r="A332" i="5"/>
  <c r="A644" i="5"/>
  <c r="A587" i="5"/>
  <c r="A770" i="5"/>
  <c r="A748" i="5"/>
  <c r="A544" i="1"/>
  <c r="A616" i="1"/>
  <c r="A726" i="1"/>
  <c r="A747" i="1"/>
  <c r="A90" i="5"/>
  <c r="A749" i="5"/>
  <c r="A748" i="1"/>
  <c r="A146" i="5"/>
  <c r="A538" i="5"/>
  <c r="A601" i="1"/>
  <c r="A243" i="5"/>
  <c r="A406" i="5"/>
  <c r="A336" i="5"/>
  <c r="A799" i="5"/>
  <c r="A884" i="5"/>
  <c r="A917" i="5"/>
  <c r="A795" i="1"/>
  <c r="A887" i="1"/>
  <c r="A914" i="1"/>
  <c r="L24" i="4"/>
  <c r="L32" i="4"/>
  <c r="L22" i="4"/>
  <c r="L14" i="4"/>
  <c r="L21" i="4"/>
  <c r="L17" i="4"/>
  <c r="L9" i="4"/>
  <c r="L31" i="4"/>
  <c r="L20" i="4"/>
  <c r="L27" i="4"/>
  <c r="L16" i="4"/>
  <c r="L25" i="4"/>
  <c r="L19" i="4"/>
  <c r="L23" i="4"/>
  <c r="L15" i="4"/>
  <c r="L26" i="4"/>
  <c r="L29" i="4"/>
  <c r="L30" i="4"/>
  <c r="L11" i="4"/>
  <c r="L18" i="4"/>
  <c r="L10" i="4"/>
  <c r="L28" i="4"/>
  <c r="L13" i="4"/>
  <c r="L33" i="4"/>
  <c r="L7" i="4"/>
  <c r="L6" i="4"/>
  <c r="L8" i="4"/>
  <c r="L12" i="4"/>
  <c r="R6" i="5" a="1"/>
  <c r="R6" i="5" s="1"/>
  <c r="A56" i="5"/>
  <c r="A870" i="5"/>
  <c r="A868" i="1"/>
  <c r="A247" i="5"/>
  <c r="A800" i="5"/>
  <c r="A731" i="1"/>
  <c r="A94" i="5"/>
  <c r="A751" i="5"/>
  <c r="A742" i="1"/>
  <c r="A95" i="5"/>
  <c r="A516" i="5"/>
  <c r="A577" i="1"/>
  <c r="A151" i="5"/>
  <c r="A96" i="5"/>
  <c r="A249" i="5"/>
  <c r="A593" i="5"/>
  <c r="A773" i="5"/>
  <c r="A929" i="5"/>
  <c r="A617" i="1"/>
  <c r="A765" i="1"/>
  <c r="A926" i="1"/>
  <c r="A378" i="5"/>
  <c r="A666" i="5"/>
  <c r="A570" i="1"/>
  <c r="A153" i="5"/>
  <c r="A541" i="5"/>
  <c r="A580" i="1"/>
  <c r="A201" i="5"/>
  <c r="A785" i="5"/>
  <c r="A743" i="1"/>
  <c r="R8" i="5" a="1"/>
  <c r="R8" i="5" s="1"/>
  <c r="A488" i="5"/>
  <c r="A30" i="5"/>
  <c r="A489" i="1"/>
  <c r="A754" i="5"/>
  <c r="A100" i="5"/>
  <c r="A772" i="1"/>
  <c r="A753" i="5"/>
  <c r="A99" i="5"/>
  <c r="A750" i="1"/>
  <c r="A299" i="5"/>
  <c r="A625" i="5"/>
  <c r="A628" i="1"/>
  <c r="A18" i="5"/>
  <c r="A898" i="5"/>
  <c r="A897" i="1"/>
  <c r="A302" i="5"/>
  <c r="A627" i="5"/>
  <c r="A548" i="1"/>
  <c r="A857" i="1"/>
  <c r="A349" i="5"/>
  <c r="A830" i="5"/>
  <c r="R11" i="5" a="1"/>
  <c r="R11" i="5" s="1"/>
  <c r="A160" i="5"/>
  <c r="A64" i="5"/>
  <c r="A206" i="5"/>
  <c r="A545" i="5"/>
  <c r="A739" i="5"/>
  <c r="A788" i="5"/>
  <c r="A536" i="1"/>
  <c r="A797" i="1"/>
  <c r="A751" i="1"/>
  <c r="A608" i="1"/>
  <c r="A209" i="5"/>
  <c r="A572" i="5"/>
  <c r="R32" i="5" a="1"/>
  <c r="R32" i="5" s="1"/>
  <c r="R29" i="5" a="1"/>
  <c r="R29" i="5" s="1"/>
  <c r="A798" i="1"/>
  <c r="A108" i="5"/>
  <c r="A758" i="5"/>
  <c r="A111" i="5"/>
  <c r="A110" i="5"/>
  <c r="A522" i="5"/>
  <c r="A759" i="5"/>
  <c r="A736" i="1"/>
  <c r="A562" i="1"/>
  <c r="A20" i="5"/>
  <c r="A727" i="5"/>
  <c r="A752" i="1"/>
  <c r="A265" i="5"/>
  <c r="A805" i="5"/>
  <c r="A782" i="1"/>
  <c r="A68" i="5"/>
  <c r="A741" i="5"/>
  <c r="A759" i="1"/>
  <c r="A113" i="5"/>
  <c r="A905" i="5"/>
  <c r="A913" i="1"/>
  <c r="A269" i="5"/>
  <c r="A268" i="5"/>
  <c r="A114" i="5"/>
  <c r="A607" i="5"/>
  <c r="A761" i="5"/>
  <c r="A806" i="5"/>
  <c r="A537" i="1"/>
  <c r="A744" i="1"/>
  <c r="A812" i="1"/>
  <c r="A6" i="5"/>
  <c r="A722" i="5"/>
  <c r="A724" i="1"/>
  <c r="A219" i="5"/>
  <c r="A579" i="5"/>
  <c r="A565" i="1"/>
  <c r="A24" i="5"/>
  <c r="A485" i="5"/>
  <c r="A507" i="1"/>
  <c r="A175" i="5"/>
  <c r="A221" i="5"/>
  <c r="A554" i="5"/>
  <c r="A879" i="5"/>
  <c r="A515" i="1"/>
  <c r="A878" i="1"/>
  <c r="A25" i="5"/>
  <c r="A487" i="5"/>
  <c r="A492" i="1"/>
  <c r="A419" i="5"/>
  <c r="A359" i="5"/>
  <c r="A656" i="5"/>
  <c r="A682" i="5"/>
  <c r="A649" i="1"/>
  <c r="A680" i="1"/>
  <c r="A420" i="5"/>
  <c r="A361" i="5"/>
  <c r="A179" i="5"/>
  <c r="A658" i="5"/>
  <c r="A557" i="5"/>
  <c r="A683" i="5"/>
  <c r="A681" i="1"/>
  <c r="A520" i="1"/>
  <c r="A669" i="1"/>
  <c r="A79" i="5"/>
  <c r="A510" i="5"/>
  <c r="A484" i="1"/>
  <c r="A956" i="1"/>
  <c r="A962" i="1"/>
  <c r="A958" i="1"/>
  <c r="A946" i="1"/>
  <c r="A936" i="1"/>
  <c r="A961" i="1"/>
  <c r="A959" i="1"/>
  <c r="A957" i="1"/>
  <c r="A955" i="1"/>
  <c r="A953" i="1"/>
  <c r="A944" i="1"/>
  <c r="A932" i="1"/>
  <c r="A950" i="1"/>
  <c r="A947" i="1"/>
  <c r="A945" i="1"/>
  <c r="A931" i="1"/>
  <c r="A954" i="1"/>
  <c r="A943" i="1"/>
  <c r="A929" i="1"/>
  <c r="A939" i="1"/>
  <c r="A937" i="1"/>
  <c r="A935" i="1"/>
  <c r="A942" i="1"/>
  <c r="A951" i="1"/>
  <c r="A941" i="1"/>
  <c r="A930" i="1"/>
  <c r="A934" i="1"/>
  <c r="A940" i="1"/>
  <c r="A960" i="1"/>
  <c r="A949" i="1"/>
  <c r="A938" i="1"/>
  <c r="A963" i="1"/>
  <c r="A948" i="1"/>
  <c r="A952" i="1"/>
  <c r="A13" i="5"/>
  <c r="A362" i="5"/>
  <c r="A47" i="5"/>
  <c r="A225" i="5"/>
  <c r="A581" i="5"/>
  <c r="A734" i="5"/>
  <c r="A897" i="5"/>
  <c r="A948" i="5"/>
  <c r="A899" i="1"/>
  <c r="A521" i="1"/>
  <c r="A728" i="1"/>
  <c r="A9" i="5"/>
  <c r="A481" i="5"/>
  <c r="A522" i="1"/>
  <c r="A323" i="5"/>
  <c r="A181" i="5"/>
  <c r="A182" i="5"/>
  <c r="A558" i="5"/>
  <c r="A778" i="5"/>
  <c r="A819" i="5"/>
  <c r="A813" i="1"/>
  <c r="A791" i="1"/>
  <c r="A589" i="1"/>
  <c r="A133" i="5"/>
  <c r="A450" i="5"/>
  <c r="A704" i="5"/>
  <c r="A529" i="5"/>
  <c r="A517" i="1"/>
  <c r="I476" i="5"/>
  <c r="A697" i="1"/>
  <c r="A229" i="5"/>
  <c r="A583" i="5"/>
  <c r="A502" i="1"/>
  <c r="A285" i="5"/>
  <c r="A399" i="5"/>
  <c r="A183" i="5"/>
  <c r="A673" i="5"/>
  <c r="A779" i="5"/>
  <c r="A811" i="5"/>
  <c r="A814" i="1"/>
  <c r="A792" i="1"/>
  <c r="A700" i="1"/>
  <c r="A82" i="5"/>
  <c r="A745" i="5"/>
  <c r="A735" i="1"/>
  <c r="R15" i="5" a="1"/>
  <c r="R15" i="5" s="1"/>
  <c r="A454" i="5"/>
  <c r="A329" i="5"/>
  <c r="A403" i="5"/>
  <c r="A53" i="5"/>
  <c r="A139" i="5"/>
  <c r="A498" i="5"/>
  <c r="A534" i="5"/>
  <c r="A823" i="5"/>
  <c r="A892" i="5"/>
  <c r="A953" i="5"/>
  <c r="A889" i="1"/>
  <c r="A531" i="1"/>
  <c r="A530" i="1"/>
  <c r="A856" i="1"/>
  <c r="A643" i="5"/>
  <c r="A330" i="5"/>
  <c r="A518" i="1"/>
  <c r="A87" i="5"/>
  <c r="A872" i="5"/>
  <c r="A879" i="1"/>
  <c r="A557" i="1"/>
  <c r="A54" i="5"/>
  <c r="A369" i="5"/>
  <c r="A333" i="5"/>
  <c r="A370" i="5"/>
  <c r="A661" i="5"/>
  <c r="A645" i="5"/>
  <c r="A736" i="5"/>
  <c r="A950" i="5"/>
  <c r="A755" i="1"/>
  <c r="A659" i="1"/>
  <c r="A239" i="5"/>
  <c r="A589" i="5"/>
  <c r="A600" i="1"/>
  <c r="A620" i="5"/>
  <c r="A291" i="5"/>
  <c r="A602" i="1"/>
  <c r="A429" i="5"/>
  <c r="A292" i="5"/>
  <c r="A407" i="5"/>
  <c r="A246" i="5"/>
  <c r="A621" i="5"/>
  <c r="A677" i="5"/>
  <c r="A798" i="5"/>
  <c r="A853" i="5"/>
  <c r="A849" i="1"/>
  <c r="A781" i="1"/>
  <c r="A545" i="1"/>
  <c r="A568" i="1"/>
  <c r="A10" i="5"/>
  <c r="A723" i="5"/>
  <c r="A723" i="1"/>
  <c r="A58" i="5"/>
  <c r="A567" i="5"/>
  <c r="A500" i="5"/>
  <c r="A495" i="1"/>
  <c r="A59" i="5"/>
  <c r="A901" i="5"/>
  <c r="A908" i="1"/>
  <c r="A195" i="5"/>
  <c r="A559" i="1"/>
  <c r="A196" i="5"/>
  <c r="A342" i="5"/>
  <c r="A294" i="5"/>
  <c r="A622" i="5"/>
  <c r="A568" i="5"/>
  <c r="A885" i="5"/>
  <c r="A578" i="1"/>
  <c r="A661" i="1"/>
  <c r="A885" i="1"/>
  <c r="A199" i="5"/>
  <c r="A784" i="5"/>
  <c r="A805" i="1"/>
  <c r="A200" i="5"/>
  <c r="A296" i="5"/>
  <c r="A379" i="5"/>
  <c r="A667" i="5"/>
  <c r="A570" i="5"/>
  <c r="A814" i="5"/>
  <c r="A605" i="1"/>
  <c r="A689" i="1"/>
  <c r="A836" i="1"/>
  <c r="A16" i="5"/>
  <c r="A726" i="5"/>
  <c r="A727" i="1"/>
  <c r="A381" i="5"/>
  <c r="A205" i="5"/>
  <c r="A156" i="5"/>
  <c r="A157" i="5"/>
  <c r="A787" i="5"/>
  <c r="A887" i="5"/>
  <c r="A935" i="5"/>
  <c r="A936" i="5"/>
  <c r="A888" i="1"/>
  <c r="A816" i="1"/>
  <c r="A158" i="5"/>
  <c r="A543" i="5"/>
  <c r="A581" i="1"/>
  <c r="A103" i="5"/>
  <c r="A300" i="5"/>
  <c r="A382" i="5"/>
  <c r="A668" i="5"/>
  <c r="A755" i="5"/>
  <c r="A943" i="5"/>
  <c r="A773" i="1"/>
  <c r="A653" i="1"/>
  <c r="A434" i="5"/>
  <c r="A19" i="5"/>
  <c r="A348" i="5"/>
  <c r="A255" i="5"/>
  <c r="A483" i="5"/>
  <c r="A599" i="5"/>
  <c r="A829" i="5"/>
  <c r="A956" i="5"/>
  <c r="A582" i="1"/>
  <c r="A827" i="1"/>
  <c r="A490" i="1"/>
  <c r="A303" i="5"/>
  <c r="A258" i="5"/>
  <c r="A601" i="5"/>
  <c r="A816" i="5"/>
  <c r="A807" i="1"/>
  <c r="A607" i="1"/>
  <c r="A482" i="1"/>
  <c r="A31" i="5"/>
  <c r="A489" i="5"/>
  <c r="A638" i="1"/>
  <c r="A884" i="1"/>
  <c r="A414" i="5"/>
  <c r="A210" i="5"/>
  <c r="A306" i="5"/>
  <c r="A307" i="5"/>
  <c r="A573" i="5"/>
  <c r="A629" i="5"/>
  <c r="A883" i="5"/>
  <c r="A918" i="5"/>
  <c r="A916" i="1"/>
  <c r="A505" i="1"/>
  <c r="A65" i="5"/>
  <c r="A504" i="5"/>
  <c r="A496" i="1"/>
  <c r="A315" i="5"/>
  <c r="A818" i="5"/>
  <c r="A855" i="1"/>
  <c r="A353" i="5"/>
  <c r="A947" i="5"/>
  <c r="A35" i="5"/>
  <c r="A868" i="5"/>
  <c r="A877" i="1"/>
  <c r="A165" i="5"/>
  <c r="A549" i="5"/>
  <c r="A499" i="1"/>
  <c r="R9" i="5" a="1"/>
  <c r="R9" i="5" s="1"/>
  <c r="R17" i="5" a="1"/>
  <c r="R17" i="5" s="1"/>
  <c r="R10" i="5" a="1"/>
  <c r="R10" i="5" s="1"/>
  <c r="A267" i="5"/>
  <c r="A606" i="5"/>
  <c r="A586" i="1"/>
  <c r="A928" i="1"/>
  <c r="A925" i="1"/>
  <c r="A927" i="1"/>
  <c r="A162" i="5"/>
  <c r="A186" i="5"/>
  <c r="A85" i="5"/>
  <c r="A161" i="5"/>
  <c r="A311" i="5"/>
  <c r="A283" i="5"/>
  <c r="A424" i="5"/>
  <c r="A400" i="5"/>
  <c r="A415" i="5"/>
  <c r="A137" i="5"/>
  <c r="A129" i="5"/>
  <c r="A295" i="5"/>
  <c r="A383" i="5"/>
  <c r="A279" i="5"/>
  <c r="A171" i="5"/>
  <c r="A463" i="5"/>
  <c r="A418" i="5"/>
  <c r="A211" i="5"/>
  <c r="A327" i="5"/>
  <c r="A410" i="5"/>
  <c r="A430" i="5"/>
  <c r="A154" i="5"/>
  <c r="A140" i="5"/>
  <c r="A112" i="5"/>
  <c r="A334" i="5"/>
  <c r="A393" i="5"/>
  <c r="A262" i="5"/>
  <c r="A345" i="5"/>
  <c r="A272" i="5"/>
  <c r="A338" i="5"/>
  <c r="A190" i="5"/>
  <c r="A208" i="5"/>
  <c r="A340" i="5"/>
  <c r="A335" i="5"/>
  <c r="A319" i="5"/>
  <c r="A449" i="5"/>
  <c r="A126" i="5"/>
  <c r="A374" i="5"/>
  <c r="A355" i="5"/>
  <c r="A397" i="5"/>
  <c r="A109" i="5"/>
  <c r="A409" i="5"/>
  <c r="A252" i="5"/>
  <c r="A448" i="5"/>
  <c r="A134" i="5"/>
  <c r="A71" i="5"/>
  <c r="A231" i="5"/>
  <c r="A155" i="5"/>
  <c r="A222" i="5"/>
  <c r="A282" i="5"/>
  <c r="A320" i="5"/>
  <c r="A380" i="5"/>
  <c r="A402" i="5"/>
  <c r="A467" i="5"/>
  <c r="A92" i="5"/>
  <c r="A398" i="5"/>
  <c r="A371" i="5"/>
  <c r="A150" i="5"/>
  <c r="A251" i="5"/>
  <c r="A131" i="5"/>
  <c r="A197" i="5"/>
  <c r="A271" i="5"/>
  <c r="A275" i="5"/>
  <c r="A293" i="5"/>
  <c r="A411" i="5"/>
  <c r="A363" i="5"/>
  <c r="A455" i="5"/>
  <c r="A121" i="5"/>
  <c r="A256" i="5"/>
  <c r="A254" i="5"/>
  <c r="A244" i="5"/>
  <c r="A366" i="5"/>
  <c r="A441" i="5"/>
  <c r="A468" i="5"/>
  <c r="A66" i="5"/>
  <c r="A273" i="5"/>
  <c r="A395" i="5"/>
  <c r="A314" i="5"/>
  <c r="A242" i="5"/>
  <c r="A132" i="5"/>
  <c r="A260" i="5"/>
  <c r="A245" i="5"/>
  <c r="A416" i="5"/>
  <c r="A203" i="5"/>
  <c r="A74" i="5"/>
  <c r="A308" i="5"/>
  <c r="A412" i="5"/>
  <c r="A241" i="5"/>
  <c r="A391" i="5"/>
  <c r="A331" i="5"/>
  <c r="A445" i="5"/>
  <c r="A97" i="5"/>
  <c r="A51" i="5"/>
  <c r="A164" i="5"/>
  <c r="A277" i="5"/>
  <c r="A373" i="5"/>
  <c r="A286" i="5"/>
  <c r="A390" i="5"/>
  <c r="A354" i="5"/>
  <c r="A470" i="5"/>
  <c r="A142" i="5"/>
  <c r="A194" i="5"/>
  <c r="A305" i="5"/>
  <c r="A218" i="5"/>
  <c r="A375" i="5"/>
  <c r="A232" i="5"/>
  <c r="A149" i="5"/>
  <c r="A432" i="5"/>
  <c r="A192" i="5"/>
  <c r="A125" i="5"/>
  <c r="A204" i="5"/>
  <c r="A351" i="5"/>
  <c r="A423" i="5"/>
  <c r="A388" i="5"/>
  <c r="A466" i="5"/>
  <c r="A226" i="5"/>
  <c r="A343" i="5"/>
  <c r="A422" i="5"/>
  <c r="A458" i="5"/>
  <c r="A250" i="5"/>
  <c r="A427" i="5"/>
  <c r="A212" i="5"/>
  <c r="A147" i="5"/>
  <c r="A364" i="5"/>
  <c r="A372" i="5"/>
  <c r="A417" i="5"/>
  <c r="A428" i="5"/>
  <c r="A105" i="5"/>
  <c r="A172" i="5"/>
  <c r="A191" i="5"/>
  <c r="A213" i="5"/>
  <c r="A207" i="5"/>
  <c r="A215" i="5"/>
  <c r="A84" i="5"/>
  <c r="A337" i="5"/>
  <c r="A136" i="5"/>
  <c r="A289" i="5"/>
  <c r="A350" i="5"/>
  <c r="A324" i="5"/>
  <c r="A202" i="5"/>
  <c r="A263" i="5"/>
  <c r="A451" i="5"/>
  <c r="A360" i="5"/>
  <c r="A460" i="5"/>
  <c r="A456" i="5"/>
  <c r="A438" i="5"/>
  <c r="A127" i="5"/>
  <c r="A135" i="5"/>
  <c r="A301" i="5"/>
  <c r="A148" i="5"/>
  <c r="A104" i="5"/>
  <c r="A119" i="5"/>
  <c r="A76" i="5"/>
  <c r="A278" i="5"/>
  <c r="A227" i="5"/>
  <c r="A339" i="5"/>
  <c r="A317" i="5"/>
  <c r="A365" i="5"/>
  <c r="A253" i="5"/>
  <c r="A442" i="5"/>
  <c r="A433" i="5"/>
  <c r="A440" i="5"/>
  <c r="A472" i="5"/>
  <c r="A469" i="5"/>
  <c r="A166" i="5"/>
  <c r="A91" i="5"/>
  <c r="A159" i="5"/>
  <c r="A274" i="5"/>
  <c r="A459" i="5"/>
  <c r="A341" i="5"/>
  <c r="A287" i="5"/>
  <c r="A443" i="5"/>
  <c r="A389" i="5"/>
  <c r="A465" i="5"/>
  <c r="A75" i="5"/>
  <c r="A144" i="5"/>
  <c r="A259" i="5"/>
  <c r="A309" i="5"/>
  <c r="A281" i="5"/>
  <c r="A326" i="5"/>
  <c r="A452" i="5"/>
  <c r="A347" i="5"/>
  <c r="A80" i="5"/>
  <c r="A67" i="5"/>
  <c r="A266" i="5"/>
  <c r="A177" i="5"/>
  <c r="A184" i="5"/>
  <c r="A394" i="5"/>
  <c r="A107" i="5"/>
  <c r="A138" i="5"/>
  <c r="A120" i="5"/>
  <c r="A81" i="5"/>
  <c r="A304" i="5"/>
  <c r="A276" i="5"/>
  <c r="A321" i="5"/>
  <c r="A471" i="5"/>
  <c r="A313" i="5"/>
  <c r="A408" i="5"/>
  <c r="A461" i="5"/>
  <c r="A453" i="5"/>
  <c r="A392" i="5"/>
  <c r="A69" i="5"/>
  <c r="A70" i="5"/>
  <c r="A216" i="5"/>
  <c r="A228" i="5"/>
  <c r="A377" i="5"/>
  <c r="A447" i="5"/>
  <c r="A257" i="5"/>
  <c r="A174" i="5"/>
  <c r="A193" i="5"/>
  <c r="A444" i="5"/>
  <c r="A167" i="5"/>
  <c r="A290" i="5"/>
  <c r="A318" i="5"/>
  <c r="A457" i="5"/>
  <c r="A77" i="5"/>
  <c r="A169" i="5"/>
  <c r="A288" i="5"/>
  <c r="A176" i="5"/>
  <c r="A220" i="5"/>
  <c r="A356" i="5"/>
  <c r="A170" i="5"/>
  <c r="A188" i="5"/>
  <c r="A248" i="5"/>
  <c r="A297" i="5"/>
  <c r="A152" i="5"/>
  <c r="A224" i="5"/>
  <c r="A237" i="5"/>
  <c r="A385" i="5"/>
  <c r="A358" i="5"/>
  <c r="A264" i="5"/>
  <c r="A386" i="5"/>
  <c r="A437" i="5"/>
  <c r="A446" i="5"/>
  <c r="A86" i="5"/>
  <c r="A93" i="5"/>
  <c r="A123" i="5"/>
  <c r="A98" i="5"/>
  <c r="A214" i="5"/>
  <c r="A115" i="5"/>
  <c r="A230" i="5"/>
  <c r="A240" i="5"/>
  <c r="A426" i="5"/>
  <c r="A189" i="5"/>
  <c r="A384" i="5"/>
  <c r="A328" i="5"/>
  <c r="A261" i="5"/>
  <c r="A310" i="5"/>
  <c r="A425" i="5"/>
  <c r="A404" i="5"/>
  <c r="A405" i="5"/>
  <c r="A436" i="5"/>
  <c r="A473" i="5"/>
  <c r="A101" i="5"/>
  <c r="A124" i="5"/>
  <c r="A185" i="5"/>
  <c r="A106" i="5"/>
  <c r="A298" i="5"/>
  <c r="A322" i="5"/>
  <c r="A357" i="5"/>
  <c r="A439" i="5"/>
  <c r="A368" i="5"/>
  <c r="A217" i="5"/>
  <c r="A163" i="5"/>
  <c r="A223" i="5"/>
  <c r="A401" i="5"/>
  <c r="A325" i="5"/>
  <c r="A435" i="5"/>
  <c r="A387" i="5"/>
  <c r="A462" i="5"/>
  <c r="A234" i="5"/>
  <c r="A122" i="5"/>
  <c r="A367" i="5"/>
  <c r="A238" i="5"/>
  <c r="A198" i="5"/>
  <c r="A316" i="5"/>
  <c r="A312" i="5"/>
  <c r="A431" i="5"/>
  <c r="A102" i="5"/>
  <c r="A168" i="5"/>
  <c r="A145" i="5"/>
  <c r="A284" i="5"/>
  <c r="A352" i="5"/>
  <c r="A413" i="5"/>
  <c r="A346" i="5"/>
  <c r="A344" i="5"/>
  <c r="A474" i="5"/>
  <c r="A376" i="5"/>
  <c r="A464" i="5"/>
  <c r="A61" i="5"/>
  <c r="A26" i="5"/>
  <c r="A36" i="5"/>
  <c r="A49" i="5"/>
  <c r="A29" i="5"/>
  <c r="A45" i="5"/>
  <c r="A39" i="5"/>
  <c r="A480" i="5"/>
  <c r="A50" i="5"/>
  <c r="A32" i="5"/>
  <c r="A8" i="5"/>
  <c r="A28" i="5"/>
  <c r="A57" i="5"/>
  <c r="A14" i="5"/>
  <c r="A62" i="5"/>
  <c r="A33" i="5"/>
  <c r="A46" i="5"/>
  <c r="A15" i="5"/>
  <c r="A11" i="5"/>
  <c r="A42" i="5"/>
  <c r="A17" i="5"/>
  <c r="A34" i="5"/>
  <c r="A38" i="5"/>
  <c r="A21" i="5"/>
  <c r="A22" i="5"/>
  <c r="A37" i="5"/>
  <c r="A55" i="5"/>
  <c r="A63" i="5"/>
  <c r="A60" i="5"/>
  <c r="A904" i="5"/>
  <c r="A508" i="5"/>
  <c r="A506" i="5"/>
  <c r="A505" i="5"/>
  <c r="A509" i="5"/>
  <c r="A502" i="5"/>
  <c r="A503" i="5"/>
  <c r="A507" i="5"/>
  <c r="A490" i="5"/>
  <c r="A501" i="5"/>
  <c r="A491" i="5"/>
  <c r="A496" i="5"/>
  <c r="A499" i="5"/>
  <c r="A495" i="5"/>
  <c r="A492" i="5"/>
  <c r="A484" i="5"/>
  <c r="A909" i="5"/>
  <c r="A911" i="5"/>
  <c r="A912" i="5"/>
  <c r="A908" i="5"/>
  <c r="A907" i="5"/>
  <c r="A902" i="5"/>
  <c r="A910" i="5"/>
  <c r="A925" i="5"/>
  <c r="A932" i="5"/>
  <c r="A931" i="5"/>
  <c r="A937" i="5"/>
  <c r="A927" i="5"/>
  <c r="A933" i="5"/>
  <c r="A934" i="5"/>
  <c r="A928" i="5"/>
  <c r="A930" i="5"/>
  <c r="A926" i="5"/>
  <c r="A500" i="1"/>
  <c r="A910" i="1"/>
  <c r="A724" i="5"/>
  <c r="A725" i="1"/>
  <c r="A752" i="5"/>
  <c r="A914" i="5"/>
  <c r="A790" i="5"/>
  <c r="A828" i="5"/>
  <c r="A817" i="5"/>
  <c r="A848" i="5"/>
  <c r="A846" i="5"/>
  <c r="A827" i="5"/>
  <c r="A839" i="5"/>
  <c r="A782" i="5"/>
  <c r="A750" i="5"/>
  <c r="A850" i="5"/>
  <c r="A776" i="5"/>
  <c r="A840" i="5"/>
  <c r="A837" i="5"/>
  <c r="A763" i="5"/>
  <c r="A783" i="5"/>
  <c r="A786" i="5"/>
  <c r="A841" i="5"/>
  <c r="A812" i="5"/>
  <c r="A747" i="5"/>
  <c r="A825" i="5"/>
  <c r="A845" i="5"/>
  <c r="A838" i="5"/>
  <c r="A756" i="5"/>
  <c r="A822" i="5"/>
  <c r="A737" i="5"/>
  <c r="A791" i="5"/>
  <c r="A797" i="5"/>
  <c r="A765" i="5"/>
  <c r="A768" i="5"/>
  <c r="A796" i="5"/>
  <c r="A844" i="5"/>
  <c r="A746" i="5"/>
  <c r="A809" i="5"/>
  <c r="A735" i="5"/>
  <c r="A760" i="5"/>
  <c r="A767" i="5"/>
  <c r="A789" i="5"/>
  <c r="A729" i="5"/>
  <c r="A728" i="5"/>
  <c r="A774" i="5"/>
  <c r="A813" i="5"/>
  <c r="A826" i="5"/>
  <c r="A733" i="5"/>
  <c r="A738" i="5"/>
  <c r="A810" i="5"/>
  <c r="A795" i="5"/>
  <c r="A757" i="5"/>
  <c r="A781" i="5"/>
  <c r="A824" i="5"/>
  <c r="A732" i="5"/>
  <c r="A807" i="5"/>
  <c r="A832" i="5"/>
  <c r="A775" i="5"/>
  <c r="A801" i="5"/>
  <c r="A842" i="5"/>
  <c r="A821" i="5"/>
  <c r="A833" i="5"/>
  <c r="A835" i="5"/>
  <c r="A804" i="5"/>
  <c r="A849" i="5"/>
  <c r="A744" i="5"/>
  <c r="A780" i="5"/>
  <c r="A771" i="5"/>
  <c r="A831" i="5"/>
  <c r="A834" i="5"/>
  <c r="A740" i="5"/>
  <c r="A808" i="5"/>
  <c r="A815" i="5"/>
  <c r="A803" i="5"/>
  <c r="A836" i="5"/>
  <c r="A764" i="5"/>
  <c r="A802" i="5"/>
  <c r="A769" i="5"/>
  <c r="A792" i="5"/>
  <c r="A772" i="5"/>
  <c r="A793" i="5"/>
  <c r="A766" i="5"/>
  <c r="A820" i="5"/>
  <c r="A843" i="5"/>
  <c r="A874" i="5"/>
  <c r="A881" i="5"/>
  <c r="A882" i="5"/>
  <c r="A866" i="5"/>
  <c r="A867" i="5"/>
  <c r="A877" i="5"/>
  <c r="A880" i="5"/>
  <c r="A875" i="5"/>
  <c r="A876" i="5"/>
  <c r="A878" i="5"/>
  <c r="A871" i="5"/>
  <c r="A915" i="5"/>
  <c r="A913" i="5"/>
  <c r="A876" i="1"/>
  <c r="A905" i="1"/>
  <c r="A564" i="1"/>
  <c r="A842" i="1"/>
  <c r="A552" i="5"/>
  <c r="A501" i="1"/>
  <c r="R18" i="5" a="1"/>
  <c r="R18" i="5" s="1"/>
  <c r="R28" i="5" a="1"/>
  <c r="R28" i="5" s="1"/>
  <c r="R21" i="5" a="1"/>
  <c r="R21" i="5" s="1"/>
  <c r="R7" i="5" a="1"/>
  <c r="R7" i="5" s="1"/>
  <c r="R20" i="5" a="1"/>
  <c r="R20" i="5" s="1"/>
  <c r="R22" i="5" a="1"/>
  <c r="R22" i="5" s="1"/>
  <c r="R16" i="5" a="1"/>
  <c r="R16" i="5" s="1"/>
  <c r="R27" i="5" a="1"/>
  <c r="R27" i="5" s="1"/>
  <c r="R30" i="5" a="1"/>
  <c r="R30" i="5" s="1"/>
  <c r="R12" i="5" a="1"/>
  <c r="R12" i="5" s="1"/>
  <c r="R14" i="5" a="1"/>
  <c r="R14" i="5" s="1"/>
  <c r="R26" i="5" a="1"/>
  <c r="R26" i="5" s="1"/>
  <c r="R31" i="5" a="1"/>
  <c r="R31" i="5" s="1"/>
  <c r="R24" i="5" a="1"/>
  <c r="R24" i="5" s="1"/>
  <c r="R33" i="5" a="1"/>
  <c r="R33" i="5" s="1"/>
  <c r="R23" i="5" a="1"/>
  <c r="R23" i="5" s="1"/>
  <c r="R19" i="5" a="1"/>
  <c r="R19" i="5" s="1"/>
  <c r="R25" i="5" a="1"/>
  <c r="R25" i="5" s="1"/>
  <c r="R13" i="5" a="1"/>
  <c r="R13" i="5" s="1"/>
  <c r="A706" i="5"/>
  <c r="A856" i="5"/>
  <c r="A961" i="5"/>
  <c r="A889" i="5"/>
  <c r="A716" i="5"/>
  <c r="A527" i="5"/>
  <c r="A519" i="5"/>
  <c r="A7" i="5"/>
  <c r="A615" i="5"/>
  <c r="A623" i="5"/>
  <c r="A540" i="5"/>
  <c r="A524" i="5"/>
  <c r="A592" i="5"/>
  <c r="A640" i="5"/>
  <c r="A675" i="5"/>
  <c r="A571" i="5"/>
  <c r="A624" i="5"/>
  <c r="A662" i="5"/>
  <c r="A679" i="5"/>
  <c r="A705" i="5"/>
  <c r="A699" i="5"/>
  <c r="A949" i="5"/>
  <c r="A960" i="5"/>
  <c r="A857" i="5"/>
  <c r="A642" i="5"/>
  <c r="A648" i="5"/>
  <c r="A574" i="5"/>
  <c r="A517" i="5"/>
  <c r="A676" i="5"/>
  <c r="I719" i="5"/>
  <c r="A537" i="5"/>
  <c r="A525" i="5"/>
  <c r="A563" i="5"/>
  <c r="A532" i="5"/>
  <c r="A588" i="5"/>
  <c r="A600" i="5"/>
  <c r="A511" i="5"/>
  <c r="A612" i="5"/>
  <c r="A521" i="5"/>
  <c r="A634" i="5"/>
  <c r="I965" i="5"/>
  <c r="A924" i="5"/>
  <c r="A556" i="5"/>
  <c r="A632" i="5"/>
  <c r="A630" i="5"/>
  <c r="A678" i="5"/>
  <c r="A597" i="5"/>
  <c r="A694" i="5"/>
  <c r="A886" i="5"/>
  <c r="A713" i="5"/>
  <c r="A958" i="5"/>
  <c r="A942" i="5"/>
  <c r="A962" i="5"/>
  <c r="A858" i="5"/>
  <c r="I921" i="5"/>
  <c r="A709" i="5"/>
  <c r="A698" i="5"/>
  <c r="A647" i="5"/>
  <c r="A520" i="5"/>
  <c r="A479" i="5"/>
  <c r="A685" i="5"/>
  <c r="A530" i="5"/>
  <c r="A681" i="5"/>
  <c r="A637" i="5"/>
  <c r="A512" i="5"/>
  <c r="A515" i="5"/>
  <c r="A626" i="5"/>
  <c r="A650" i="5"/>
  <c r="A717" i="5"/>
  <c r="A854" i="5"/>
  <c r="A577" i="5"/>
  <c r="A514" i="5"/>
  <c r="A544" i="5"/>
  <c r="A584" i="5"/>
  <c r="A616" i="5"/>
  <c r="A559" i="5"/>
  <c r="A646" i="5"/>
  <c r="A633" i="5"/>
  <c r="A696" i="5"/>
  <c r="A940" i="5"/>
  <c r="A655" i="5"/>
  <c r="A708" i="5"/>
  <c r="A610" i="5"/>
  <c r="A611" i="5"/>
  <c r="A635" i="5"/>
  <c r="A636" i="5"/>
  <c r="A618" i="5"/>
  <c r="A631" i="5"/>
  <c r="A604" i="5"/>
  <c r="A657" i="5"/>
  <c r="A701" i="5"/>
  <c r="A700" i="5"/>
  <c r="A692" i="5"/>
  <c r="A859" i="5"/>
  <c r="A944" i="5"/>
  <c r="I862" i="5"/>
  <c r="A865" i="5"/>
  <c r="A891" i="5"/>
  <c r="A954" i="5"/>
  <c r="A957" i="5"/>
  <c r="A852" i="5"/>
  <c r="A899" i="5"/>
  <c r="A916" i="5"/>
  <c r="A665" i="5"/>
  <c r="A628" i="5"/>
  <c r="A659" i="5"/>
  <c r="A669" i="5"/>
  <c r="A546" i="5"/>
  <c r="A555" i="5"/>
  <c r="A539" i="5"/>
  <c r="A725" i="5"/>
  <c r="A550" i="5"/>
  <c r="A619" i="5"/>
  <c r="A684" i="5"/>
  <c r="A710" i="5"/>
  <c r="A562" i="5"/>
  <c r="A663" i="5"/>
  <c r="A638" i="5"/>
  <c r="A671" i="5"/>
  <c r="A672" i="5"/>
  <c r="A707" i="5"/>
  <c r="A955" i="5"/>
  <c r="A664" i="5"/>
  <c r="A518" i="5"/>
  <c r="A946" i="5"/>
  <c r="A691" i="5"/>
  <c r="A608" i="5"/>
  <c r="A963" i="5"/>
  <c r="A582" i="5"/>
  <c r="A605" i="5"/>
  <c r="A531" i="5"/>
  <c r="A533" i="5"/>
  <c r="A855" i="5"/>
  <c r="A548" i="5"/>
  <c r="A653" i="5"/>
  <c r="A693" i="5"/>
  <c r="A714" i="5"/>
  <c r="A602" i="5"/>
  <c r="A598" i="5"/>
  <c r="A649" i="5"/>
  <c r="A660" i="5"/>
  <c r="A686" i="5"/>
  <c r="A654" i="5"/>
  <c r="A941" i="5"/>
  <c r="A952" i="5"/>
  <c r="A695" i="5"/>
  <c r="A702" i="5"/>
  <c r="A596" i="5"/>
  <c r="A565" i="5"/>
  <c r="A551" i="5"/>
  <c r="A595" i="5"/>
  <c r="A564" i="5"/>
  <c r="A641" i="5"/>
  <c r="A712" i="5"/>
  <c r="A585" i="5"/>
  <c r="A590" i="5"/>
  <c r="A603" i="5"/>
  <c r="A547" i="5"/>
  <c r="A535" i="5"/>
  <c r="A703" i="5"/>
  <c r="A851" i="5"/>
  <c r="A542" i="5"/>
  <c r="A560" i="5"/>
  <c r="A566" i="5"/>
  <c r="A578" i="5"/>
  <c r="A652" i="5"/>
  <c r="A617" i="5"/>
  <c r="A687" i="5"/>
  <c r="A697" i="5"/>
  <c r="A888" i="5"/>
  <c r="A939" i="5"/>
  <c r="A594" i="5"/>
  <c r="A688" i="5"/>
  <c r="A674" i="5"/>
  <c r="A639" i="5"/>
  <c r="A613" i="5"/>
  <c r="A689" i="5"/>
  <c r="A670" i="5"/>
  <c r="A591" i="5"/>
  <c r="A711" i="5"/>
  <c r="A680" i="5"/>
  <c r="A651" i="5"/>
  <c r="I894" i="5"/>
  <c r="A690" i="5"/>
  <c r="A945" i="5"/>
  <c r="A890" i="5"/>
  <c r="A959" i="5"/>
  <c r="A860" i="5"/>
  <c r="A951" i="5"/>
  <c r="A715" i="5"/>
  <c r="A580" i="5"/>
  <c r="A576" i="5"/>
  <c r="A575" i="5"/>
  <c r="A569" i="5"/>
  <c r="L965" i="1"/>
  <c r="L921" i="1"/>
  <c r="L894" i="1"/>
  <c r="L862" i="1"/>
  <c r="L719" i="1"/>
  <c r="A808" i="1"/>
  <c r="A796" i="1"/>
  <c r="A785" i="1"/>
  <c r="A771" i="1"/>
  <c r="A761" i="1"/>
  <c r="A741" i="1"/>
  <c r="A843" i="1"/>
  <c r="A824" i="1"/>
  <c r="A790" i="1"/>
  <c r="A738" i="1"/>
  <c r="A841" i="1"/>
  <c r="A823" i="1"/>
  <c r="A775" i="1"/>
  <c r="A802" i="1"/>
  <c r="A822" i="1"/>
  <c r="A729" i="1"/>
  <c r="A826" i="1"/>
  <c r="A758" i="1"/>
  <c r="A740" i="1"/>
  <c r="A825" i="1"/>
  <c r="A745" i="1"/>
  <c r="A804" i="1"/>
  <c r="A793" i="1"/>
  <c r="A779" i="1"/>
  <c r="A769" i="1"/>
  <c r="A757" i="1"/>
  <c r="A739" i="1"/>
  <c r="A860" i="1"/>
  <c r="A838" i="1"/>
  <c r="A820" i="1"/>
  <c r="A778" i="1"/>
  <c r="A859" i="1"/>
  <c r="A837" i="1"/>
  <c r="A819" i="1"/>
  <c r="A764" i="1"/>
  <c r="A850" i="1"/>
  <c r="A809" i="1"/>
  <c r="A858" i="1"/>
  <c r="A818" i="1"/>
  <c r="A840" i="1"/>
  <c r="A854" i="1"/>
  <c r="A817" i="1"/>
  <c r="A851" i="1"/>
  <c r="A800" i="1"/>
  <c r="A789" i="1"/>
  <c r="A777" i="1"/>
  <c r="A766" i="1"/>
  <c r="A754" i="1"/>
  <c r="A737" i="1"/>
  <c r="A853" i="1"/>
  <c r="A833" i="1"/>
  <c r="A815" i="1"/>
  <c r="A767" i="1"/>
  <c r="A852" i="1"/>
  <c r="A832" i="1"/>
  <c r="A811" i="1"/>
  <c r="A753" i="1"/>
  <c r="A839" i="1"/>
  <c r="A786" i="1"/>
  <c r="A845" i="1"/>
  <c r="A806" i="1"/>
  <c r="A831" i="1"/>
  <c r="A844" i="1"/>
  <c r="A799" i="1"/>
  <c r="A821" i="1"/>
  <c r="A810" i="1"/>
  <c r="A801" i="1"/>
  <c r="A788" i="1"/>
  <c r="A776" i="1"/>
  <c r="A763" i="1"/>
  <c r="A749" i="1"/>
  <c r="A732" i="1"/>
  <c r="A847" i="1"/>
  <c r="A829" i="1"/>
  <c r="A803" i="1"/>
  <c r="A756" i="1"/>
  <c r="A846" i="1"/>
  <c r="A828" i="1"/>
  <c r="A787" i="1"/>
  <c r="A734" i="1"/>
  <c r="A830" i="1"/>
  <c r="A762" i="1"/>
  <c r="A835" i="1"/>
  <c r="A783" i="1"/>
  <c r="A794" i="1"/>
  <c r="A834" i="1"/>
  <c r="A774" i="1"/>
  <c r="A770" i="1"/>
  <c r="A722" i="1"/>
  <c r="A904" i="1"/>
  <c r="A911" i="1"/>
  <c r="A918" i="1"/>
  <c r="A902" i="1"/>
  <c r="A906" i="1"/>
  <c r="A912" i="1"/>
  <c r="A919" i="1"/>
  <c r="A903" i="1"/>
  <c r="A909" i="1"/>
  <c r="A917" i="1"/>
  <c r="A898" i="1"/>
  <c r="A891" i="1"/>
  <c r="A874" i="1"/>
  <c r="A890" i="1"/>
  <c r="A881" i="1"/>
  <c r="A886" i="1"/>
  <c r="A871" i="1"/>
  <c r="A873" i="1"/>
  <c r="A875" i="1"/>
  <c r="A882" i="1"/>
  <c r="A869" i="1"/>
  <c r="A883" i="1"/>
  <c r="A892" i="1"/>
  <c r="A880" i="1"/>
  <c r="A870" i="1"/>
  <c r="A866" i="1"/>
  <c r="A865" i="1"/>
  <c r="A717" i="1"/>
  <c r="A709" i="1"/>
  <c r="A701" i="1"/>
  <c r="A682" i="1"/>
  <c r="A652" i="1"/>
  <c r="A634" i="1"/>
  <c r="A614" i="1"/>
  <c r="A593" i="1"/>
  <c r="A563" i="1"/>
  <c r="A535" i="1"/>
  <c r="A524" i="1"/>
  <c r="A485" i="1"/>
  <c r="A624" i="1"/>
  <c r="A525" i="1"/>
  <c r="A673" i="1"/>
  <c r="A714" i="1"/>
  <c r="A640" i="1"/>
  <c r="A547" i="1"/>
  <c r="A685" i="1"/>
  <c r="A595" i="1"/>
  <c r="A665" i="1"/>
  <c r="A715" i="1"/>
  <c r="A707" i="1"/>
  <c r="A698" i="1"/>
  <c r="A688" i="1"/>
  <c r="A678" i="1"/>
  <c r="A670" i="1"/>
  <c r="A660" i="1"/>
  <c r="A650" i="1"/>
  <c r="A642" i="1"/>
  <c r="A633" i="1"/>
  <c r="A623" i="1"/>
  <c r="A613" i="1"/>
  <c r="A599" i="1"/>
  <c r="A590" i="1"/>
  <c r="A573" i="1"/>
  <c r="A561" i="1"/>
  <c r="A549" i="1"/>
  <c r="A532" i="1"/>
  <c r="A523" i="1"/>
  <c r="A498" i="1"/>
  <c r="A481" i="1"/>
  <c r="A690" i="1"/>
  <c r="A651" i="1"/>
  <c r="A615" i="1"/>
  <c r="A560" i="1"/>
  <c r="A506" i="1"/>
  <c r="A543" i="1"/>
  <c r="A655" i="1"/>
  <c r="A551" i="1"/>
  <c r="A706" i="1"/>
  <c r="A668" i="1"/>
  <c r="A631" i="1"/>
  <c r="A588" i="1"/>
  <c r="A534" i="1"/>
  <c r="A712" i="1"/>
  <c r="A675" i="1"/>
  <c r="A637" i="1"/>
  <c r="A569" i="1"/>
  <c r="A710" i="1"/>
  <c r="A644" i="1"/>
  <c r="A566" i="1"/>
  <c r="A691" i="1"/>
  <c r="A672" i="1"/>
  <c r="A643" i="1"/>
  <c r="A625" i="1"/>
  <c r="A603" i="1"/>
  <c r="A576" i="1"/>
  <c r="A552" i="1"/>
  <c r="A504" i="1"/>
  <c r="A699" i="1"/>
  <c r="A662" i="1"/>
  <c r="A574" i="1"/>
  <c r="A584" i="1"/>
  <c r="A594" i="1"/>
  <c r="A677" i="1"/>
  <c r="A597" i="1"/>
  <c r="A483" i="1"/>
  <c r="A646" i="1"/>
  <c r="A497" i="1"/>
  <c r="A579" i="1"/>
  <c r="A713" i="1"/>
  <c r="A705" i="1"/>
  <c r="A695" i="1"/>
  <c r="A686" i="1"/>
  <c r="A676" i="1"/>
  <c r="A667" i="1"/>
  <c r="A657" i="1"/>
  <c r="A647" i="1"/>
  <c r="A639" i="1"/>
  <c r="A630" i="1"/>
  <c r="A621" i="1"/>
  <c r="A611" i="1"/>
  <c r="A598" i="1"/>
  <c r="A585" i="1"/>
  <c r="A571" i="1"/>
  <c r="A556" i="1"/>
  <c r="A546" i="1"/>
  <c r="A529" i="1"/>
  <c r="A514" i="1"/>
  <c r="A494" i="1"/>
  <c r="A716" i="1"/>
  <c r="A679" i="1"/>
  <c r="A641" i="1"/>
  <c r="A604" i="1"/>
  <c r="A550" i="1"/>
  <c r="A487" i="1"/>
  <c r="A636" i="1"/>
  <c r="A526" i="1"/>
  <c r="A696" i="1"/>
  <c r="A658" i="1"/>
  <c r="A622" i="1"/>
  <c r="A572" i="1"/>
  <c r="A519" i="1"/>
  <c r="A704" i="1"/>
  <c r="A664" i="1"/>
  <c r="A620" i="1"/>
  <c r="A555" i="1"/>
  <c r="A692" i="1"/>
  <c r="A626" i="1"/>
  <c r="A539" i="1"/>
  <c r="A663" i="1"/>
  <c r="A711" i="1"/>
  <c r="A703" i="1"/>
  <c r="A693" i="1"/>
  <c r="A684" i="1"/>
  <c r="A674" i="1"/>
  <c r="A666" i="1"/>
  <c r="A654" i="1"/>
  <c r="A645" i="1"/>
  <c r="A635" i="1"/>
  <c r="A627" i="1"/>
  <c r="A619" i="1"/>
  <c r="A609" i="1"/>
  <c r="A596" i="1"/>
  <c r="A583" i="1"/>
  <c r="A567" i="1"/>
  <c r="A553" i="1"/>
  <c r="A540" i="1"/>
  <c r="A527" i="1"/>
  <c r="A512" i="1"/>
  <c r="A488" i="1"/>
  <c r="A708" i="1"/>
  <c r="A671" i="1"/>
  <c r="A632" i="1"/>
  <c r="A592" i="1"/>
  <c r="A533" i="1"/>
  <c r="A629" i="1"/>
  <c r="A702" i="1"/>
  <c r="A618" i="1"/>
  <c r="A491" i="1"/>
  <c r="A687" i="1"/>
  <c r="A648" i="1"/>
  <c r="A612" i="1"/>
  <c r="A558" i="1"/>
  <c r="A503" i="1"/>
  <c r="A694" i="1"/>
  <c r="A656" i="1"/>
  <c r="A610" i="1"/>
  <c r="A528" i="1"/>
  <c r="A683" i="1"/>
  <c r="A606" i="1"/>
  <c r="A513" i="1"/>
  <c r="A479" i="1"/>
  <c r="A924" i="1"/>
  <c r="L25" i="5" l="1"/>
  <c r="L24" i="5"/>
  <c r="L12" i="5"/>
  <c r="L22" i="5"/>
  <c r="L28" i="5"/>
  <c r="L17" i="5"/>
  <c r="L29" i="5"/>
  <c r="L19" i="5"/>
  <c r="L31" i="5"/>
  <c r="L30" i="5"/>
  <c r="L20" i="5"/>
  <c r="L18" i="5"/>
  <c r="L9" i="5"/>
  <c r="L32" i="5"/>
  <c r="L23" i="5"/>
  <c r="L26" i="5"/>
  <c r="L27" i="5"/>
  <c r="L7" i="5"/>
  <c r="L15" i="5"/>
  <c r="L11" i="5"/>
  <c r="L13" i="5"/>
  <c r="L33" i="5"/>
  <c r="L14" i="5"/>
  <c r="L16" i="5"/>
  <c r="L21" i="5"/>
  <c r="L10" i="5"/>
  <c r="L6" i="5"/>
  <c r="L8" i="5"/>
  <c r="K68" i="1" l="1"/>
  <c r="L68" i="1" l="1"/>
  <c r="K298" i="1"/>
  <c r="L298" i="1" l="1"/>
  <c r="K467" i="1"/>
  <c r="W8" i="1" s="1" a="1"/>
  <c r="W8" i="1" s="1"/>
  <c r="W12" i="1" l="1" a="1"/>
  <c r="W12" i="1" s="1"/>
  <c r="W6" i="1" a="1"/>
  <c r="W6" i="1" s="1"/>
  <c r="W11" i="1" a="1"/>
  <c r="W11" i="1" s="1"/>
  <c r="W31" i="1" a="1"/>
  <c r="W31" i="1" s="1"/>
  <c r="W10" i="1" a="1"/>
  <c r="W10" i="1" s="1"/>
  <c r="W17" i="1" a="1"/>
  <c r="W17" i="1" s="1"/>
  <c r="W21" i="1" a="1"/>
  <c r="W21" i="1" s="1"/>
  <c r="W7" i="1" a="1"/>
  <c r="W7" i="1" s="1"/>
  <c r="W9" i="1" a="1"/>
  <c r="W9" i="1" s="1"/>
  <c r="W30" i="1" a="1"/>
  <c r="W30" i="1" s="1"/>
  <c r="W24" i="1" a="1"/>
  <c r="W24" i="1" s="1"/>
  <c r="W20" i="1" a="1"/>
  <c r="W20" i="1" s="1"/>
  <c r="W15" i="1" a="1"/>
  <c r="W15" i="1" s="1"/>
  <c r="W13" i="1" a="1"/>
  <c r="W13" i="1" s="1"/>
  <c r="W19" i="1" a="1"/>
  <c r="W19" i="1" s="1"/>
  <c r="W28" i="1" a="1"/>
  <c r="W28" i="1" s="1"/>
  <c r="W16" i="1" a="1"/>
  <c r="W16" i="1" s="1"/>
  <c r="L467" i="1"/>
  <c r="W23" i="1" a="1"/>
  <c r="W23" i="1" s="1"/>
  <c r="W33" i="1" a="1"/>
  <c r="W33" i="1" s="1"/>
  <c r="W32" i="1" a="1"/>
  <c r="W32" i="1" s="1"/>
  <c r="W22" i="1" a="1"/>
  <c r="W22" i="1" s="1"/>
  <c r="W14" i="1" a="1"/>
  <c r="W14" i="1" s="1"/>
  <c r="W27" i="1" a="1"/>
  <c r="W27" i="1" s="1"/>
  <c r="W25" i="1" a="1"/>
  <c r="W25" i="1" s="1"/>
  <c r="W29" i="1" a="1"/>
  <c r="W29" i="1" s="1"/>
  <c r="W18" i="1" a="1"/>
  <c r="W18" i="1" s="1"/>
  <c r="W26" i="1" a="1"/>
  <c r="W26" i="1" s="1"/>
  <c r="A9" i="1" l="1"/>
  <c r="A55" i="1"/>
  <c r="A72" i="1"/>
  <c r="A198" i="1"/>
  <c r="A152" i="1"/>
  <c r="A46" i="1"/>
  <c r="A175" i="1"/>
  <c r="A217" i="1"/>
  <c r="A197" i="1"/>
  <c r="A123" i="1"/>
  <c r="A151" i="1"/>
  <c r="A124" i="1"/>
  <c r="A76" i="1"/>
  <c r="A150" i="1"/>
  <c r="A425" i="1"/>
  <c r="A103" i="1"/>
  <c r="A57" i="1"/>
  <c r="A58" i="1"/>
  <c r="A220" i="1"/>
  <c r="A129" i="1"/>
  <c r="A349" i="1"/>
  <c r="A59" i="1"/>
  <c r="A36" i="1"/>
  <c r="A29" i="1"/>
  <c r="A202" i="1"/>
  <c r="A60" i="1"/>
  <c r="A31" i="1"/>
  <c r="A61" i="1"/>
  <c r="A225" i="1"/>
  <c r="A62" i="1"/>
  <c r="A21" i="1"/>
  <c r="A245" i="1"/>
  <c r="A132" i="1"/>
  <c r="A273" i="1"/>
  <c r="A108" i="1"/>
  <c r="A109" i="1"/>
  <c r="X6" i="1" a="1"/>
  <c r="X6" i="1" s="1"/>
  <c r="A324" i="1"/>
  <c r="A325" i="1"/>
  <c r="A249" i="1"/>
  <c r="A63" i="1"/>
  <c r="A39" i="1"/>
  <c r="A205" i="1"/>
  <c r="A94" i="1"/>
  <c r="A64" i="1"/>
  <c r="A165" i="1"/>
  <c r="A185" i="1"/>
  <c r="A274" i="1"/>
  <c r="A97" i="1"/>
  <c r="A208" i="1"/>
  <c r="A24" i="1"/>
  <c r="X8" i="1" a="1"/>
  <c r="X8" i="1" s="1"/>
  <c r="A115" i="1"/>
  <c r="A186" i="1"/>
  <c r="A15" i="1"/>
  <c r="A295" i="1"/>
  <c r="A459" i="1"/>
  <c r="A140" i="1"/>
  <c r="X12" i="1" a="1"/>
  <c r="X12" i="1" s="1"/>
  <c r="A117" i="1"/>
  <c r="A257" i="1"/>
  <c r="A118" i="1"/>
  <c r="X31" i="1" a="1"/>
  <c r="X31" i="1" s="1"/>
  <c r="A258" i="1"/>
  <c r="A259" i="1"/>
  <c r="X10" i="1" a="1"/>
  <c r="X10" i="1" s="1"/>
  <c r="A170" i="1"/>
  <c r="A81" i="1"/>
  <c r="A214" i="1"/>
  <c r="A119" i="1"/>
  <c r="A299" i="1"/>
  <c r="A147" i="1"/>
  <c r="A12" i="1"/>
  <c r="A300" i="1"/>
  <c r="A99" i="1"/>
  <c r="A121" i="1"/>
  <c r="A56" i="1"/>
  <c r="A174" i="1"/>
  <c r="A27" i="1"/>
  <c r="A73" i="1"/>
  <c r="A153" i="1"/>
  <c r="A402" i="1"/>
  <c r="A332" i="1"/>
  <c r="A19" i="1"/>
  <c r="A87" i="1"/>
  <c r="A403" i="1"/>
  <c r="A381" i="1"/>
  <c r="A90" i="1"/>
  <c r="A415" i="1"/>
  <c r="A35" i="1"/>
  <c r="A89" i="1"/>
  <c r="A28" i="1"/>
  <c r="A242" i="1"/>
  <c r="A303" i="1"/>
  <c r="A222" i="1"/>
  <c r="A78" i="1"/>
  <c r="A435" i="1"/>
  <c r="A48" i="1"/>
  <c r="L476" i="1"/>
  <c r="A445" i="1"/>
  <c r="A243" i="1"/>
  <c r="A305" i="1"/>
  <c r="X17" i="1" a="1"/>
  <c r="X17" i="1" s="1"/>
  <c r="A79" i="1"/>
  <c r="A458" i="1"/>
  <c r="A107" i="1"/>
  <c r="A368" i="1"/>
  <c r="A106" i="1"/>
  <c r="A416" i="1"/>
  <c r="A160" i="1"/>
  <c r="A80" i="1"/>
  <c r="A133" i="1"/>
  <c r="A162" i="1"/>
  <c r="A323" i="1"/>
  <c r="A353" i="1"/>
  <c r="A248" i="1"/>
  <c r="A244" i="1"/>
  <c r="A429" i="1"/>
  <c r="A183" i="1"/>
  <c r="A135" i="1"/>
  <c r="A204" i="1"/>
  <c r="A32" i="1"/>
  <c r="A8" i="1"/>
  <c r="A164" i="1"/>
  <c r="A229" i="1"/>
  <c r="A276" i="1"/>
  <c r="A206" i="1"/>
  <c r="A310" i="1"/>
  <c r="A355" i="1"/>
  <c r="A33" i="1"/>
  <c r="A385" i="1"/>
  <c r="A419" i="1"/>
  <c r="A253" i="1"/>
  <c r="A210" i="1"/>
  <c r="A344" i="1"/>
  <c r="A138" i="1"/>
  <c r="A166" i="1"/>
  <c r="A312" i="1"/>
  <c r="A189" i="1"/>
  <c r="A328" i="1"/>
  <c r="A345" i="1"/>
  <c r="A411" i="1"/>
  <c r="A357" i="1"/>
  <c r="A25" i="1"/>
  <c r="A211" i="1"/>
  <c r="A11" i="1"/>
  <c r="A280" i="1"/>
  <c r="A256" i="1"/>
  <c r="A34" i="1"/>
  <c r="A359" i="1"/>
  <c r="A52" i="1"/>
  <c r="A236" i="1"/>
  <c r="A314" i="1"/>
  <c r="A377" i="1"/>
  <c r="A447" i="1"/>
  <c r="A42" i="1"/>
  <c r="A98" i="1"/>
  <c r="X11" i="1" a="1"/>
  <c r="X11" i="1" s="1"/>
  <c r="X7" i="1" a="1"/>
  <c r="X7" i="1" s="1"/>
  <c r="A216" i="1"/>
  <c r="X9" i="1" a="1"/>
  <c r="X9" i="1" s="1"/>
  <c r="A467" i="1"/>
  <c r="A298" i="1"/>
  <c r="A316" i="1"/>
  <c r="A289" i="1"/>
  <c r="A437" i="1"/>
  <c r="A219" i="1"/>
  <c r="A424" i="1"/>
  <c r="A75" i="1"/>
  <c r="A333" i="1"/>
  <c r="A141" i="1"/>
  <c r="A331" i="1"/>
  <c r="A460" i="1"/>
  <c r="A379" i="1"/>
  <c r="A282" i="1"/>
  <c r="A287" i="1"/>
  <c r="A383" i="1"/>
  <c r="A163" i="1"/>
  <c r="A358" i="1"/>
  <c r="A296" i="1"/>
  <c r="A378" i="1"/>
  <c r="A348" i="1"/>
  <c r="A386" i="1"/>
  <c r="A231" i="1"/>
  <c r="A49" i="1"/>
  <c r="A110" i="1"/>
  <c r="A366" i="1"/>
  <c r="A352" i="1"/>
  <c r="A237" i="1"/>
  <c r="A263" i="1"/>
  <c r="A142" i="1"/>
  <c r="A70" i="1"/>
  <c r="A375" i="1"/>
  <c r="A65" i="1"/>
  <c r="A156" i="1"/>
  <c r="A7" i="1"/>
  <c r="A271" i="1"/>
  <c r="A96" i="1"/>
  <c r="A85" i="1"/>
  <c r="A176" i="1"/>
  <c r="A161" i="1"/>
  <c r="A281" i="1"/>
  <c r="A330" i="1"/>
  <c r="A351" i="1"/>
  <c r="A83" i="1"/>
  <c r="A74" i="1"/>
  <c r="A436" i="1"/>
  <c r="A308" i="1"/>
  <c r="A40" i="1"/>
  <c r="A134" i="1"/>
  <c r="A212" i="1"/>
  <c r="A91" i="1"/>
  <c r="A13" i="1"/>
  <c r="A23" i="1"/>
  <c r="A128" i="1"/>
  <c r="A172" i="1"/>
  <c r="A362" i="1"/>
  <c r="A240" i="1"/>
  <c r="A53" i="1"/>
  <c r="A145" i="1"/>
  <c r="A207" i="1"/>
  <c r="A318" i="1"/>
  <c r="A374" i="1"/>
  <c r="A195" i="1"/>
  <c r="A47" i="1"/>
  <c r="A452" i="1"/>
  <c r="A371" i="1"/>
  <c r="A432" i="1"/>
  <c r="A247" i="1"/>
  <c r="A223" i="1"/>
  <c r="A373" i="1"/>
  <c r="A389" i="1"/>
  <c r="A350" i="1"/>
  <c r="A302" i="1"/>
  <c r="A199" i="1"/>
  <c r="A347" i="1"/>
  <c r="A22" i="1"/>
  <c r="A438" i="1"/>
  <c r="A226" i="1"/>
  <c r="A26" i="1"/>
  <c r="A188" i="1"/>
  <c r="A77" i="1"/>
  <c r="A269" i="1"/>
  <c r="A246" i="1"/>
  <c r="A356" i="1"/>
  <c r="A116" i="1"/>
  <c r="A169" i="1"/>
  <c r="A203" i="1"/>
  <c r="A41" i="1"/>
  <c r="A16" i="1"/>
  <c r="A255" i="1"/>
  <c r="A322" i="1"/>
  <c r="A311" i="1"/>
  <c r="A340" i="1"/>
  <c r="A399" i="1"/>
  <c r="A182" i="1"/>
  <c r="A113" i="1"/>
  <c r="A465" i="1"/>
  <c r="A421" i="1"/>
  <c r="A171" i="1"/>
  <c r="A417" i="1"/>
  <c r="A224" i="1"/>
  <c r="A444" i="1"/>
  <c r="A143" i="1"/>
  <c r="A370" i="1"/>
  <c r="A230" i="1"/>
  <c r="A442" i="1"/>
  <c r="A68" i="1"/>
  <c r="A139" i="1"/>
  <c r="A439" i="1"/>
  <c r="A192" i="1"/>
  <c r="A329" i="1"/>
  <c r="A390" i="1"/>
  <c r="A426" i="1"/>
  <c r="A126" i="1"/>
  <c r="A101" i="1"/>
  <c r="A137" i="1"/>
  <c r="A262" i="1"/>
  <c r="A95" i="1"/>
  <c r="A179" i="1"/>
  <c r="A434" i="1"/>
  <c r="A181" i="1"/>
  <c r="A440" i="1"/>
  <c r="A463" i="1"/>
  <c r="A196" i="1"/>
  <c r="A112" i="1"/>
  <c r="A235" i="1"/>
  <c r="A86" i="1"/>
  <c r="A177" i="1"/>
  <c r="A120" i="1"/>
  <c r="A388" i="1"/>
  <c r="A412" i="1"/>
  <c r="A159" i="1"/>
  <c r="A297" i="1"/>
  <c r="A392" i="1"/>
  <c r="A396" i="1"/>
  <c r="A321" i="1"/>
  <c r="A149" i="1"/>
  <c r="A427" i="1"/>
  <c r="A104" i="1"/>
  <c r="A67" i="1"/>
  <c r="A430" i="1"/>
  <c r="A125" i="1"/>
  <c r="A441" i="1"/>
  <c r="A51" i="1"/>
  <c r="A334" i="1"/>
  <c r="A428" i="1"/>
  <c r="A234" i="1"/>
  <c r="A264" i="1"/>
  <c r="A14" i="1"/>
  <c r="A457" i="1"/>
  <c r="A454" i="1"/>
  <c r="A100" i="1"/>
  <c r="A342" i="1"/>
  <c r="A468" i="1"/>
  <c r="A450" i="1"/>
  <c r="A393" i="1"/>
  <c r="A184" i="1"/>
  <c r="A406" i="1"/>
  <c r="A209" i="1"/>
  <c r="A131" i="1"/>
  <c r="A285" i="1"/>
  <c r="A158" i="1"/>
  <c r="A422" i="1"/>
  <c r="A127" i="1"/>
  <c r="A372" i="1"/>
  <c r="A462" i="1"/>
  <c r="A227" i="1"/>
  <c r="A451" i="1"/>
  <c r="A395" i="1"/>
  <c r="A187" i="1"/>
  <c r="A456" i="1"/>
  <c r="A397" i="1"/>
  <c r="A404" i="1"/>
  <c r="A114" i="1"/>
  <c r="A354" i="1"/>
  <c r="A327" i="1"/>
  <c r="A122" i="1"/>
  <c r="A304" i="1"/>
  <c r="A423" i="1"/>
  <c r="A136" i="1"/>
  <c r="A200" i="1"/>
  <c r="A50" i="1"/>
  <c r="A265" i="1"/>
  <c r="A20" i="1"/>
  <c r="A407" i="1"/>
  <c r="A414" i="1"/>
  <c r="A178" i="1"/>
  <c r="A418" i="1"/>
  <c r="A254" i="1"/>
  <c r="A228" i="1"/>
  <c r="A382" i="1"/>
  <c r="A44" i="1"/>
  <c r="A54" i="1"/>
  <c r="A261" i="1"/>
  <c r="A313" i="1"/>
  <c r="A309" i="1"/>
  <c r="A215" i="1"/>
  <c r="A213" i="1"/>
  <c r="A307" i="1"/>
  <c r="A339" i="1"/>
  <c r="A238" i="1"/>
  <c r="A111" i="1"/>
  <c r="A446" i="1"/>
  <c r="A66" i="1"/>
  <c r="A341" i="1"/>
  <c r="A18" i="1"/>
  <c r="A71" i="1"/>
  <c r="A461" i="1"/>
  <c r="A88" i="1"/>
  <c r="A294" i="1"/>
  <c r="A391" i="1"/>
  <c r="A82" i="1"/>
  <c r="A301" i="1"/>
  <c r="A365" i="1"/>
  <c r="A306" i="1"/>
  <c r="A250" i="1"/>
  <c r="A284" i="1"/>
  <c r="A10" i="1"/>
  <c r="A360" i="1"/>
  <c r="A433" i="1"/>
  <c r="A233" i="1"/>
  <c r="A286" i="1"/>
  <c r="A346" i="1"/>
  <c r="A472" i="1"/>
  <c r="A270" i="1"/>
  <c r="A173" i="1"/>
  <c r="A266" i="1"/>
  <c r="A364" i="1"/>
  <c r="A268" i="1"/>
  <c r="A92" i="1"/>
  <c r="A290" i="1"/>
  <c r="A455" i="1"/>
  <c r="A102" i="1"/>
  <c r="A443" i="1"/>
  <c r="A380" i="1"/>
  <c r="A315" i="1"/>
  <c r="A361" i="1"/>
  <c r="A157" i="1"/>
  <c r="A291" i="1"/>
  <c r="A410" i="1"/>
  <c r="A317" i="1"/>
  <c r="A154" i="1"/>
  <c r="A292" i="1"/>
  <c r="A190" i="1"/>
  <c r="A17" i="1"/>
  <c r="A267" i="1"/>
  <c r="A279" i="1"/>
  <c r="A194" i="1"/>
  <c r="A93" i="1"/>
  <c r="A400" i="1"/>
  <c r="A105" i="1"/>
  <c r="A272" i="1"/>
  <c r="A148" i="1"/>
  <c r="A469" i="1"/>
  <c r="A369" i="1"/>
  <c r="A401" i="1"/>
  <c r="A218" i="1"/>
  <c r="A201" i="1"/>
  <c r="A367" i="1"/>
  <c r="A43" i="1"/>
  <c r="A260" i="1"/>
  <c r="A384" i="1"/>
  <c r="A464" i="1"/>
  <c r="A155" i="1"/>
  <c r="A277" i="1"/>
  <c r="A232" i="1"/>
  <c r="A408" i="1"/>
  <c r="A337" i="1"/>
  <c r="A30" i="1"/>
  <c r="A69" i="1"/>
  <c r="A293" i="1"/>
  <c r="A319" i="1"/>
  <c r="A191" i="1"/>
  <c r="A413" i="1"/>
  <c r="A275" i="1"/>
  <c r="A453" i="1"/>
  <c r="A409" i="1"/>
  <c r="A283" i="1"/>
  <c r="A252" i="1"/>
  <c r="A448" i="1"/>
  <c r="A144" i="1"/>
  <c r="A387" i="1"/>
  <c r="A241" i="1"/>
  <c r="A474" i="1"/>
  <c r="A288" i="1"/>
  <c r="A326" i="1"/>
  <c r="A278" i="1"/>
  <c r="A167" i="1"/>
  <c r="A37" i="1"/>
  <c r="A239" i="1"/>
  <c r="A363" i="1"/>
  <c r="A251" i="1"/>
  <c r="A343" i="1"/>
  <c r="A38" i="1"/>
  <c r="A466" i="1"/>
  <c r="A180" i="1"/>
  <c r="A338" i="1"/>
  <c r="A398" i="1"/>
  <c r="A420" i="1"/>
  <c r="A320" i="1"/>
  <c r="A168" i="1"/>
  <c r="A45" i="1"/>
  <c r="A394" i="1"/>
  <c r="A84" i="1"/>
  <c r="A431" i="1"/>
  <c r="A130" i="1"/>
  <c r="A193" i="1"/>
  <c r="A146" i="1"/>
  <c r="A470" i="1"/>
  <c r="A449" i="1"/>
  <c r="A221" i="1"/>
  <c r="A471" i="1"/>
  <c r="A405" i="1"/>
  <c r="A335" i="1"/>
  <c r="A336" i="1"/>
  <c r="A473" i="1"/>
  <c r="A376" i="1"/>
  <c r="X23" i="1" a="1"/>
  <c r="X23" i="1" s="1"/>
  <c r="X24" i="1" a="1"/>
  <c r="X24" i="1" s="1"/>
  <c r="X30" i="1" a="1"/>
  <c r="X30" i="1" s="1"/>
  <c r="X28" i="1" a="1"/>
  <c r="X28" i="1" s="1"/>
  <c r="X14" i="1" a="1"/>
  <c r="X14" i="1" s="1"/>
  <c r="X15" i="1" a="1"/>
  <c r="X15" i="1" s="1"/>
  <c r="X16" i="1" a="1"/>
  <c r="X16" i="1" s="1"/>
  <c r="X13" i="1" a="1"/>
  <c r="X13" i="1" s="1"/>
  <c r="A6" i="1"/>
  <c r="X18" i="1" a="1"/>
  <c r="X18" i="1" s="1"/>
  <c r="X27" i="1" a="1"/>
  <c r="X27" i="1" s="1"/>
  <c r="X32" i="1" a="1"/>
  <c r="X32" i="1" s="1"/>
  <c r="X25" i="1" a="1"/>
  <c r="X25" i="1" s="1"/>
  <c r="X33" i="1" a="1"/>
  <c r="X33" i="1" s="1"/>
  <c r="X26" i="1" a="1"/>
  <c r="X26" i="1" s="1"/>
  <c r="X22" i="1" a="1"/>
  <c r="X22" i="1" s="1"/>
  <c r="X29" i="1" a="1"/>
  <c r="X29" i="1" s="1"/>
  <c r="X20" i="1" a="1"/>
  <c r="X20" i="1" s="1"/>
  <c r="X19" i="1" a="1"/>
  <c r="X19" i="1" s="1"/>
  <c r="X21" i="1" a="1"/>
  <c r="X21" i="1" s="1"/>
  <c r="J476" i="1"/>
  <c r="I476" i="1"/>
  <c r="H476" i="1"/>
  <c r="G476" i="1"/>
  <c r="F476" i="1"/>
  <c r="O6" i="1" l="1"/>
  <c r="O29" i="1"/>
  <c r="O23" i="1"/>
  <c r="O12" i="1"/>
  <c r="O22" i="1"/>
  <c r="O13" i="1"/>
  <c r="O28" i="1"/>
  <c r="O11" i="1"/>
  <c r="O10" i="1"/>
  <c r="O14" i="1"/>
  <c r="O7" i="1"/>
  <c r="O31" i="1"/>
  <c r="O21" i="1"/>
  <c r="O32" i="1"/>
  <c r="O19" i="1"/>
  <c r="O26" i="1"/>
  <c r="O27" i="1"/>
  <c r="O16" i="1"/>
  <c r="O30" i="1"/>
  <c r="O9" i="1"/>
  <c r="O25" i="1"/>
  <c r="O17" i="1"/>
  <c r="O20" i="1"/>
  <c r="O33" i="1"/>
  <c r="O18" i="1"/>
  <c r="O15" i="1"/>
  <c r="O24" i="1"/>
  <c r="O8" i="1"/>
  <c r="K47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<sst xmlns="http://schemas.openxmlformats.org/spreadsheetml/2006/main" count="8836" uniqueCount="537">
  <si>
    <t>Switch Name</t>
  </si>
  <si>
    <t>Rank</t>
  </si>
  <si>
    <t>Type</t>
  </si>
  <si>
    <t>Push Feel</t>
  </si>
  <si>
    <t>Wobble</t>
  </si>
  <si>
    <t>Sound</t>
  </si>
  <si>
    <t>Context</t>
  </si>
  <si>
    <t>Other</t>
  </si>
  <si>
    <t>ThereminGoat's Master Score Sheet</t>
  </si>
  <si>
    <t>Total
Scored</t>
  </si>
  <si>
    <t>Total
Collected</t>
  </si>
  <si>
    <t xml:space="preserve"> - TOTAL RANKINGS -</t>
  </si>
  <si>
    <t xml:space="preserve"> - LINEAR RANKINGS -</t>
  </si>
  <si>
    <t xml:space="preserve"> - TACTILE RANKINGS -</t>
  </si>
  <si>
    <t xml:space="preserve"> - SILENT LINEAR RANKINGS -</t>
  </si>
  <si>
    <t xml:space="preserve"> - SILENT TACTILE RANKINGS -</t>
  </si>
  <si>
    <t>Moyu Black</t>
  </si>
  <si>
    <t>Tactile</t>
  </si>
  <si>
    <t>Hexin Workshop Bamboo Green (60g)</t>
  </si>
  <si>
    <t>Gazzew U4 Boba 68g (Sample)</t>
  </si>
  <si>
    <t>Silent Tactile</t>
  </si>
  <si>
    <t>Gateron Yellow KS-8</t>
  </si>
  <si>
    <t>Linear</t>
  </si>
  <si>
    <t>Everglide Sakura Pink V2</t>
  </si>
  <si>
    <t>Everglide Coral Red V2 Pro!</t>
  </si>
  <si>
    <t>Everglide Amber Orange V2 Pro!</t>
  </si>
  <si>
    <t>Everglide Jade Green V2</t>
  </si>
  <si>
    <t>AVG</t>
  </si>
  <si>
    <t>AVERAGE OF ALL</t>
  </si>
  <si>
    <t>-</t>
  </si>
  <si>
    <t>Kailh Box Silent Brown</t>
  </si>
  <si>
    <t>Glorious Panda</t>
  </si>
  <si>
    <t>Kailh Box Silent Pink</t>
  </si>
  <si>
    <t>Silent Linear</t>
  </si>
  <si>
    <t>Gateron N1</t>
  </si>
  <si>
    <t>KK Lightwave</t>
  </si>
  <si>
    <t>Star Grey</t>
  </si>
  <si>
    <t>Star Purple</t>
  </si>
  <si>
    <t xml:space="preserve"> - CLICKY RANKINGS -</t>
  </si>
  <si>
    <t>Gateron Ink Blue V1</t>
  </si>
  <si>
    <t>Clicky</t>
  </si>
  <si>
    <t>Kailh Box Jade</t>
  </si>
  <si>
    <t>Kailh Box Navy</t>
  </si>
  <si>
    <t>Healio</t>
  </si>
  <si>
    <t/>
  </si>
  <si>
    <t>TTC Gold Pink</t>
  </si>
  <si>
    <t>C3 Macho</t>
  </si>
  <si>
    <t>Seriko</t>
  </si>
  <si>
    <t>Aliaz (80g)</t>
  </si>
  <si>
    <t>Varmilo EC V2 Rose</t>
  </si>
  <si>
    <t>Varmilo EC V2 Sakura</t>
  </si>
  <si>
    <t>Varmilo EC V2 Daisy</t>
  </si>
  <si>
    <t>Gateron Keyfirst Cream</t>
  </si>
  <si>
    <t>Crane</t>
  </si>
  <si>
    <t>KTT Cloud Blue</t>
  </si>
  <si>
    <t>KTT Sea Salt</t>
  </si>
  <si>
    <t>Nixie Black</t>
  </si>
  <si>
    <t>NK x Kailh Speed Heavy Burnt Orange</t>
  </si>
  <si>
    <t>NK x Kailh Speed Heavy Dark Yellow</t>
  </si>
  <si>
    <t>NK x Kailh Speed Heavy Pale Blue</t>
  </si>
  <si>
    <t>Gateron Kangaroo Inks</t>
  </si>
  <si>
    <t>Greetech Razer Orange</t>
  </si>
  <si>
    <t>Greetech Razer Yellow</t>
  </si>
  <si>
    <t>Greetech Razer Green</t>
  </si>
  <si>
    <t>C3 Kiwi</t>
  </si>
  <si>
    <t>Manufacturer</t>
  </si>
  <si>
    <t>Outemu</t>
  </si>
  <si>
    <t>Cherry</t>
  </si>
  <si>
    <t>Kailh</t>
  </si>
  <si>
    <t>Durock/JWK</t>
  </si>
  <si>
    <t>SP Star</t>
  </si>
  <si>
    <t>Gateron</t>
  </si>
  <si>
    <t>Tecsee</t>
  </si>
  <si>
    <t>TTC</t>
  </si>
  <si>
    <t>KTT</t>
  </si>
  <si>
    <t>Greetech</t>
  </si>
  <si>
    <t>Manufacturer Name</t>
  </si>
  <si>
    <t>Switches Tested</t>
  </si>
  <si>
    <t>ThereminGoat's 'Hard Total' Score Sheet</t>
  </si>
  <si>
    <t>Max Score</t>
  </si>
  <si>
    <t>ThereminGoat's 'Soft Total' Score Sheet</t>
  </si>
  <si>
    <t>- MANUFACTURER STATISTICS -</t>
  </si>
  <si>
    <t>Kailh Pro Burgundy (Plate Mount)</t>
  </si>
  <si>
    <t>Kailh Pro Purple (Plate Mount)</t>
  </si>
  <si>
    <t>Kailh Pro Light Green (Plate Mount)</t>
  </si>
  <si>
    <t>Alpaca V2</t>
  </si>
  <si>
    <t>Durock POM Linear (Sample)</t>
  </si>
  <si>
    <t>Lavenders</t>
  </si>
  <si>
    <t>Bobagum (62g)</t>
  </si>
  <si>
    <t>U4T (62g)</t>
  </si>
  <si>
    <t>Everglide Sky Blue V2.5</t>
  </si>
  <si>
    <t>TTC Blueish White</t>
  </si>
  <si>
    <t>Novelia</t>
  </si>
  <si>
    <t>Gateron Slate Grey</t>
  </si>
  <si>
    <t>Gateron Ink Yellow V2</t>
  </si>
  <si>
    <t>KTT Strawberry</t>
  </si>
  <si>
    <t>BSUN POM Linear</t>
  </si>
  <si>
    <t>Original Aspiration (Release)</t>
  </si>
  <si>
    <t>Original Aspiration (Sample)</t>
  </si>
  <si>
    <t>Akko Pink</t>
  </si>
  <si>
    <t>Snow Whites</t>
  </si>
  <si>
    <t>Penguins</t>
  </si>
  <si>
    <t>Pewters</t>
  </si>
  <si>
    <t>Outemu Clear</t>
  </si>
  <si>
    <t>TTC x Helix Lab Skylar</t>
  </si>
  <si>
    <t>Opblack</t>
  </si>
  <si>
    <t>Mode Signal</t>
  </si>
  <si>
    <t>Mode Reflex</t>
  </si>
  <si>
    <t>Everglide V3 'Water King' (60g)</t>
  </si>
  <si>
    <t>Akko CS Rose Red</t>
  </si>
  <si>
    <t>Akko CS Ocean Blue</t>
  </si>
  <si>
    <t>KTT Matcha</t>
  </si>
  <si>
    <t>KTT Gold</t>
  </si>
  <si>
    <t>Gateron Hippo</t>
  </si>
  <si>
    <t>Ethereal Panda</t>
  </si>
  <si>
    <t>Gateron Cap Brown</t>
  </si>
  <si>
    <t>Kingfishers</t>
  </si>
  <si>
    <t>Naevy V1.5</t>
  </si>
  <si>
    <t>8008 Ink</t>
  </si>
  <si>
    <t>Raed</t>
  </si>
  <si>
    <t>Taro Ball</t>
  </si>
  <si>
    <t>Neapolitan Ice Creams</t>
  </si>
  <si>
    <t>Novelkeys Box Cream</t>
  </si>
  <si>
    <t>Opgrey</t>
  </si>
  <si>
    <t>Tecsee Purple Panda</t>
  </si>
  <si>
    <t>Gateron Speed Silver Pro</t>
  </si>
  <si>
    <t>Gateron Pro Yellow</t>
  </si>
  <si>
    <t>Durock Sunflower</t>
  </si>
  <si>
    <t>Husky</t>
  </si>
  <si>
    <t>Queen</t>
  </si>
  <si>
    <t>Frost Panda</t>
  </si>
  <si>
    <t>Momoka</t>
  </si>
  <si>
    <t>Momoka Frog V3</t>
  </si>
  <si>
    <t>KTT Peach</t>
  </si>
  <si>
    <t>KTT Kang White</t>
  </si>
  <si>
    <t>NK x Kailh Chocolate</t>
  </si>
  <si>
    <t>Tecsee Sapphire</t>
  </si>
  <si>
    <t>SP Star Magic Girl (Classic)</t>
  </si>
  <si>
    <t>Konpeitou</t>
  </si>
  <si>
    <t>Quartz</t>
  </si>
  <si>
    <t>Anubis</t>
  </si>
  <si>
    <t>Harimau</t>
  </si>
  <si>
    <t>'Aura' Frost Panda</t>
  </si>
  <si>
    <t>Kailh Canary</t>
  </si>
  <si>
    <t>Penyu</t>
  </si>
  <si>
    <t>Gateron Vermilion Bird</t>
  </si>
  <si>
    <t>Gateron Azure Dragon</t>
  </si>
  <si>
    <t>Naevy V1</t>
  </si>
  <si>
    <t>Taiwan Jet Axis Yellow</t>
  </si>
  <si>
    <t>Unknown</t>
  </si>
  <si>
    <t>Glorious Lynx (Unlubed)</t>
  </si>
  <si>
    <t>Amethyst</t>
  </si>
  <si>
    <t>Auralite</t>
  </si>
  <si>
    <t>KTT Mallo</t>
  </si>
  <si>
    <t>Huano</t>
  </si>
  <si>
    <t>TTC Wild (42g.)</t>
  </si>
  <si>
    <t>Tecsee Sapphire V2</t>
  </si>
  <si>
    <t>Gateron Robin</t>
  </si>
  <si>
    <t>Meow Claw V2</t>
  </si>
  <si>
    <t>Ajazz x Huano Banana</t>
  </si>
  <si>
    <t>Kailh Box Sky Blue</t>
  </si>
  <si>
    <t>Kailh Box Quicksand Gold</t>
  </si>
  <si>
    <t>Kailh Box Rose Red</t>
  </si>
  <si>
    <t>Ajazz x Huano Peach</t>
  </si>
  <si>
    <t>Gateron CJ</t>
  </si>
  <si>
    <t>Ajazz x Huano Kiwi</t>
  </si>
  <si>
    <t>Novelkeys Launch Creams</t>
  </si>
  <si>
    <t>Cow Orange</t>
  </si>
  <si>
    <t>Gateron Box Ink Pink</t>
  </si>
  <si>
    <t>Gateron Box Ink Black</t>
  </si>
  <si>
    <t>Huano Silver</t>
  </si>
  <si>
    <t>RRE Blacks</t>
  </si>
  <si>
    <t>Cream Tactile</t>
  </si>
  <si>
    <t>Gateron X Yellow</t>
  </si>
  <si>
    <t>Gateron Mochi</t>
  </si>
  <si>
    <t>Zealios V1 Linear</t>
  </si>
  <si>
    <t>Winkeyless.KR Zeal Clear</t>
  </si>
  <si>
    <t>Akko CS Jelly White</t>
  </si>
  <si>
    <t>Akko CS Starfish</t>
  </si>
  <si>
    <t>Akko CS Sponge</t>
  </si>
  <si>
    <t>Zealio V1 Redux (62g)</t>
  </si>
  <si>
    <t>Gateron SolDark</t>
  </si>
  <si>
    <t>Popu</t>
  </si>
  <si>
    <t>SP Star Sacramento</t>
  </si>
  <si>
    <t>Aflion</t>
  </si>
  <si>
    <t>Invokeys Matcha Latte</t>
  </si>
  <si>
    <t>SP Star Marble Soda Melon</t>
  </si>
  <si>
    <t>TTC Brother</t>
  </si>
  <si>
    <t>Gateron Oil King</t>
  </si>
  <si>
    <t>SP Star Ayara</t>
  </si>
  <si>
    <t>Everglide Lightning Silver Light Green</t>
  </si>
  <si>
    <t>Tsavorite</t>
  </si>
  <si>
    <t>Kailh Box Mute Jade</t>
  </si>
  <si>
    <t>Kailh Box Speed Ultimate</t>
  </si>
  <si>
    <t>Keyfirst Bling Blue</t>
  </si>
  <si>
    <t>Leobog Pig Synapse</t>
  </si>
  <si>
    <t>Obsidian Pro</t>
  </si>
  <si>
    <t>Holy Panda X</t>
  </si>
  <si>
    <t>Gateron Mini</t>
  </si>
  <si>
    <t>Cotton Candy</t>
  </si>
  <si>
    <t>Kailh Christmas Tree</t>
  </si>
  <si>
    <t>Outemu Silent Peach</t>
  </si>
  <si>
    <t>Keychron Phantom Brown</t>
  </si>
  <si>
    <t>Lumia Matcha (62g)</t>
  </si>
  <si>
    <t>Wuque Studio Onion</t>
  </si>
  <si>
    <t>Gateron Mink</t>
  </si>
  <si>
    <t>Mengmoda Ice Cream</t>
  </si>
  <si>
    <t>Mengmoda Holy Panda</t>
  </si>
  <si>
    <t>Leobog Nimbus</t>
  </si>
  <si>
    <t>Aflion Black and Orange</t>
  </si>
  <si>
    <t>TTC Tiger</t>
  </si>
  <si>
    <t>Hoshizora</t>
  </si>
  <si>
    <t>Musetsu</t>
  </si>
  <si>
    <t>Novelkeys Cream Arc</t>
  </si>
  <si>
    <t>Strawberry Jelly V2</t>
  </si>
  <si>
    <t>KTT Cabbage Tofu</t>
  </si>
  <si>
    <t>Mengmoda Honey</t>
  </si>
  <si>
    <t>Momoka Shark</t>
  </si>
  <si>
    <t>Tecsee Ice Milk Tactile</t>
  </si>
  <si>
    <t>DesignerStudio White Jade</t>
  </si>
  <si>
    <t>Designer Studio Graphite Gold</t>
  </si>
  <si>
    <t>Zeal Crystal</t>
  </si>
  <si>
    <t>Zeal Pearlio</t>
  </si>
  <si>
    <t>Zeal Clickiez 75g. (Clicky)</t>
  </si>
  <si>
    <t>Zeal Clickiez 75g. (Tactile)</t>
  </si>
  <si>
    <t>Zeal Clickiez 75g. (Linear)</t>
  </si>
  <si>
    <t>RAMA WORKS Duck</t>
  </si>
  <si>
    <t>Kailh Midnight Pro Light Yellow</t>
  </si>
  <si>
    <t>Kailh Midnight Pro Grey</t>
  </si>
  <si>
    <t>Lubed Black Geon Switch</t>
  </si>
  <si>
    <t>JWICK Ginger Milk</t>
  </si>
  <si>
    <t>JWICK Taro</t>
  </si>
  <si>
    <t>Invokeys Blueberry Chiffon</t>
  </si>
  <si>
    <t>TKC Blackberry</t>
  </si>
  <si>
    <t>KFA Lubed Pink Robin</t>
  </si>
  <si>
    <t>Haimu Whisper</t>
  </si>
  <si>
    <t>Haimu</t>
  </si>
  <si>
    <t>Haimu Heartbeat</t>
  </si>
  <si>
    <t>Kinetic Labs Gecko</t>
  </si>
  <si>
    <t>Invokeys Black Sesame</t>
  </si>
  <si>
    <t>TTC Razer Dustproof Green</t>
  </si>
  <si>
    <t>TTC Razer Dustproof Orange</t>
  </si>
  <si>
    <t>TTC Razer Dustproof Yellow</t>
  </si>
  <si>
    <t>Teton Cream</t>
  </si>
  <si>
    <t>Outemu Dustproof Teal</t>
  </si>
  <si>
    <t>OArmy Green</t>
  </si>
  <si>
    <t>Cherry Jailhouse Blue</t>
  </si>
  <si>
    <t>Novelkeys Dream Cream</t>
  </si>
  <si>
    <t>Gateron Cream Soda</t>
  </si>
  <si>
    <t>EMT V2</t>
  </si>
  <si>
    <t>Betty</t>
  </si>
  <si>
    <t>Redragon Sapphire</t>
  </si>
  <si>
    <t>JWICK Semi Silent</t>
  </si>
  <si>
    <t>Akko V3 Cream Yellow</t>
  </si>
  <si>
    <t>Akko V3 Cream Blue</t>
  </si>
  <si>
    <t>Cherry MX 'New Nixie' (Black Clear-Top)</t>
  </si>
  <si>
    <t>Gateron Azure Dragon V2</t>
  </si>
  <si>
    <t>Obsidian L</t>
  </si>
  <si>
    <t>Novelkeys Cream+ (No Insert)</t>
  </si>
  <si>
    <t>Novelkeys Cream+ (Titanium Insert)</t>
  </si>
  <si>
    <t>Novelkeys Cream+ (Copper Insert)</t>
  </si>
  <si>
    <t>Rubrehose Brown</t>
  </si>
  <si>
    <t>Meirun</t>
  </si>
  <si>
    <t>Honeycomb</t>
  </si>
  <si>
    <t>MODE Tomorrow</t>
  </si>
  <si>
    <t>Cookies n' Cream</t>
  </si>
  <si>
    <t>BSUN</t>
  </si>
  <si>
    <t>BSUN Avocado Panda V2</t>
  </si>
  <si>
    <t>BSUN Pikachu</t>
  </si>
  <si>
    <t>Huano Earth Yellow</t>
  </si>
  <si>
    <t>Novelkeys Cream Clickie</t>
  </si>
  <si>
    <t>NK Silk Mictlan</t>
  </si>
  <si>
    <t>Wuque Studio Morandi</t>
  </si>
  <si>
    <t>Kailh Autumn</t>
  </si>
  <si>
    <t>LCET Blue and Purple</t>
  </si>
  <si>
    <t>Qeeke Begonia (Crabapple)</t>
  </si>
  <si>
    <t>Gateron Root Beer Float</t>
  </si>
  <si>
    <t>TTC Neptune</t>
  </si>
  <si>
    <t>TTC OG Rabbit</t>
  </si>
  <si>
    <t>Gateron UHMknown</t>
  </si>
  <si>
    <t>LICHICX Lucy</t>
  </si>
  <si>
    <t>Chosfox Hanami Dango Green</t>
  </si>
  <si>
    <t>Chosfox Hanami Dango Pink</t>
  </si>
  <si>
    <t>LCET Red (Black Bottom)</t>
  </si>
  <si>
    <t>Huano Pineapple</t>
  </si>
  <si>
    <t>Blueberry Swirl</t>
  </si>
  <si>
    <t>Gateron Luciola</t>
  </si>
  <si>
    <t>Haimu x Geon HG Silent Red</t>
  </si>
  <si>
    <t>KTT Purple Sauce</t>
  </si>
  <si>
    <t>IDOBAO Elf Tactile-T1</t>
  </si>
  <si>
    <t>IDOBAO Elf Linear-C1</t>
  </si>
  <si>
    <t>Monka V3 Cherry Powder</t>
  </si>
  <si>
    <t>Huano Fi</t>
  </si>
  <si>
    <t>XCJZ Jerrzi Lotus Stem</t>
  </si>
  <si>
    <t>CK x Haimu Pastel Thistle</t>
  </si>
  <si>
    <t>Vertex V1 (Unlubed)</t>
  </si>
  <si>
    <t>DareU Mahjong</t>
  </si>
  <si>
    <t>Gateron G Pro 3.0 Yellow</t>
  </si>
  <si>
    <t>Durock Sea Glass</t>
  </si>
  <si>
    <t>Kailh Deep Sea Silent Pro Whale</t>
  </si>
  <si>
    <t>Moyu Studio x XCJZ Snow Grape</t>
  </si>
  <si>
    <t>JKDK x XCJZ Hillstone</t>
  </si>
  <si>
    <t>Diamond Avalon</t>
  </si>
  <si>
    <t>Chosfox Summer Lime</t>
  </si>
  <si>
    <t>TTC Orange Clicky</t>
  </si>
  <si>
    <t>Huano Clicky White</t>
  </si>
  <si>
    <t>Tecsee Middle Switch Tactile</t>
  </si>
  <si>
    <t>LICHICX</t>
  </si>
  <si>
    <t>SOAI</t>
  </si>
  <si>
    <t>Jerrzi</t>
  </si>
  <si>
    <t>Ice Kachang (Unlubed)</t>
  </si>
  <si>
    <t>JKDK Crimson</t>
  </si>
  <si>
    <t>Sarokeys BCP</t>
  </si>
  <si>
    <t>DK Creamery Cookie Dough</t>
  </si>
  <si>
    <t>Melgeek Plastic</t>
  </si>
  <si>
    <t>Leobog Ice Blue</t>
  </si>
  <si>
    <t>Invokeys x Alas Daydreamer</t>
  </si>
  <si>
    <t>SWK Jieum V2</t>
  </si>
  <si>
    <t>Zaku II</t>
  </si>
  <si>
    <t>Invokeys Purple Rice</t>
  </si>
  <si>
    <t>Spring Switch</t>
  </si>
  <si>
    <t>Caramel Chocolate (Lubed)</t>
  </si>
  <si>
    <t>Gateron Beer</t>
  </si>
  <si>
    <t>BSUN Banana Tactile</t>
  </si>
  <si>
    <t>Cherry MX Purple</t>
  </si>
  <si>
    <t>LICHICX Raw Small Tactile</t>
  </si>
  <si>
    <t>Leobog Standard Brown</t>
  </si>
  <si>
    <t>Feker Emerald Cabbage</t>
  </si>
  <si>
    <t>Gamakay Jupiter</t>
  </si>
  <si>
    <t>Gamakay Venus</t>
  </si>
  <si>
    <t>Gateron Melodic</t>
  </si>
  <si>
    <t>Tecsee Honey Peach</t>
  </si>
  <si>
    <t>Cherry Viola</t>
  </si>
  <si>
    <t>Gateron Lunar Probe</t>
  </si>
  <si>
    <t>TTC L Series Blue</t>
  </si>
  <si>
    <t>Kailh Box Spring</t>
  </si>
  <si>
    <t>Tecsee Christmas Dolphin</t>
  </si>
  <si>
    <t>Aflion Thunder Shadow</t>
  </si>
  <si>
    <t>Ball Bearing Blue</t>
  </si>
  <si>
    <t>Geon Raptor MX</t>
  </si>
  <si>
    <t>43 Studio Jing</t>
  </si>
  <si>
    <t>B.Stone Dark Eyes</t>
  </si>
  <si>
    <t>Greetech Sunset</t>
  </si>
  <si>
    <t>Everfree Grayish Tactile</t>
  </si>
  <si>
    <t>Content Blue (Black Bottom)</t>
  </si>
  <si>
    <t>Jerrzi Poseidon</t>
  </si>
  <si>
    <t>Raptor MX Extreme</t>
  </si>
  <si>
    <t>Gateron Deepping</t>
  </si>
  <si>
    <t>Gateron Dual-Rail Magnetic Orange</t>
  </si>
  <si>
    <t>Wuque Light Tactile</t>
  </si>
  <si>
    <t>Outemu x XCJZ Dopamine</t>
  </si>
  <si>
    <t>Paigu Mocha Cheese</t>
  </si>
  <si>
    <t>Huano Caramel Latte</t>
  </si>
  <si>
    <t>Cherry MX Ergo Clear (3 Pin)</t>
  </si>
  <si>
    <t>Cherry MX Brown (3 Pin)</t>
  </si>
  <si>
    <t>Cherry MX2A RGB Blue (3 Pin)</t>
  </si>
  <si>
    <t>Cherry MX2A RGB Black (3 Pin)</t>
  </si>
  <si>
    <t>Cherry MX Orange</t>
  </si>
  <si>
    <t>Red Velvet</t>
  </si>
  <si>
    <t>Date</t>
  </si>
  <si>
    <t>Time Wtd. 
Total</t>
  </si>
  <si>
    <t>Timeless
Total</t>
  </si>
  <si>
    <t>BSUN Strawberry Cheesecake</t>
  </si>
  <si>
    <t>Kailh Prestige Delighted</t>
  </si>
  <si>
    <t>Wuque WS POM+</t>
  </si>
  <si>
    <t>Avg Time 
Wtd. Total</t>
  </si>
  <si>
    <t>SWK Ripple</t>
  </si>
  <si>
    <t>G-Square Ram V2</t>
  </si>
  <si>
    <t>Grain Gold</t>
  </si>
  <si>
    <t>Keychron x Gateron Aurora</t>
  </si>
  <si>
    <t>Outemu Silent Lemon V3</t>
  </si>
  <si>
    <t>Outemu Silent Peach V3</t>
  </si>
  <si>
    <t>Hojicha Reserve</t>
  </si>
  <si>
    <t>TTC Peanut Latte</t>
  </si>
  <si>
    <t>Pea Flower</t>
  </si>
  <si>
    <t>Everfree Cedar</t>
  </si>
  <si>
    <t>Gateron Pro Ultra Glory Yellow</t>
  </si>
  <si>
    <t>Keygeek</t>
  </si>
  <si>
    <t>HMX</t>
  </si>
  <si>
    <t>SWK</t>
  </si>
  <si>
    <t>Keygeek Raspberry</t>
  </si>
  <si>
    <t>Huano Kyubi Silent Linear</t>
  </si>
  <si>
    <t>Varmilo Ivy L</t>
  </si>
  <si>
    <t>Glorious Mako Ultralight</t>
  </si>
  <si>
    <t>Keygeek Oat</t>
  </si>
  <si>
    <t>HMX WJBY Su Color</t>
  </si>
  <si>
    <t>LICHICX Yogurt</t>
  </si>
  <si>
    <t>Huano Grape Orange</t>
  </si>
  <si>
    <t>Glorious Panda Silent</t>
  </si>
  <si>
    <t>Akko Mirror</t>
  </si>
  <si>
    <t>Akko Dracula</t>
  </si>
  <si>
    <t>KTT Wind Phantom</t>
  </si>
  <si>
    <t>Geon Raw HE</t>
  </si>
  <si>
    <t>Haimu Gray Jade Tactile</t>
  </si>
  <si>
    <t>BSUN Milk Tea Siam V2</t>
  </si>
  <si>
    <t>Jerrzi Blue</t>
  </si>
  <si>
    <t>Kailh x Melgeek Hornet HE</t>
  </si>
  <si>
    <t>Keychron Super Banana</t>
  </si>
  <si>
    <t>Mitarashi Dango</t>
  </si>
  <si>
    <t>Kailh Choc Autumn</t>
  </si>
  <si>
    <t>Kailh Choc Summer</t>
  </si>
  <si>
    <t>Long Hua Platycodon Grandiflorum</t>
  </si>
  <si>
    <t>Aiguox Dark Sakura Glass</t>
  </si>
  <si>
    <t>Sillyworks x Gateron Type R</t>
  </si>
  <si>
    <t>Attack Shark Blue Jelly</t>
  </si>
  <si>
    <t>Attack Shark Green Jelly</t>
  </si>
  <si>
    <t>Long Hua Cardamom</t>
  </si>
  <si>
    <t>Gateron Green Apple</t>
  </si>
  <si>
    <t>Jerrzi Cute Yellow</t>
  </si>
  <si>
    <t>LCET Christmas Star</t>
  </si>
  <si>
    <t>Jerrzi Blueberry Mousse</t>
  </si>
  <si>
    <t>BSUN Agarwood</t>
  </si>
  <si>
    <t>Kinetic Labs Turtle</t>
  </si>
  <si>
    <t>Keebz n Cables x HMX Ice Cendol</t>
  </si>
  <si>
    <t>AEBoards Naevy EC</t>
  </si>
  <si>
    <t>TTC Magneto, King of Magnets POM</t>
  </si>
  <si>
    <t>Leobog Wing Chun Magnetic</t>
  </si>
  <si>
    <t>Leobog Interstellar</t>
  </si>
  <si>
    <t>Tecsee Crystal Lemon</t>
  </si>
  <si>
    <t>Kailh Extreme Slippery</t>
  </si>
  <si>
    <t>KTT Teresa</t>
  </si>
  <si>
    <t>Tecsee Volcano Linear</t>
  </si>
  <si>
    <t>TTC Speed Gold V2</t>
  </si>
  <si>
    <t>Akko Creamy Cyan</t>
  </si>
  <si>
    <t>NuPhy Lemon</t>
  </si>
  <si>
    <t>Cherry MX Northern Light</t>
  </si>
  <si>
    <t>WS Flux HE</t>
  </si>
  <si>
    <t>Noppoo Brown</t>
  </si>
  <si>
    <t>AULA Blue</t>
  </si>
  <si>
    <t>Geon Lucifer HE</t>
  </si>
  <si>
    <t>Shortcut Studio SC</t>
  </si>
  <si>
    <t>Gateron Genty Silent HE</t>
  </si>
  <si>
    <t>Akko Cilantro</t>
  </si>
  <si>
    <t>Doom Linear</t>
  </si>
  <si>
    <t>Zuoce Litchi Milk</t>
  </si>
  <si>
    <t>XCJZ Green Tea</t>
  </si>
  <si>
    <t>Gateron Magnetic Green Dragon HE</t>
  </si>
  <si>
    <t>WS Arowana Red</t>
  </si>
  <si>
    <t>Durock Mocha Silk</t>
  </si>
  <si>
    <t>Durock Mocha Chocolate</t>
  </si>
  <si>
    <t>KNC Keys Chocolate Crinkle Cookies</t>
  </si>
  <si>
    <t>Gateron X V3</t>
  </si>
  <si>
    <t>Zoch Flame Shadow</t>
  </si>
  <si>
    <t>Gateron Longjing Tea</t>
  </si>
  <si>
    <t>Kailh Box Luna</t>
  </si>
  <si>
    <t>Keychron Silent Banana</t>
  </si>
  <si>
    <t>Keygeek Athena</t>
  </si>
  <si>
    <t>Lekker V2 45g Linear</t>
  </si>
  <si>
    <t>Everglide Magneto UE</t>
  </si>
  <si>
    <t>Kailh Box Dark Chocolate</t>
  </si>
  <si>
    <t>Hyte Fluffy Lavender</t>
  </si>
  <si>
    <t>TTC Magnetic Snake White CNY</t>
  </si>
  <si>
    <t>Novelkeys Classic Blue</t>
  </si>
  <si>
    <t>MZ Studio U3</t>
  </si>
  <si>
    <t>Keygeek VC</t>
  </si>
  <si>
    <t>Keygeek Y2 (20mm/45g)</t>
  </si>
  <si>
    <t>Keygeek Sunflower</t>
  </si>
  <si>
    <t>Gateron Lanes</t>
  </si>
  <si>
    <t>BSUN Bordeaux</t>
  </si>
  <si>
    <t>BSUN Peach Mellow</t>
  </si>
  <si>
    <t>SW Cocoblack</t>
  </si>
  <si>
    <t>Cherry MX Honey</t>
  </si>
  <si>
    <t>Cherry MX Falcon</t>
  </si>
  <si>
    <t>Gateron Magnetic Jade Emerald</t>
  </si>
  <si>
    <t>Invokeys Goji Reserve</t>
  </si>
  <si>
    <t>KTT Wine Red Pro</t>
  </si>
  <si>
    <t>HMX Firecracker</t>
  </si>
  <si>
    <t>Cherry MX Petal</t>
  </si>
  <si>
    <t>HTMZ Pink</t>
  </si>
  <si>
    <t>Yusya</t>
  </si>
  <si>
    <t>K2</t>
  </si>
  <si>
    <t>HMX Anti</t>
  </si>
  <si>
    <t>Akko Bittersweet</t>
  </si>
  <si>
    <t>Gateron Azure Dragon V4</t>
  </si>
  <si>
    <t>Wingtree Yuci HE</t>
  </si>
  <si>
    <t>Greetech OG Brown</t>
  </si>
  <si>
    <t>Unionwell Polar Magnetic Pro+</t>
  </si>
  <si>
    <t>HMX Volume 0-T</t>
  </si>
  <si>
    <t>Co-Gain/XUDA</t>
  </si>
  <si>
    <t>Cherry MX Firefinch</t>
  </si>
  <si>
    <t>HMX Snowfall</t>
  </si>
  <si>
    <t>HMX Longjing S</t>
  </si>
  <si>
    <t>Wingtree 277</t>
  </si>
  <si>
    <t>Wingtree</t>
  </si>
  <si>
    <t>HMX Frog</t>
  </si>
  <si>
    <t>Kailh Calligraphy</t>
  </si>
  <si>
    <t>Gateron Magnetic Jade Delta Dark</t>
  </si>
  <si>
    <r>
      <t xml:space="preserve">What Am I Looking At?
</t>
    </r>
    <r>
      <rPr>
        <sz val="11"/>
        <color theme="1"/>
        <rFont val="Calibri"/>
        <family val="2"/>
        <scheme val="minor"/>
      </rPr>
      <t xml:space="preserve">This sheet is a repository which logs all present scores for switches that I've reviewed at length and via scorecards to date. The sheet is split into three tabs, with this comprising the full scoring while the 'Hard' and 'Soft' total tabs focus on only specific parts of the scoring. </t>
    </r>
    <r>
      <rPr>
        <b/>
        <sz val="11"/>
        <color theme="1"/>
        <rFont val="Calibri"/>
        <family val="2"/>
        <scheme val="minor"/>
      </rPr>
      <t xml:space="preserve">
</t>
    </r>
    <r>
      <rPr>
        <sz val="11"/>
        <color theme="1"/>
        <rFont val="Calibri"/>
        <family val="2"/>
        <scheme val="minor"/>
      </rPr>
      <t>Above is a table of 'Manufacutrer Statistics' which groups and collects average scores of switches based on their manufacturer of origin. (Note: Switches with unknown manufacturers are not featured on this list)</t>
    </r>
    <r>
      <rPr>
        <b/>
        <sz val="11"/>
        <color theme="1"/>
        <rFont val="Calibri"/>
        <family val="2"/>
        <scheme val="minor"/>
      </rPr>
      <t xml:space="preserve">
</t>
    </r>
    <r>
      <rPr>
        <sz val="11"/>
        <color theme="1"/>
        <rFont val="Calibri"/>
        <family val="2"/>
        <scheme val="minor"/>
      </rPr>
      <t>As of 8/25/24, 'Time Weighted Total' scores were introduced and form the basis of the ranking system used to organize these switches. Scores decay at a rate of 1.0 points per year from the date in which they were last scored.</t>
    </r>
    <r>
      <rPr>
        <b/>
        <sz val="11"/>
        <color theme="1"/>
        <rFont val="Calibri"/>
        <family val="2"/>
        <scheme val="minor"/>
      </rPr>
      <t xml:space="preserve">
</t>
    </r>
    <r>
      <rPr>
        <sz val="11"/>
        <color theme="1"/>
        <rFont val="Calibri"/>
        <family val="2"/>
        <scheme val="minor"/>
      </rPr>
      <t xml:space="preserve">As of 2/1/26, all switches that have full length reviews associated with them have had their names </t>
    </r>
    <r>
      <rPr>
        <b/>
        <sz val="11"/>
        <color theme="1"/>
        <rFont val="Calibri"/>
        <family val="2"/>
        <scheme val="minor"/>
      </rPr>
      <t>bolded.</t>
    </r>
  </si>
  <si>
    <r>
      <t xml:space="preserve">What Am I Looking At?
</t>
    </r>
    <r>
      <rPr>
        <sz val="11"/>
        <color theme="1"/>
        <rFont val="Calibri"/>
        <family val="2"/>
        <scheme val="minor"/>
      </rPr>
      <t>'Hard' scores are the the three subcategories of switch scoring that focus on the intrinsic, physical performance characteristics of switches - Push Feel, Wobble, and Sound. These comprise a total of 70 of the 100 points used in my switch scoring system and are not subject to the time decay as seen in the Overall and Soft total tabs.
As of 2/1/26, all switches that have full length reviews associated with them have had their names</t>
    </r>
    <r>
      <rPr>
        <b/>
        <sz val="11"/>
        <color theme="1"/>
        <rFont val="Calibri"/>
        <family val="2"/>
        <scheme val="minor"/>
      </rPr>
      <t xml:space="preserve"> bolded</t>
    </r>
    <r>
      <rPr>
        <sz val="11"/>
        <color theme="1"/>
        <rFont val="Calibri"/>
        <family val="2"/>
        <scheme val="minor"/>
      </rPr>
      <t>.</t>
    </r>
  </si>
  <si>
    <r>
      <t>What Am I Looking At?</t>
    </r>
    <r>
      <rPr>
        <sz val="11"/>
        <color theme="1"/>
        <rFont val="Calibri"/>
        <family val="2"/>
        <scheme val="minor"/>
      </rPr>
      <t xml:space="preserve">
'Soft' scores are the two subcategories of switch scoring that focus on the extrinsic, non-physical characteristics that make switches more or less valuable. The 'Context' and 'Other' categories comprise 30 of the 100 points in this switch scoring system and are based on consideration of, but not limited to, availability, pricing, accessibility, legacy, community awareness, vendor and manufacturer support, etc. 
Since the 'time decay' function discussed in the Overall Total tab is correcting for a bias in contextual relevancy shift, it is also applied to the scores in this tab as well. 
As of 2/1/26, all switches that have full length reviews associated with them have had their names </t>
    </r>
    <r>
      <rPr>
        <b/>
        <sz val="11"/>
        <color theme="1"/>
        <rFont val="Calibri"/>
        <family val="2"/>
        <scheme val="minor"/>
      </rPr>
      <t>bolded</t>
    </r>
    <r>
      <rPr>
        <sz val="11"/>
        <color theme="1"/>
        <rFont val="Calibri"/>
        <family val="2"/>
        <scheme val="minor"/>
      </rPr>
      <t>.</t>
    </r>
  </si>
  <si>
    <t>Gateron Harmonic</t>
  </si>
  <si>
    <t>Gateron Full POM Banana Smoothie</t>
  </si>
  <si>
    <t>Everfree Fast Silver</t>
  </si>
  <si>
    <t>Keygeek Muse</t>
  </si>
  <si>
    <t>HMX Black Cat</t>
  </si>
  <si>
    <t>BSUN Golden Apple</t>
  </si>
  <si>
    <t>WEKT Lucy R5</t>
  </si>
  <si>
    <t>WEKT</t>
  </si>
  <si>
    <t>KTT ZenCha</t>
  </si>
  <si>
    <t>XCJZ x KTT Ice Orange Silent</t>
  </si>
  <si>
    <t>KTT Blueberry Ice Cream</t>
  </si>
  <si>
    <t>PantheonKeys x TTC PT Black</t>
  </si>
  <si>
    <t>HMX Valerian</t>
  </si>
  <si>
    <t>HMX Hydra</t>
  </si>
  <si>
    <t>Wingtree BM11</t>
  </si>
  <si>
    <t>HMX Crisp</t>
  </si>
  <si>
    <t>Keygeek Cera X (48g)</t>
  </si>
  <si>
    <t>Taro N Sweet Potato V2</t>
  </si>
  <si>
    <t>Wingtree Coral</t>
  </si>
  <si>
    <t>Wingtree Camellia (52g)</t>
  </si>
  <si>
    <t>Keygeek Full Nylon</t>
  </si>
  <si>
    <t>Sillyworks x HMX Waverider V2</t>
  </si>
  <si>
    <t>Wingtree x LICHICX Yamatake</t>
  </si>
  <si>
    <t>Wingtree Pink Pink</t>
  </si>
  <si>
    <t>Gravastar UFO Purple</t>
  </si>
  <si>
    <t>Gateron Oil King Silent Tactile</t>
  </si>
  <si>
    <t>WEKT Nafu</t>
  </si>
  <si>
    <t>BSUN Mozzarella</t>
  </si>
  <si>
    <t>HMX Yogurt S (37g)</t>
  </si>
  <si>
    <t>HMX Egg Yolk</t>
  </si>
  <si>
    <t>Wingtree Jadeite</t>
  </si>
  <si>
    <t>Cherry MX Lumina Brown</t>
  </si>
  <si>
    <t>Haimu Frost Crystal</t>
  </si>
  <si>
    <t>Unionwell Xueyao</t>
  </si>
  <si>
    <t>TTC Brother V2</t>
  </si>
  <si>
    <t>Akko Flash Magnetic</t>
  </si>
  <si>
    <t>Akko Creamy Yellow U1</t>
  </si>
  <si>
    <t>Kailh Xuan</t>
  </si>
  <si>
    <t>Wingtree Torrero</t>
  </si>
  <si>
    <t>KTT Lightning V2</t>
  </si>
  <si>
    <t>Haimu Orchid Mantis</t>
  </si>
  <si>
    <t>Gateron Icey Spring</t>
  </si>
  <si>
    <t>Wingtree x LICHICX Orange</t>
  </si>
  <si>
    <t>Wingtree Nezuko (Dry, 55g)</t>
  </si>
  <si>
    <t>HMX Cthulhu (50-56g)</t>
  </si>
  <si>
    <t>HMX Reze</t>
  </si>
  <si>
    <t>Wingtree Matcha Cream 55g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</si>
</sst>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sz val="17"/>
      <color theme="1"/>
      <name val="Calibri"/>
      <family val="2"/>
      <scheme val="minor"/>
    </font>
    <font>
      <sz val="12"/>
      <color theme="1"/>
      <name val="Calibri"/>
      <family val="2"/>
      <scheme val="minor"/>
    </font>
    <font>
      <sz val="16"/>
      <color theme="1"/>
      <name val="Calibri"/>
      <family val="2"/>
      <scheme val="minor"/>
    </font>
    <font>
      <sz val="17"/>
      <color theme="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164" fontId="0" fillId="0" borderId="0" xfId="0" applyNumberFormat="1" applyAlignment="1">
      <alignment horizontal="center"/>
    </xf>
    <xf numFmtId="164" fontId="0" fillId="0" borderId="7"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0" fillId="0" borderId="9" xfId="0" applyNumberFormat="1" applyBorder="1" applyAlignment="1">
      <alignment horizontal="center"/>
    </xf>
    <xf numFmtId="164" fontId="0" fillId="0" borderId="10" xfId="0" applyNumberFormat="1" applyBorder="1" applyAlignment="1">
      <alignment horizontal="center"/>
    </xf>
    <xf numFmtId="0" fontId="0" fillId="0" borderId="6"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vertical="center"/>
    </xf>
    <xf numFmtId="164"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14" fontId="0" fillId="0" borderId="0" xfId="0" applyNumberFormat="1" applyAlignment="1">
      <alignment horizontal="center"/>
    </xf>
    <xf numFmtId="0" fontId="0" fillId="0" borderId="0" xfId="0" quotePrefix="1" applyAlignment="1">
      <alignment horizontal="center"/>
    </xf>
    <xf numFmtId="14" fontId="0" fillId="0" borderId="0" xfId="0" quotePrefix="1" applyNumberFormat="1" applyAlignment="1">
      <alignment horizontal="center"/>
    </xf>
    <xf numFmtId="0" fontId="0" fillId="0" borderId="0" xfId="0" applyAlignment="1">
      <alignment horizontal="center" vertical="center" wrapText="1"/>
    </xf>
    <xf numFmtId="0" fontId="0" fillId="0" borderId="7" xfId="0" applyBorder="1" applyAlignment="1">
      <alignment horizontal="center" vertical="center" wrapText="1"/>
    </xf>
    <xf numFmtId="14" fontId="5" fillId="3" borderId="4" xfId="0" applyNumberFormat="1" applyFont="1" applyFill="1" applyBorder="1" applyAlignment="1">
      <alignment vertical="center"/>
    </xf>
    <xf numFmtId="14" fontId="5" fillId="3" borderId="0" xfId="0" applyNumberFormat="1" applyFont="1" applyFill="1" applyAlignment="1">
      <alignment vertical="center"/>
    </xf>
    <xf numFmtId="14" fontId="5" fillId="3" borderId="9" xfId="0" applyNumberFormat="1" applyFont="1" applyFill="1" applyBorder="1" applyAlignment="1">
      <alignment vertical="center"/>
    </xf>
    <xf numFmtId="164" fontId="0" fillId="0" borderId="5" xfId="0" applyNumberFormat="1" applyBorder="1" applyAlignment="1">
      <alignment horizontal="center" vertical="center" wrapText="1"/>
    </xf>
    <xf numFmtId="0" fontId="3" fillId="3" borderId="0" xfId="0" applyFont="1" applyFill="1" applyAlignment="1">
      <alignment vertical="center" wrapText="1"/>
    </xf>
    <xf numFmtId="0" fontId="3" fillId="3" borderId="9" xfId="0" applyFont="1" applyFill="1" applyBorder="1" applyAlignment="1">
      <alignment vertical="center" wrapText="1"/>
    </xf>
    <xf numFmtId="0" fontId="1" fillId="0" borderId="0" xfId="0" applyFont="1" applyAlignment="1">
      <alignment horizontal="center"/>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0" xfId="0" applyFont="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2" borderId="11" xfId="0" quotePrefix="1" applyFont="1" applyFill="1" applyBorder="1" applyAlignment="1">
      <alignment horizontal="center"/>
    </xf>
    <xf numFmtId="0" fontId="1" fillId="2" borderId="12" xfId="0" quotePrefix="1" applyFont="1" applyFill="1" applyBorder="1" applyAlignment="1">
      <alignment horizontal="center"/>
    </xf>
    <xf numFmtId="0" fontId="1" fillId="2" borderId="13" xfId="0" quotePrefix="1" applyFont="1"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3" fillId="0" borderId="3" xfId="0" applyFont="1" applyBorder="1" applyAlignment="1">
      <alignment horizontal="center" vertical="center" wrapText="1"/>
    </xf>
    <xf numFmtId="0" fontId="3" fillId="0" borderId="6"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10"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Alignment="1">
      <alignment horizontal="center" vertical="center"/>
    </xf>
    <xf numFmtId="14" fontId="5" fillId="3" borderId="4" xfId="0" applyNumberFormat="1" applyFont="1" applyFill="1" applyBorder="1" applyAlignment="1">
      <alignment horizontal="center" vertical="center"/>
    </xf>
    <xf numFmtId="14" fontId="5" fillId="3" borderId="5" xfId="0" applyNumberFormat="1" applyFont="1" applyFill="1" applyBorder="1" applyAlignment="1">
      <alignment horizontal="center" vertical="center"/>
    </xf>
    <xf numFmtId="14" fontId="5" fillId="3" borderId="0" xfId="0" applyNumberFormat="1" applyFont="1" applyFill="1" applyAlignment="1">
      <alignment horizontal="center" vertical="center"/>
    </xf>
    <xf numFmtId="14" fontId="5" fillId="3" borderId="7" xfId="0" applyNumberFormat="1" applyFont="1" applyFill="1" applyBorder="1" applyAlignment="1">
      <alignment horizontal="center" vertical="center"/>
    </xf>
    <xf numFmtId="14" fontId="5" fillId="3" borderId="9" xfId="0" applyNumberFormat="1" applyFont="1" applyFill="1" applyBorder="1" applyAlignment="1">
      <alignment horizontal="center" vertical="center"/>
    </xf>
    <xf numFmtId="14" fontId="5" fillId="3" borderId="10" xfId="0" applyNumberFormat="1" applyFont="1" applyFill="1" applyBorder="1" applyAlignment="1">
      <alignment horizontal="center" vertical="center"/>
    </xf>
    <xf numFmtId="0" fontId="1" fillId="0" borderId="14" xfId="0" applyFont="1" applyBorder="1" applyAlignment="1">
      <alignment horizontal="left" vertical="top" wrapText="1"/>
    </xf>
    <xf numFmtId="0" fontId="1" fillId="0" borderId="14" xfId="0" applyFont="1" applyBorder="1" applyAlignment="1">
      <alignment horizontal="left" vertical="top"/>
    </xf>
    <xf numFmtId="0" fontId="3" fillId="0" borderId="8" xfId="0" applyFont="1" applyBorder="1" applyAlignment="1">
      <alignment horizontal="center" vertical="center"/>
    </xf>
    <xf numFmtId="0" fontId="1" fillId="2" borderId="3" xfId="0" quotePrefix="1" applyFont="1" applyFill="1" applyBorder="1" applyAlignment="1">
      <alignment horizontal="center"/>
    </xf>
    <xf numFmtId="0" fontId="1" fillId="2" borderId="4" xfId="0" quotePrefix="1" applyFont="1" applyFill="1" applyBorder="1" applyAlignment="1">
      <alignment horizontal="center"/>
    </xf>
    <xf numFmtId="0" fontId="1" fillId="2" borderId="5" xfId="0" quotePrefix="1" applyFont="1" applyFill="1"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91441</xdr:colOff>
      <xdr:row>0</xdr:row>
      <xdr:rowOff>45720</xdr:rowOff>
    </xdr:from>
    <xdr:to>
      <xdr:col>0</xdr:col>
      <xdr:colOff>556260</xdr:colOff>
      <xdr:row>2</xdr:row>
      <xdr:rowOff>155063</xdr:rowOff>
    </xdr:to>
    <xdr:pic>
      <xdr:nvPicPr>
        <xdr:cNvPr id="3" name="Picture 2">
          <a:extLst>
            <a:ext uri="{FF2B5EF4-FFF2-40B4-BE49-F238E27FC236}">
              <a16:creationId xmlns:a16="http://schemas.microsoft.com/office/drawing/2014/main" id="{0C0D1391-26DC-4C59-8DEE-A5792A80E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1" y="45720"/>
          <a:ext cx="464819" cy="4751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91441</xdr:colOff>
      <xdr:row>0</xdr:row>
      <xdr:rowOff>45720</xdr:rowOff>
    </xdr:from>
    <xdr:to>
      <xdr:col>0</xdr:col>
      <xdr:colOff>556260</xdr:colOff>
      <xdr:row>2</xdr:row>
      <xdr:rowOff>155063</xdr:rowOff>
    </xdr:to>
    <xdr:pic>
      <xdr:nvPicPr>
        <xdr:cNvPr id="2" name="Picture 1">
          <a:extLst>
            <a:ext uri="{FF2B5EF4-FFF2-40B4-BE49-F238E27FC236}">
              <a16:creationId xmlns:a16="http://schemas.microsoft.com/office/drawing/2014/main" id="{F2F7CEB8-1224-4AD0-AF37-AD797B7ED0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1" y="45720"/>
          <a:ext cx="464819" cy="4712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91441</xdr:colOff>
      <xdr:row>0</xdr:row>
      <xdr:rowOff>45720</xdr:rowOff>
    </xdr:from>
    <xdr:to>
      <xdr:col>0</xdr:col>
      <xdr:colOff>556260</xdr:colOff>
      <xdr:row>2</xdr:row>
      <xdr:rowOff>155063</xdr:rowOff>
    </xdr:to>
    <xdr:pic>
      <xdr:nvPicPr>
        <xdr:cNvPr id="2" name="Picture 1">
          <a:extLst>
            <a:ext uri="{FF2B5EF4-FFF2-40B4-BE49-F238E27FC236}">
              <a16:creationId xmlns:a16="http://schemas.microsoft.com/office/drawing/2014/main" id="{CF40F3DA-8C3B-4F18-8A17-252E631598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1" y="45720"/>
          <a:ext cx="464819" cy="4712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73"/>
  <sheetViews>
    <sheetView tabSelected="1" zoomScale="90" zoomScaleNormal="90" workbookViewId="0">
      <selection activeCell="I23" sqref="I23"/>
    </sheetView>
  </sheetViews>
  <sheetFormatPr defaultRowHeight="15" x14ac:dyDescent="0.25"/>
  <cols>
    <col min="1" max="1" width="8.85546875" style="1"/>
    <col min="2" max="2" width="37" style="1" bestFit="1" customWidth="1"/>
    <col min="3" max="3" width="10.7109375" style="1" bestFit="1" customWidth="1"/>
    <col min="4" max="4" width="14" style="1" bestFit="1" customWidth="1"/>
    <col min="5" max="5" width="12.42578125" style="1" bestFit="1" customWidth="1"/>
    <col min="6" max="6" width="9.5703125" style="1" bestFit="1" customWidth="1"/>
    <col min="7" max="7" width="8.85546875" style="1" customWidth="1"/>
    <col min="8" max="9" width="8.85546875" style="1"/>
    <col min="10" max="10" width="9.42578125" style="1" customWidth="1"/>
    <col min="11" max="11" width="9.140625" style="1" customWidth="1"/>
    <col min="12" max="12" width="10.42578125" style="1" customWidth="1"/>
    <col min="13" max="13" width="8.85546875" style="1"/>
    <col min="14" max="14" width="9.140625" style="1"/>
    <col min="15" max="15" width="8.85546875" style="1"/>
    <col min="16" max="16" width="19" style="1" bestFit="1" customWidth="1"/>
    <col min="17" max="17" width="15.42578125" style="1" bestFit="1" customWidth="1"/>
    <col min="18" max="18" width="9.5703125" style="1" bestFit="1" customWidth="1"/>
    <col min="19" max="20" width="8.85546875" style="1"/>
    <col min="21" max="22" width="9.140625" style="1"/>
    <col min="23" max="23" width="9.140625" style="4"/>
    <col min="24" max="24" width="10.140625" bestFit="1" customWidth="1"/>
  </cols>
  <sheetData>
    <row r="1" spans="1:24" ht="14.45" customHeight="1" x14ac:dyDescent="0.25">
      <c r="A1" s="45"/>
      <c r="B1" s="52" t="s">
        <v>8</v>
      </c>
      <c r="C1" s="53"/>
      <c r="D1" s="53"/>
      <c r="E1" s="53"/>
      <c r="F1" s="53"/>
      <c r="G1" s="56">
        <f ca="1">TODAY()</f>
        <v>46299</v>
      </c>
      <c r="H1" s="57"/>
      <c r="I1" s="47" t="s">
        <v>9</v>
      </c>
      <c r="J1" s="49">
        <v>469</v>
      </c>
      <c r="K1" s="42" t="s">
        <v>10</v>
      </c>
      <c r="L1" s="49">
        <v>4241</v>
      </c>
    </row>
    <row r="2" spans="1:24" ht="14.45" customHeight="1" x14ac:dyDescent="0.25">
      <c r="A2" s="46"/>
      <c r="B2" s="54"/>
      <c r="C2" s="55"/>
      <c r="D2" s="55"/>
      <c r="E2" s="55"/>
      <c r="F2" s="55"/>
      <c r="G2" s="58"/>
      <c r="H2" s="59"/>
      <c r="I2" s="48"/>
      <c r="J2" s="50"/>
      <c r="K2" s="43"/>
      <c r="L2" s="50"/>
      <c r="W2" s="1"/>
      <c r="X2" s="1"/>
    </row>
    <row r="3" spans="1:24" ht="14.45" customHeight="1" x14ac:dyDescent="0.25">
      <c r="A3" s="46"/>
      <c r="B3" s="54"/>
      <c r="C3" s="55"/>
      <c r="D3" s="55"/>
      <c r="E3" s="55"/>
      <c r="F3" s="55"/>
      <c r="G3" s="60"/>
      <c r="H3" s="61"/>
      <c r="I3" s="48"/>
      <c r="J3" s="51"/>
      <c r="K3" s="44"/>
      <c r="L3" s="51"/>
    </row>
    <row r="4" spans="1:24" ht="14.45" customHeight="1" x14ac:dyDescent="0.25">
      <c r="A4" s="39" t="s">
        <v>11</v>
      </c>
      <c r="B4" s="40"/>
      <c r="C4" s="40"/>
      <c r="D4" s="40"/>
      <c r="E4" s="40"/>
      <c r="F4" s="40"/>
      <c r="G4" s="40"/>
      <c r="H4" s="40"/>
      <c r="I4" s="40"/>
      <c r="J4" s="40"/>
      <c r="K4" s="40"/>
      <c r="L4" s="41"/>
      <c r="O4" s="39" t="s">
        <v>81</v>
      </c>
      <c r="P4" s="40"/>
      <c r="Q4" s="40"/>
      <c r="R4" s="40"/>
      <c r="S4" s="40"/>
      <c r="T4" s="40"/>
      <c r="U4" s="40"/>
      <c r="V4" s="40"/>
      <c r="W4" s="40"/>
      <c r="X4" s="41"/>
    </row>
    <row r="5" spans="1:24" s="14" customFormat="1" ht="30" x14ac:dyDescent="0.25">
      <c r="A5" s="12" t="s">
        <v>1</v>
      </c>
      <c r="B5" s="13" t="s">
        <v>0</v>
      </c>
      <c r="C5" s="13" t="s">
        <v>359</v>
      </c>
      <c r="D5" s="13" t="s">
        <v>65</v>
      </c>
      <c r="E5" s="13" t="s">
        <v>2</v>
      </c>
      <c r="F5" s="13" t="s">
        <v>3</v>
      </c>
      <c r="G5" s="13" t="s">
        <v>4</v>
      </c>
      <c r="H5" s="13" t="s">
        <v>5</v>
      </c>
      <c r="I5" s="13" t="s">
        <v>6</v>
      </c>
      <c r="J5" s="13" t="s">
        <v>7</v>
      </c>
      <c r="K5" s="16" t="s">
        <v>361</v>
      </c>
      <c r="L5" s="17" t="s">
        <v>360</v>
      </c>
      <c r="M5" s="11"/>
      <c r="N5" s="11"/>
      <c r="O5" s="12" t="s">
        <v>1</v>
      </c>
      <c r="P5" s="13" t="s">
        <v>76</v>
      </c>
      <c r="Q5" s="13" t="s">
        <v>77</v>
      </c>
      <c r="R5" s="13" t="s">
        <v>3</v>
      </c>
      <c r="S5" s="13" t="s">
        <v>4</v>
      </c>
      <c r="T5" s="13" t="s">
        <v>5</v>
      </c>
      <c r="U5" s="13" t="s">
        <v>6</v>
      </c>
      <c r="V5" s="13" t="s">
        <v>7</v>
      </c>
      <c r="W5" s="15" t="s">
        <v>361</v>
      </c>
      <c r="X5" s="17" t="s">
        <v>365</v>
      </c>
    </row>
    <row r="6" spans="1:24" x14ac:dyDescent="0.25">
      <c r="A6" s="2">
        <f ca="1">RANK(L6,$L$6:$L$475,0)</f>
        <v>1</v>
      </c>
      <c r="B6" s="29" t="s">
        <v>297</v>
      </c>
      <c r="C6" s="18">
        <v>45144</v>
      </c>
      <c r="D6" s="1" t="s">
        <v>71</v>
      </c>
      <c r="E6" s="1" t="s">
        <v>22</v>
      </c>
      <c r="F6" s="1">
        <v>31</v>
      </c>
      <c r="G6" s="1">
        <v>21</v>
      </c>
      <c r="H6" s="1">
        <v>7</v>
      </c>
      <c r="I6" s="1">
        <v>18</v>
      </c>
      <c r="J6" s="1">
        <v>9</v>
      </c>
      <c r="K6" s="1">
        <v>86</v>
      </c>
      <c r="L6" s="5">
        <f ca="1">K6-(ROUNDDOWN((($G$1-C6)/365),1))</f>
        <v>82.9</v>
      </c>
      <c r="O6" s="2">
        <f ca="1">RANK(X6,$X$6:$X$33,0)</f>
        <v>1</v>
      </c>
      <c r="P6" s="1" t="s">
        <v>497</v>
      </c>
      <c r="Q6" s="1">
        <f>(COUNTIF($D$6:$D$475,P6))</f>
        <v>2</v>
      </c>
      <c r="R6" s="4" cm="1">
        <f t="array" ref="R6">(SUMPRODUCT(($D$6:$D$475=P6)*$F$6:$F$475))/(COUNTIF($D$6:$D$475,P6))</f>
        <v>31.5</v>
      </c>
      <c r="S6" s="4" cm="1">
        <f t="array" ref="S6">(SUMPRODUCT(($D$6:$D$475=P6)*$G$6:$G$475))/(COUNTIF($D$6:$D$475,P6))</f>
        <v>17</v>
      </c>
      <c r="T6" s="4" cm="1">
        <f t="array" ref="T6">(SUMPRODUCT(($D$6:$D$475=P6)*$H$6:$H$475))/(COUNTIF($D$6:$D$475,P6))</f>
        <v>8.5</v>
      </c>
      <c r="U6" s="4" cm="1">
        <f t="array" ref="U6">(SUMPRODUCT(($D$6:$D$475=P6)*$I$6:$I$475))/(COUNTIF($D$6:$D$475,P6))</f>
        <v>14.5</v>
      </c>
      <c r="V6" s="4" cm="1">
        <f t="array" ref="V6">(SUMPRODUCT(($D$6:$D$475=P6)*$J$6:$J$475))/(COUNTIF($D$6:$D$475,P6))</f>
        <v>5.5</v>
      </c>
      <c r="W6" s="4" cm="1">
        <f t="array" ref="W6">(SUMPRODUCT(($D$6:$D$475=P6)*$K$6:$K$475))/(COUNTIF($D$6:$D$475,P6))</f>
        <v>77</v>
      </c>
      <c r="X6" s="5" cm="1">
        <f t="array" aca="1" ref="X6" ca="1">(SUMPRODUCT(($D$6:$D$475=P6)*$L$6:$L$475))/(COUNTIF($D$6:$D$475,P6))</f>
        <v>76.650000000000006</v>
      </c>
    </row>
    <row r="7" spans="1:24" x14ac:dyDescent="0.25">
      <c r="A7" s="2">
        <f ca="1">RANK(L7,$L$6:$L$475,0)</f>
        <v>2</v>
      </c>
      <c r="B7" s="1" t="s">
        <v>89</v>
      </c>
      <c r="C7" s="18">
        <v>45011</v>
      </c>
      <c r="D7" s="1" t="s">
        <v>66</v>
      </c>
      <c r="E7" s="1" t="s">
        <v>17</v>
      </c>
      <c r="F7" s="1">
        <v>32</v>
      </c>
      <c r="G7" s="1">
        <v>23</v>
      </c>
      <c r="H7" s="1">
        <v>8</v>
      </c>
      <c r="I7" s="1">
        <v>15</v>
      </c>
      <c r="J7" s="1">
        <v>8</v>
      </c>
      <c r="K7" s="1">
        <v>86</v>
      </c>
      <c r="L7" s="5">
        <f ca="1">K7-(ROUNDDOWN((($G$1-C7)/365),1))</f>
        <v>82.5</v>
      </c>
      <c r="O7" s="2">
        <f ca="1">RANK(X7,$X$6:$X$33,0)</f>
        <v>2</v>
      </c>
      <c r="P7" s="1" t="s">
        <v>379</v>
      </c>
      <c r="Q7" s="1">
        <f>(COUNTIF($D$6:$D$475,P7))</f>
        <v>2</v>
      </c>
      <c r="R7" s="4" cm="1">
        <f t="array" ref="R7">(SUMPRODUCT(($D$6:$D$475=P7)*$F$6:$F$475))/(COUNTIF($D$6:$D$475,P7))</f>
        <v>29.5</v>
      </c>
      <c r="S7" s="4" cm="1">
        <f t="array" ref="S7">(SUMPRODUCT(($D$6:$D$475=P7)*$G$6:$G$475))/(COUNTIF($D$6:$D$475,P7))</f>
        <v>23.5</v>
      </c>
      <c r="T7" s="4" cm="1">
        <f t="array" ref="T7">(SUMPRODUCT(($D$6:$D$475=P7)*$H$6:$H$475))/(COUNTIF($D$6:$D$475,P7))</f>
        <v>7</v>
      </c>
      <c r="U7" s="4" cm="1">
        <f t="array" ref="U7">(SUMPRODUCT(($D$6:$D$475=P7)*$I$6:$I$475))/(COUNTIF($D$6:$D$475,P7))</f>
        <v>13.5</v>
      </c>
      <c r="V7" s="4" cm="1">
        <f t="array" ref="V7">(SUMPRODUCT(($D$6:$D$475=P7)*$J$6:$J$475))/(COUNTIF($D$6:$D$475,P7))</f>
        <v>5</v>
      </c>
      <c r="W7" s="4" cm="1">
        <f t="array" ref="W7">(SUMPRODUCT(($D$6:$D$475=P7)*$K$6:$K$475))/(COUNTIF($D$6:$D$475,P7))</f>
        <v>78.5</v>
      </c>
      <c r="X7" s="5" cm="1">
        <f t="array" aca="1" ref="X7" ca="1">(SUMPRODUCT(($D$6:$D$475=P7)*$L$6:$L$475))/(COUNTIF($D$6:$D$475,P7))</f>
        <v>76.099999999999994</v>
      </c>
    </row>
    <row r="8" spans="1:24" x14ac:dyDescent="0.25">
      <c r="A8" s="2">
        <f ca="1">RANK(L8,$L$6:$L$475,0)</f>
        <v>2</v>
      </c>
      <c r="B8" s="29" t="s">
        <v>414</v>
      </c>
      <c r="C8" s="18">
        <v>45725</v>
      </c>
      <c r="D8" s="1" t="s">
        <v>72</v>
      </c>
      <c r="E8" s="1" t="s">
        <v>17</v>
      </c>
      <c r="F8" s="1">
        <v>29</v>
      </c>
      <c r="G8" s="1">
        <v>24</v>
      </c>
      <c r="H8" s="1">
        <v>6</v>
      </c>
      <c r="I8" s="1">
        <v>15</v>
      </c>
      <c r="J8" s="1">
        <v>10</v>
      </c>
      <c r="K8" s="1">
        <v>84</v>
      </c>
      <c r="L8" s="5">
        <f ca="1">K8-(ROUNDDOWN((($G$1-C8)/365),1))</f>
        <v>82.5</v>
      </c>
      <c r="O8" s="2">
        <f ca="1">RANK(X8,$X$6:$X$33,0)</f>
        <v>3</v>
      </c>
      <c r="P8" s="1" t="s">
        <v>483</v>
      </c>
      <c r="Q8" s="1">
        <f>(COUNTIF($D$6:$D$475,P8))</f>
        <v>10</v>
      </c>
      <c r="R8" s="4" cm="1">
        <f t="array" ref="R8">(SUMPRODUCT(($D$6:$D$475=P8)*$F$6:$F$475))/(COUNTIF($D$6:$D$475,P8))</f>
        <v>29</v>
      </c>
      <c r="S8" s="4" cm="1">
        <f t="array" ref="S8">(SUMPRODUCT(($D$6:$D$475=P8)*$G$6:$G$475))/(COUNTIF($D$6:$D$475,P8))</f>
        <v>20.399999999999999</v>
      </c>
      <c r="T8" s="4" cm="1">
        <f t="array" ref="T8">(SUMPRODUCT(($D$6:$D$475=P8)*$H$6:$H$475))/(COUNTIF($D$6:$D$475,P8))</f>
        <v>6.7</v>
      </c>
      <c r="U8" s="4" cm="1">
        <f t="array" ref="U8">(SUMPRODUCT(($D$6:$D$475=P8)*$I$6:$I$475))/(COUNTIF($D$6:$D$475,P8))</f>
        <v>13.2</v>
      </c>
      <c r="V8" s="4" cm="1">
        <f t="array" ref="V8">(SUMPRODUCT(($D$6:$D$475=P8)*$J$6:$J$475))/(COUNTIF($D$6:$D$475,P8))</f>
        <v>5.6</v>
      </c>
      <c r="W8" s="4" cm="1">
        <f t="array" ref="W8">(SUMPRODUCT(($D$6:$D$475=P8)*$K$6:$K$475))/(COUNTIF($D$6:$D$475,P8))</f>
        <v>74.900000000000006</v>
      </c>
      <c r="X8" s="5" cm="1">
        <f t="array" aca="1" ref="X8" ca="1">(SUMPRODUCT(($D$6:$D$475=P8)*$L$6:$L$475))/(COUNTIF($D$6:$D$475,P8))</f>
        <v>74.62</v>
      </c>
    </row>
    <row r="9" spans="1:24" x14ac:dyDescent="0.25">
      <c r="A9" s="2">
        <f ca="1">RANK(L9,$L$6:$L$475,0)</f>
        <v>4</v>
      </c>
      <c r="B9" s="29" t="s">
        <v>534</v>
      </c>
      <c r="C9" s="18">
        <v>46292</v>
      </c>
      <c r="D9" s="1" t="s">
        <v>378</v>
      </c>
      <c r="E9" s="1" t="s">
        <v>22</v>
      </c>
      <c r="F9" s="1">
        <v>30</v>
      </c>
      <c r="G9" s="1">
        <v>24</v>
      </c>
      <c r="H9" s="1">
        <v>7</v>
      </c>
      <c r="I9" s="1">
        <v>15</v>
      </c>
      <c r="J9" s="1">
        <v>6</v>
      </c>
      <c r="K9" s="1">
        <v>82</v>
      </c>
      <c r="L9" s="5">
        <f ca="1">K9-(ROUNDDOWN((($G$1-C9)/365),1))</f>
        <v>82</v>
      </c>
      <c r="O9" s="2">
        <f ca="1">RANK(X9,$X$6:$X$33,0)</f>
        <v>4</v>
      </c>
      <c r="P9" s="1" t="s">
        <v>377</v>
      </c>
      <c r="Q9" s="1">
        <f>(COUNTIF($D$6:$D$475,P9))</f>
        <v>9</v>
      </c>
      <c r="R9" s="4" cm="1">
        <f t="array" ref="R9">(SUMPRODUCT(($D$6:$D$475=P9)*$F$6:$F$475))/(COUNTIF($D$6:$D$475,P9))</f>
        <v>29.111111111111111</v>
      </c>
      <c r="S9" s="4" cm="1">
        <f t="array" ref="S9">(SUMPRODUCT(($D$6:$D$475=P9)*$G$6:$G$475))/(COUNTIF($D$6:$D$475,P9))</f>
        <v>20.888888888888889</v>
      </c>
      <c r="T9" s="4" cm="1">
        <f t="array" ref="T9">(SUMPRODUCT(($D$6:$D$475=P9)*$H$6:$H$475))/(COUNTIF($D$6:$D$475,P9))</f>
        <v>6.8888888888888893</v>
      </c>
      <c r="U9" s="4" cm="1">
        <f t="array" ref="U9">(SUMPRODUCT(($D$6:$D$475=P9)*$I$6:$I$475))/(COUNTIF($D$6:$D$475,P9))</f>
        <v>12.888888888888889</v>
      </c>
      <c r="V9" s="4" cm="1">
        <f t="array" ref="V9">(SUMPRODUCT(($D$6:$D$475=P9)*$J$6:$J$475))/(COUNTIF($D$6:$D$475,P9))</f>
        <v>5.8888888888888893</v>
      </c>
      <c r="W9" s="4" cm="1">
        <f t="array" ref="W9">(SUMPRODUCT(($D$6:$D$475=P9)*$K$6:$K$475))/(COUNTIF($D$6:$D$475,P9))</f>
        <v>75.666666666666671</v>
      </c>
      <c r="X9" s="5" cm="1">
        <f t="array" aca="1" ref="X9" ca="1">(SUMPRODUCT(($D$6:$D$475=P9)*$L$6:$L$475))/(COUNTIF($D$6:$D$475,P9))</f>
        <v>74.611111111111114</v>
      </c>
    </row>
    <row r="10" spans="1:24" x14ac:dyDescent="0.25">
      <c r="A10" s="2">
        <f ca="1">RANK(L10,$L$6:$L$475,0)</f>
        <v>5</v>
      </c>
      <c r="B10" s="29" t="s">
        <v>85</v>
      </c>
      <c r="C10" s="18">
        <v>44171</v>
      </c>
      <c r="D10" s="1" t="s">
        <v>69</v>
      </c>
      <c r="E10" s="1" t="s">
        <v>22</v>
      </c>
      <c r="F10" s="1">
        <v>32</v>
      </c>
      <c r="G10" s="1">
        <v>22</v>
      </c>
      <c r="H10" s="1">
        <v>9</v>
      </c>
      <c r="I10" s="1">
        <v>16</v>
      </c>
      <c r="J10" s="1">
        <v>8</v>
      </c>
      <c r="K10" s="1">
        <v>87</v>
      </c>
      <c r="L10" s="5">
        <f ca="1">K10-(ROUNDDOWN((($G$1-C10)/365),1))</f>
        <v>81.2</v>
      </c>
      <c r="O10" s="2">
        <f ca="1">RANK(X10,$X$6:$X$33,0)</f>
        <v>5</v>
      </c>
      <c r="P10" s="1" t="s">
        <v>470</v>
      </c>
      <c r="Q10" s="1">
        <f>(COUNTIF($D$6:$D$475,P10))</f>
        <v>1</v>
      </c>
      <c r="R10" s="4" cm="1">
        <f t="array" ref="R10">(SUMPRODUCT(($D$6:$D$475=P10)*$F$6:$F$475))/(COUNTIF($D$6:$D$475,P10))</f>
        <v>33</v>
      </c>
      <c r="S10" s="4" cm="1">
        <f t="array" ref="S10">(SUMPRODUCT(($D$6:$D$475=P10)*$G$6:$G$475))/(COUNTIF($D$6:$D$475,P10))</f>
        <v>18</v>
      </c>
      <c r="T10" s="4" cm="1">
        <f t="array" ref="T10">(SUMPRODUCT(($D$6:$D$475=P10)*$H$6:$H$475))/(COUNTIF($D$6:$D$475,P10))</f>
        <v>10</v>
      </c>
      <c r="U10" s="4" cm="1">
        <f t="array" ref="U10">(SUMPRODUCT(($D$6:$D$475=P10)*$I$6:$I$475))/(COUNTIF($D$6:$D$475,P10))</f>
        <v>6</v>
      </c>
      <c r="V10" s="4" cm="1">
        <f t="array" ref="V10">(SUMPRODUCT(($D$6:$D$475=P10)*$J$6:$J$475))/(COUNTIF($D$6:$D$475,P10))</f>
        <v>9</v>
      </c>
      <c r="W10" s="4" cm="1">
        <f t="array" ref="W10">(SUMPRODUCT(($D$6:$D$475=P10)*$K$6:$K$475))/(COUNTIF($D$6:$D$475,P10))</f>
        <v>76</v>
      </c>
      <c r="X10" s="5" cm="1">
        <f t="array" aca="1" ref="X10" ca="1">(SUMPRODUCT(($D$6:$D$475=P10)*$L$6:$L$475))/(COUNTIF($D$6:$D$475,P10))</f>
        <v>74.599999999999994</v>
      </c>
    </row>
    <row r="11" spans="1:24" x14ac:dyDescent="0.25">
      <c r="A11" s="2">
        <f ca="1">RANK(L11,$L$6:$L$475,0)</f>
        <v>5</v>
      </c>
      <c r="B11" s="29" t="s">
        <v>389</v>
      </c>
      <c r="C11" s="18">
        <v>45620</v>
      </c>
      <c r="D11" s="1" t="s">
        <v>378</v>
      </c>
      <c r="E11" s="1" t="s">
        <v>22</v>
      </c>
      <c r="F11" s="1">
        <v>31</v>
      </c>
      <c r="G11" s="1">
        <v>23</v>
      </c>
      <c r="H11" s="1">
        <v>7</v>
      </c>
      <c r="I11" s="1">
        <v>16</v>
      </c>
      <c r="J11" s="1">
        <v>6</v>
      </c>
      <c r="K11" s="1">
        <v>83</v>
      </c>
      <c r="L11" s="5">
        <f ca="1">K11-(ROUNDDOWN((($G$1-C11)/365),1))</f>
        <v>81.2</v>
      </c>
      <c r="O11" s="2">
        <f ca="1">RANK(X11,$X$6:$X$33,0)</f>
        <v>6</v>
      </c>
      <c r="P11" s="1" t="s">
        <v>378</v>
      </c>
      <c r="Q11" s="1">
        <f>(COUNTIF($D$6:$D$475,P11))</f>
        <v>23</v>
      </c>
      <c r="R11" s="4" cm="1">
        <f t="array" ref="R11">(SUMPRODUCT(($D$6:$D$475=P11)*$F$6:$F$475))/(COUNTIF($D$6:$D$475,P11))</f>
        <v>28.304347826086957</v>
      </c>
      <c r="S11" s="4" cm="1">
        <f t="array" ref="S11">(SUMPRODUCT(($D$6:$D$475=P11)*$G$6:$G$475))/(COUNTIF($D$6:$D$475,P11))</f>
        <v>21.956521739130434</v>
      </c>
      <c r="T11" s="4" cm="1">
        <f t="array" ref="T11">(SUMPRODUCT(($D$6:$D$475=P11)*$H$6:$H$475))/(COUNTIF($D$6:$D$475,P11))</f>
        <v>5.6521739130434785</v>
      </c>
      <c r="U11" s="4" cm="1">
        <f t="array" ref="U11">(SUMPRODUCT(($D$6:$D$475=P11)*$I$6:$I$475))/(COUNTIF($D$6:$D$475,P11))</f>
        <v>13.304347826086957</v>
      </c>
      <c r="V11" s="4" cm="1">
        <f t="array" ref="V11">(SUMPRODUCT(($D$6:$D$475=P11)*$J$6:$J$475))/(COUNTIF($D$6:$D$475,P11))</f>
        <v>5.6956521739130439</v>
      </c>
      <c r="W11" s="4" cm="1">
        <f t="array" ref="W11">(SUMPRODUCT(($D$6:$D$475=P11)*$K$6:$K$475))/(COUNTIF($D$6:$D$475,P11))</f>
        <v>74.913043478260875</v>
      </c>
      <c r="X11" s="5" cm="1">
        <f t="array" aca="1" ref="X11" ca="1">(SUMPRODUCT(($D$6:$D$475=P11)*$L$6:$L$475))/(COUNTIF($D$6:$D$475,P11))</f>
        <v>74.108695652173893</v>
      </c>
    </row>
    <row r="12" spans="1:24" x14ac:dyDescent="0.25">
      <c r="A12" s="2">
        <f ca="1">RANK(L12,$L$6:$L$475,0)</f>
        <v>7</v>
      </c>
      <c r="B12" s="29" t="s">
        <v>457</v>
      </c>
      <c r="C12" s="18">
        <v>45914</v>
      </c>
      <c r="D12" s="1" t="s">
        <v>71</v>
      </c>
      <c r="E12" s="1" t="s">
        <v>17</v>
      </c>
      <c r="F12" s="1">
        <v>32</v>
      </c>
      <c r="G12" s="1">
        <v>18</v>
      </c>
      <c r="H12" s="1">
        <v>6</v>
      </c>
      <c r="I12" s="1">
        <v>17</v>
      </c>
      <c r="J12" s="1">
        <v>9</v>
      </c>
      <c r="K12" s="1">
        <v>82</v>
      </c>
      <c r="L12" s="5">
        <f ca="1">K12-(ROUNDDOWN((($G$1-C12)/365),1))</f>
        <v>81</v>
      </c>
      <c r="O12" s="2">
        <f ca="1">RANK(X12,$X$6:$X$33,0)</f>
        <v>7</v>
      </c>
      <c r="P12" s="1" t="s">
        <v>478</v>
      </c>
      <c r="Q12" s="1">
        <f>(COUNTIF($D$6:$D$475,P12))</f>
        <v>1</v>
      </c>
      <c r="R12" s="4" cm="1">
        <f t="array" ref="R12">(SUMPRODUCT(($D$6:$D$475=P12)*$F$6:$F$475))/(COUNTIF($D$6:$D$475,P12))</f>
        <v>27</v>
      </c>
      <c r="S12" s="4" cm="1">
        <f t="array" ref="S12">(SUMPRODUCT(($D$6:$D$475=P12)*$G$6:$G$475))/(COUNTIF($D$6:$D$475,P12))</f>
        <v>24</v>
      </c>
      <c r="T12" s="4" cm="1">
        <f t="array" ref="T12">(SUMPRODUCT(($D$6:$D$475=P12)*$H$6:$H$475))/(COUNTIF($D$6:$D$475,P12))</f>
        <v>4</v>
      </c>
      <c r="U12" s="4" cm="1">
        <f t="array" ref="U12">(SUMPRODUCT(($D$6:$D$475=P12)*$I$6:$I$475))/(COUNTIF($D$6:$D$475,P12))</f>
        <v>13</v>
      </c>
      <c r="V12" s="4" cm="1">
        <f t="array" ref="V12">(SUMPRODUCT(($D$6:$D$475=P12)*$J$6:$J$475))/(COUNTIF($D$6:$D$475,P12))</f>
        <v>5</v>
      </c>
      <c r="W12" s="4" cm="1">
        <f t="array" ref="W12">(SUMPRODUCT(($D$6:$D$475=P12)*$K$6:$K$475))/(COUNTIF($D$6:$D$475,P12))</f>
        <v>73</v>
      </c>
      <c r="X12" s="5" cm="1">
        <f t="array" aca="1" ref="X12" ca="1">(SUMPRODUCT(($D$6:$D$475=P12)*$L$6:$L$475))/(COUNTIF($D$6:$D$475,P12))</f>
        <v>72.2</v>
      </c>
    </row>
    <row r="13" spans="1:24" x14ac:dyDescent="0.25">
      <c r="A13" s="2">
        <f ca="1">RANK(L13,$L$6:$L$475,0)</f>
        <v>8</v>
      </c>
      <c r="B13" s="1" t="s">
        <v>277</v>
      </c>
      <c r="C13" s="18">
        <v>45039</v>
      </c>
      <c r="D13" s="1" t="s">
        <v>73</v>
      </c>
      <c r="E13" s="1" t="s">
        <v>22</v>
      </c>
      <c r="F13" s="1">
        <v>31</v>
      </c>
      <c r="G13" s="1">
        <v>23</v>
      </c>
      <c r="H13" s="1">
        <v>8</v>
      </c>
      <c r="I13" s="1">
        <v>15</v>
      </c>
      <c r="J13" s="1">
        <v>7</v>
      </c>
      <c r="K13" s="1">
        <v>84</v>
      </c>
      <c r="L13" s="5">
        <f ca="1">K13-(ROUNDDOWN((($G$1-C13)/365),1))</f>
        <v>80.599999999999994</v>
      </c>
      <c r="O13" s="2">
        <f ca="1">RANK(X13,$X$6:$X$33,0)</f>
        <v>8</v>
      </c>
      <c r="P13" s="1" t="s">
        <v>131</v>
      </c>
      <c r="Q13" s="1">
        <f>(COUNTIF($D$6:$D$475,P13))</f>
        <v>2</v>
      </c>
      <c r="R13" s="4" cm="1">
        <f t="array" ref="R13">(SUMPRODUCT(($D$6:$D$475=P13)*$F$6:$F$475))/(COUNTIF($D$6:$D$475,P13))</f>
        <v>28.5</v>
      </c>
      <c r="S13" s="4" cm="1">
        <f t="array" ref="S13">(SUMPRODUCT(($D$6:$D$475=P13)*$G$6:$G$475))/(COUNTIF($D$6:$D$475,P13))</f>
        <v>18.5</v>
      </c>
      <c r="T13" s="4" cm="1">
        <f t="array" ref="T13">(SUMPRODUCT(($D$6:$D$475=P13)*$H$6:$H$475))/(COUNTIF($D$6:$D$475,P13))</f>
        <v>6</v>
      </c>
      <c r="U13" s="4" cm="1">
        <f t="array" ref="U13">(SUMPRODUCT(($D$6:$D$475=P13)*$I$6:$I$475))/(COUNTIF($D$6:$D$475,P13))</f>
        <v>16</v>
      </c>
      <c r="V13" s="4" cm="1">
        <f t="array" ref="V13">(SUMPRODUCT(($D$6:$D$475=P13)*$J$6:$J$475))/(COUNTIF($D$6:$D$475,P13))</f>
        <v>7.5</v>
      </c>
      <c r="W13" s="4" cm="1">
        <f t="array" ref="W13">(SUMPRODUCT(($D$6:$D$475=P13)*$K$6:$K$475))/(COUNTIF($D$6:$D$475,P13))</f>
        <v>76.5</v>
      </c>
      <c r="X13" s="5" cm="1">
        <f t="array" aca="1" ref="X13" ca="1">(SUMPRODUCT(($D$6:$D$475=P13)*$L$6:$L$475))/(COUNTIF($D$6:$D$475,P13))</f>
        <v>71.7</v>
      </c>
    </row>
    <row r="14" spans="1:24" x14ac:dyDescent="0.25">
      <c r="A14" s="2">
        <f ca="1">RANK(L14,$L$6:$L$475,0)</f>
        <v>9</v>
      </c>
      <c r="B14" s="29" t="s">
        <v>330</v>
      </c>
      <c r="C14" s="18">
        <v>45326</v>
      </c>
      <c r="D14" s="1" t="s">
        <v>71</v>
      </c>
      <c r="E14" s="1" t="s">
        <v>40</v>
      </c>
      <c r="F14" s="1">
        <v>31</v>
      </c>
      <c r="G14" s="1">
        <v>19</v>
      </c>
      <c r="H14" s="1">
        <v>9</v>
      </c>
      <c r="I14" s="1">
        <v>15</v>
      </c>
      <c r="J14" s="1">
        <v>9</v>
      </c>
      <c r="K14" s="1">
        <v>83</v>
      </c>
      <c r="L14" s="5">
        <f ca="1">K14-(ROUNDDOWN((($G$1-C14)/365),1))</f>
        <v>80.400000000000006</v>
      </c>
      <c r="O14" s="2">
        <f ca="1">RANK(X14,$X$6:$X$33,0)</f>
        <v>9</v>
      </c>
      <c r="P14" s="1" t="s">
        <v>184</v>
      </c>
      <c r="Q14" s="1">
        <f>(COUNTIF($D$6:$D$475,P14))</f>
        <v>8</v>
      </c>
      <c r="R14" s="4" cm="1">
        <f t="array" ref="R14">(SUMPRODUCT(($D$6:$D$475=P14)*$F$6:$F$475))/(COUNTIF($D$6:$D$475,P14))</f>
        <v>27.875</v>
      </c>
      <c r="S14" s="4" cm="1">
        <f t="array" ref="S14">(SUMPRODUCT(($D$6:$D$475=P14)*$G$6:$G$475))/(COUNTIF($D$6:$D$475,P14))</f>
        <v>19.625</v>
      </c>
      <c r="T14" s="4" cm="1">
        <f t="array" ref="T14">(SUMPRODUCT(($D$6:$D$475=P14)*$H$6:$H$475))/(COUNTIF($D$6:$D$475,P14))</f>
        <v>6.375</v>
      </c>
      <c r="U14" s="4" cm="1">
        <f t="array" ref="U14">(SUMPRODUCT(($D$6:$D$475=P14)*$I$6:$I$475))/(COUNTIF($D$6:$D$475,P14))</f>
        <v>14.375</v>
      </c>
      <c r="V14" s="4" cm="1">
        <f t="array" ref="V14">(SUMPRODUCT(($D$6:$D$475=P14)*$J$6:$J$475))/(COUNTIF($D$6:$D$475,P14))</f>
        <v>6.125</v>
      </c>
      <c r="W14" s="4" cm="1">
        <f t="array" ref="W14">(SUMPRODUCT(($D$6:$D$475=P14)*$K$6:$K$475))/(COUNTIF($D$6:$D$475,P14))</f>
        <v>74.375</v>
      </c>
      <c r="X14" s="5" cm="1">
        <f t="array" aca="1" ref="X14" ca="1">(SUMPRODUCT(($D$6:$D$475=P14)*$L$6:$L$475))/(COUNTIF($D$6:$D$475,P14))</f>
        <v>70.512500000000017</v>
      </c>
    </row>
    <row r="15" spans="1:24" x14ac:dyDescent="0.25">
      <c r="A15" s="2">
        <f ca="1">RANK(L15,$L$6:$L$475,0)</f>
        <v>10</v>
      </c>
      <c r="B15" s="29" t="s">
        <v>477</v>
      </c>
      <c r="C15" s="18">
        <v>46011</v>
      </c>
      <c r="D15" s="1" t="s">
        <v>378</v>
      </c>
      <c r="E15" s="1" t="s">
        <v>20</v>
      </c>
      <c r="F15" s="1">
        <v>30</v>
      </c>
      <c r="G15" s="1">
        <v>24</v>
      </c>
      <c r="H15" s="1">
        <v>5</v>
      </c>
      <c r="I15" s="1">
        <v>15</v>
      </c>
      <c r="J15" s="1">
        <v>7</v>
      </c>
      <c r="K15" s="1">
        <v>81</v>
      </c>
      <c r="L15" s="5">
        <f ca="1">K15-(ROUNDDOWN((($G$1-C15)/365),1))</f>
        <v>80.3</v>
      </c>
      <c r="O15" s="2">
        <f ca="1">RANK(X15,$X$6:$X$33,0)</f>
        <v>10</v>
      </c>
      <c r="P15" s="1" t="s">
        <v>266</v>
      </c>
      <c r="Q15" s="1">
        <f>(COUNTIF($D$6:$D$475,P15))</f>
        <v>20</v>
      </c>
      <c r="R15" s="4" cm="1">
        <f t="array" ref="R15">(SUMPRODUCT(($D$6:$D$475=P15)*$F$6:$F$475))/(COUNTIF($D$6:$D$475,P15))</f>
        <v>28.15</v>
      </c>
      <c r="S15" s="4" cm="1">
        <f t="array" ref="S15">(SUMPRODUCT(($D$6:$D$475=P15)*$G$6:$G$475))/(COUNTIF($D$6:$D$475,P15))</f>
        <v>18.149999999999999</v>
      </c>
      <c r="T15" s="4" cm="1">
        <f t="array" ref="T15">(SUMPRODUCT(($D$6:$D$475=P15)*$H$6:$H$475))/(COUNTIF($D$6:$D$475,P15))</f>
        <v>6.05</v>
      </c>
      <c r="U15" s="4" cm="1">
        <f t="array" ref="U15">(SUMPRODUCT(($D$6:$D$475=P15)*$I$6:$I$475))/(COUNTIF($D$6:$D$475,P15))</f>
        <v>12.8</v>
      </c>
      <c r="V15" s="4" cm="1">
        <f t="array" ref="V15">(SUMPRODUCT(($D$6:$D$475=P15)*$J$6:$J$475))/(COUNTIF($D$6:$D$475,P15))</f>
        <v>5.4</v>
      </c>
      <c r="W15" s="4" cm="1">
        <f t="array" ref="W15">(SUMPRODUCT(($D$6:$D$475=P15)*$K$6:$K$475))/(COUNTIF($D$6:$D$475,P15))</f>
        <v>70.55</v>
      </c>
      <c r="X15" s="5" cm="1">
        <f t="array" aca="1" ref="X15" ca="1">(SUMPRODUCT(($D$6:$D$475=P15)*$L$6:$L$475))/(COUNTIF($D$6:$D$475,P15))</f>
        <v>68.410000000000011</v>
      </c>
    </row>
    <row r="16" spans="1:24" x14ac:dyDescent="0.25">
      <c r="A16" s="2">
        <f ca="1">RANK(L16,$L$6:$L$475,0)</f>
        <v>11</v>
      </c>
      <c r="B16" s="29" t="s">
        <v>280</v>
      </c>
      <c r="C16" s="18">
        <v>45220</v>
      </c>
      <c r="D16" s="1" t="s">
        <v>307</v>
      </c>
      <c r="E16" s="1" t="s">
        <v>33</v>
      </c>
      <c r="F16" s="1">
        <v>33</v>
      </c>
      <c r="G16" s="1">
        <v>18</v>
      </c>
      <c r="H16" s="1">
        <v>9</v>
      </c>
      <c r="I16" s="1">
        <v>15</v>
      </c>
      <c r="J16" s="1">
        <v>8</v>
      </c>
      <c r="K16" s="1">
        <v>83</v>
      </c>
      <c r="L16" s="5">
        <f ca="1">K16-(ROUNDDOWN((($G$1-C16)/365),1))</f>
        <v>80.099999999999994</v>
      </c>
      <c r="O16" s="2">
        <f ca="1">RANK(X16,$X$6:$X$33,0)</f>
        <v>11</v>
      </c>
      <c r="P16" s="1" t="s">
        <v>66</v>
      </c>
      <c r="Q16" s="1">
        <f>(COUNTIF($D$6:$D$475,P16))</f>
        <v>19</v>
      </c>
      <c r="R16" s="4" cm="1">
        <f t="array" ref="R16">(SUMPRODUCT(($D$6:$D$475=P16)*$F$6:$F$475))/(COUNTIF($D$6:$D$475,P16))</f>
        <v>26.789473684210527</v>
      </c>
      <c r="S16" s="4" cm="1">
        <f t="array" ref="S16">(SUMPRODUCT(($D$6:$D$475=P16)*$G$6:$G$475))/(COUNTIF($D$6:$D$475,P16))</f>
        <v>19.578947368421051</v>
      </c>
      <c r="T16" s="4" cm="1">
        <f t="array" ref="T16">(SUMPRODUCT(($D$6:$D$475=P16)*$H$6:$H$475))/(COUNTIF($D$6:$D$475,P16))</f>
        <v>5.7368421052631575</v>
      </c>
      <c r="U16" s="4" cm="1">
        <f t="array" ref="U16">(SUMPRODUCT(($D$6:$D$475=P16)*$I$6:$I$475))/(COUNTIF($D$6:$D$475,P16))</f>
        <v>13.157894736842104</v>
      </c>
      <c r="V16" s="4" cm="1">
        <f t="array" ref="V16">(SUMPRODUCT(($D$6:$D$475=P16)*$J$6:$J$475))/(COUNTIF($D$6:$D$475,P16))</f>
        <v>5.6315789473684212</v>
      </c>
      <c r="W16" s="4" cm="1">
        <f t="array" ref="W16">(SUMPRODUCT(($D$6:$D$475=P16)*$K$6:$K$475))/(COUNTIF($D$6:$D$475,P16))</f>
        <v>70.89473684210526</v>
      </c>
      <c r="X16" s="5" cm="1">
        <f t="array" aca="1" ref="X16" ca="1">(SUMPRODUCT(($D$6:$D$475=P16)*$L$6:$L$475))/(COUNTIF($D$6:$D$475,P16))</f>
        <v>68.3</v>
      </c>
    </row>
    <row r="17" spans="1:24" x14ac:dyDescent="0.25">
      <c r="A17" s="2">
        <f ca="1">RANK(L17,$L$6:$L$475,0)</f>
        <v>12</v>
      </c>
      <c r="B17" s="29" t="s">
        <v>372</v>
      </c>
      <c r="C17" s="18">
        <v>45550</v>
      </c>
      <c r="D17" s="1" t="s">
        <v>266</v>
      </c>
      <c r="E17" s="1" t="s">
        <v>17</v>
      </c>
      <c r="F17" s="1">
        <v>30</v>
      </c>
      <c r="G17" s="1">
        <v>21</v>
      </c>
      <c r="H17" s="1">
        <v>7</v>
      </c>
      <c r="I17" s="1">
        <v>16</v>
      </c>
      <c r="J17" s="1">
        <v>8</v>
      </c>
      <c r="K17" s="1">
        <v>82</v>
      </c>
      <c r="L17" s="5">
        <f ca="1">K17-(ROUNDDOWN((($G$1-C17)/365),1))</f>
        <v>80</v>
      </c>
      <c r="O17" s="2">
        <f ca="1">RANK(X17,$X$6:$X$33,0)</f>
        <v>12</v>
      </c>
      <c r="P17" s="1" t="s">
        <v>368</v>
      </c>
      <c r="Q17" s="1">
        <f>(COUNTIF($D$6:$D$475,P17))</f>
        <v>5</v>
      </c>
      <c r="R17" s="4" cm="1">
        <f t="array" ref="R17">(SUMPRODUCT(($D$6:$D$475=P17)*$F$6:$F$475))/(COUNTIF($D$6:$D$475,P17))</f>
        <v>27.6</v>
      </c>
      <c r="S17" s="4" cm="1">
        <f t="array" ref="S17">(SUMPRODUCT(($D$6:$D$475=P17)*$G$6:$G$475))/(COUNTIF($D$6:$D$475,P17))</f>
        <v>19.2</v>
      </c>
      <c r="T17" s="4" cm="1">
        <f t="array" ref="T17">(SUMPRODUCT(($D$6:$D$475=P17)*$H$6:$H$475))/(COUNTIF($D$6:$D$475,P17))</f>
        <v>5</v>
      </c>
      <c r="U17" s="4" cm="1">
        <f t="array" ref="U17">(SUMPRODUCT(($D$6:$D$475=P17)*$I$6:$I$475))/(COUNTIF($D$6:$D$475,P17))</f>
        <v>12.4</v>
      </c>
      <c r="V17" s="4" cm="1">
        <f t="array" ref="V17">(SUMPRODUCT(($D$6:$D$475=P17)*$J$6:$J$475))/(COUNTIF($D$6:$D$475,P17))</f>
        <v>5.6</v>
      </c>
      <c r="W17" s="4" cm="1">
        <f t="array" ref="W17">(SUMPRODUCT(($D$6:$D$475=P17)*$K$6:$K$475))/(COUNTIF($D$6:$D$475,P17))</f>
        <v>69.8</v>
      </c>
      <c r="X17" s="5" cm="1">
        <f t="array" aca="1" ref="X17" ca="1">(SUMPRODUCT(($D$6:$D$475=P17)*$L$6:$L$475))/(COUNTIF($D$6:$D$475,P17))</f>
        <v>68.28</v>
      </c>
    </row>
    <row r="18" spans="1:24" x14ac:dyDescent="0.25">
      <c r="A18" s="2">
        <f ca="1">RANK(L18,$L$6:$L$475,0)</f>
        <v>13</v>
      </c>
      <c r="B18" s="29" t="s">
        <v>19</v>
      </c>
      <c r="C18" s="18">
        <v>44409</v>
      </c>
      <c r="D18" s="1" t="s">
        <v>66</v>
      </c>
      <c r="E18" s="1" t="s">
        <v>20</v>
      </c>
      <c r="F18" s="1">
        <v>28</v>
      </c>
      <c r="G18" s="1">
        <v>24</v>
      </c>
      <c r="H18" s="1">
        <v>9</v>
      </c>
      <c r="I18" s="1">
        <v>15</v>
      </c>
      <c r="J18" s="1">
        <v>9</v>
      </c>
      <c r="K18" s="1">
        <v>85</v>
      </c>
      <c r="L18" s="5">
        <f ca="1">K18-(ROUNDDOWN((($G$1-C18)/365),1))</f>
        <v>79.900000000000006</v>
      </c>
      <c r="O18" s="2">
        <f ca="1">RANK(X18,$X$6:$X$33,0)</f>
        <v>13</v>
      </c>
      <c r="P18" s="1" t="s">
        <v>307</v>
      </c>
      <c r="Q18" s="1">
        <f>(COUNTIF($D$6:$D$475,P18))</f>
        <v>9</v>
      </c>
      <c r="R18" s="4" cm="1">
        <f t="array" ref="R18">(SUMPRODUCT(($D$6:$D$475=P18)*$F$6:$F$475))/(COUNTIF($D$6:$D$475,P18))</f>
        <v>27.555555555555557</v>
      </c>
      <c r="S18" s="4" cm="1">
        <f t="array" ref="S18">(SUMPRODUCT(($D$6:$D$475=P18)*$G$6:$G$475))/(COUNTIF($D$6:$D$475,P18))</f>
        <v>18.666666666666668</v>
      </c>
      <c r="T18" s="4" cm="1">
        <f t="array" ref="T18">(SUMPRODUCT(($D$6:$D$475=P18)*$H$6:$H$475))/(COUNTIF($D$6:$D$475,P18))</f>
        <v>6.2222222222222223</v>
      </c>
      <c r="U18" s="4" cm="1">
        <f t="array" ref="U18">(SUMPRODUCT(($D$6:$D$475=P18)*$I$6:$I$475))/(COUNTIF($D$6:$D$475,P18))</f>
        <v>12.111111111111111</v>
      </c>
      <c r="V18" s="4" cm="1">
        <f t="array" ref="V18">(SUMPRODUCT(($D$6:$D$475=P18)*$J$6:$J$475))/(COUNTIF($D$6:$D$475,P18))</f>
        <v>5.8888888888888893</v>
      </c>
      <c r="W18" s="4" cm="1">
        <f t="array" ref="W18">(SUMPRODUCT(($D$6:$D$475=P18)*$K$6:$K$475))/(COUNTIF($D$6:$D$475,P18))</f>
        <v>70.444444444444443</v>
      </c>
      <c r="X18" s="5" cm="1">
        <f t="array" aca="1" ref="X18" ca="1">(SUMPRODUCT(($D$6:$D$475=P18)*$L$6:$L$475))/(COUNTIF($D$6:$D$475,P18))</f>
        <v>68.144444444444446</v>
      </c>
    </row>
    <row r="19" spans="1:24" x14ac:dyDescent="0.25">
      <c r="A19" s="2">
        <f ca="1">RANK(L19,$L$6:$L$475,0)</f>
        <v>14</v>
      </c>
      <c r="B19" s="29" t="s">
        <v>446</v>
      </c>
      <c r="C19" s="18">
        <v>45851</v>
      </c>
      <c r="D19" s="1" t="s">
        <v>377</v>
      </c>
      <c r="E19" s="1" t="s">
        <v>22</v>
      </c>
      <c r="F19" s="1">
        <v>32</v>
      </c>
      <c r="G19" s="1">
        <v>21</v>
      </c>
      <c r="H19" s="1">
        <v>8</v>
      </c>
      <c r="I19" s="1">
        <v>14</v>
      </c>
      <c r="J19" s="1">
        <v>6</v>
      </c>
      <c r="K19" s="1">
        <v>81</v>
      </c>
      <c r="L19" s="5">
        <f ca="1">K19-(ROUNDDOWN((($G$1-C19)/365),1))</f>
        <v>79.8</v>
      </c>
      <c r="O19" s="2">
        <f ca="1">RANK(X19,$X$6:$X$33,0)</f>
        <v>14</v>
      </c>
      <c r="P19" s="1" t="s">
        <v>236</v>
      </c>
      <c r="Q19" s="1">
        <f>(COUNTIF($D$6:$D$475,P19))</f>
        <v>15</v>
      </c>
      <c r="R19" s="4" cm="1">
        <f t="array" ref="R19">(SUMPRODUCT(($D$6:$D$475=P19)*$F$6:$F$475))/(COUNTIF($D$6:$D$475,P19))</f>
        <v>27.533333333333335</v>
      </c>
      <c r="S19" s="4" cm="1">
        <f t="array" ref="S19">(SUMPRODUCT(($D$6:$D$475=P19)*$G$6:$G$475))/(COUNTIF($D$6:$D$475,P19))</f>
        <v>17.466666666666665</v>
      </c>
      <c r="T19" s="4" cm="1">
        <f t="array" ref="T19">(SUMPRODUCT(($D$6:$D$475=P19)*$H$6:$H$475))/(COUNTIF($D$6:$D$475,P19))</f>
        <v>5.8</v>
      </c>
      <c r="U19" s="4" cm="1">
        <f t="array" ref="U19">(SUMPRODUCT(($D$6:$D$475=P19)*$I$6:$I$475))/(COUNTIF($D$6:$D$475,P19))</f>
        <v>13.4</v>
      </c>
      <c r="V19" s="4" cm="1">
        <f t="array" ref="V19">(SUMPRODUCT(($D$6:$D$475=P19)*$J$6:$J$475))/(COUNTIF($D$6:$D$475,P19))</f>
        <v>6</v>
      </c>
      <c r="W19" s="4" cm="1">
        <f t="array" ref="W19">(SUMPRODUCT(($D$6:$D$475=P19)*$K$6:$K$475))/(COUNTIF($D$6:$D$475,P19))</f>
        <v>70.2</v>
      </c>
      <c r="X19" s="5" cm="1">
        <f t="array" aca="1" ref="X19" ca="1">(SUMPRODUCT(($D$6:$D$475=P19)*$L$6:$L$475))/(COUNTIF($D$6:$D$475,P19))</f>
        <v>67.426666666666677</v>
      </c>
    </row>
    <row r="20" spans="1:24" x14ac:dyDescent="0.25">
      <c r="A20" s="2">
        <f ca="1">RANK(L20,$L$6:$L$475,0)</f>
        <v>14</v>
      </c>
      <c r="B20" s="29" t="s">
        <v>352</v>
      </c>
      <c r="C20" s="18">
        <v>45466</v>
      </c>
      <c r="D20" s="1" t="s">
        <v>154</v>
      </c>
      <c r="E20" s="1" t="s">
        <v>22</v>
      </c>
      <c r="F20" s="1">
        <v>31</v>
      </c>
      <c r="G20" s="1">
        <v>20</v>
      </c>
      <c r="H20" s="1">
        <v>9</v>
      </c>
      <c r="I20" s="1">
        <v>14</v>
      </c>
      <c r="J20" s="1">
        <v>8</v>
      </c>
      <c r="K20" s="1">
        <v>82</v>
      </c>
      <c r="L20" s="5">
        <f ca="1">K20-(ROUNDDOWN((($G$1-C20)/365),1))</f>
        <v>79.8</v>
      </c>
      <c r="O20" s="2">
        <f ca="1">RANK(X20,$X$6:$X$33,0)</f>
        <v>15</v>
      </c>
      <c r="P20" s="1" t="s">
        <v>71</v>
      </c>
      <c r="Q20" s="1">
        <f>(COUNTIF($D$6:$D$475,P20))</f>
        <v>70</v>
      </c>
      <c r="R20" s="4" cm="1">
        <f t="array" ref="R20">(SUMPRODUCT(($D$6:$D$475=P20)*$F$6:$F$475))/(COUNTIF($D$6:$D$475,P20))</f>
        <v>27.671428571428571</v>
      </c>
      <c r="S20" s="4" cm="1">
        <f t="array" ref="S20">(SUMPRODUCT(($D$6:$D$475=P20)*$G$6:$G$475))/(COUNTIF($D$6:$D$475,P20))</f>
        <v>17.742857142857144</v>
      </c>
      <c r="T20" s="4" cm="1">
        <f t="array" ref="T20">(SUMPRODUCT(($D$6:$D$475=P20)*$H$6:$H$475))/(COUNTIF($D$6:$D$475,P20))</f>
        <v>5.8428571428571425</v>
      </c>
      <c r="U20" s="4" cm="1">
        <f t="array" ref="U20">(SUMPRODUCT(($D$6:$D$475=P20)*$I$6:$I$475))/(COUNTIF($D$6:$D$475,P20))</f>
        <v>13.057142857142857</v>
      </c>
      <c r="V20" s="4" cm="1">
        <f t="array" ref="V20">(SUMPRODUCT(($D$6:$D$475=P20)*$J$6:$J$475))/(COUNTIF($D$6:$D$475,P20))</f>
        <v>5.9428571428571431</v>
      </c>
      <c r="W20" s="4" cm="1">
        <f t="array" ref="W20">(SUMPRODUCT(($D$6:$D$475=P20)*$K$6:$K$475))/(COUNTIF($D$6:$D$475,P20))</f>
        <v>70.257142857142853</v>
      </c>
      <c r="X20" s="5" cm="1">
        <f t="array" aca="1" ref="X20" ca="1">(SUMPRODUCT(($D$6:$D$475=P20)*$L$6:$L$475))/(COUNTIF($D$6:$D$475,P20))</f>
        <v>66.795714285714268</v>
      </c>
    </row>
    <row r="21" spans="1:24" x14ac:dyDescent="0.25">
      <c r="A21" s="2">
        <f ca="1">RANK(L21,$L$6:$L$475,0)</f>
        <v>16</v>
      </c>
      <c r="B21" s="29" t="s">
        <v>507</v>
      </c>
      <c r="C21" s="18">
        <v>46131</v>
      </c>
      <c r="D21" s="1" t="s">
        <v>266</v>
      </c>
      <c r="E21" s="1" t="s">
        <v>22</v>
      </c>
      <c r="F21" s="1">
        <v>31</v>
      </c>
      <c r="G21" s="1">
        <v>22</v>
      </c>
      <c r="H21" s="1">
        <v>8</v>
      </c>
      <c r="I21" s="1">
        <v>14</v>
      </c>
      <c r="J21" s="1">
        <v>5</v>
      </c>
      <c r="K21" s="1">
        <v>80</v>
      </c>
      <c r="L21" s="5">
        <f ca="1">K21-(ROUNDDOWN((($G$1-C21)/365),1))</f>
        <v>79.599999999999994</v>
      </c>
      <c r="O21" s="2">
        <f ca="1">RANK(X21,$X$6:$X$33,0)</f>
        <v>16</v>
      </c>
      <c r="P21" s="1" t="s">
        <v>70</v>
      </c>
      <c r="Q21" s="1">
        <f>(COUNTIF($D$6:$D$475,P21))</f>
        <v>6</v>
      </c>
      <c r="R21" s="4" cm="1">
        <f t="array" ref="R21">(SUMPRODUCT(($D$6:$D$475=P21)*$F$6:$F$475))/(COUNTIF($D$6:$D$475,P21))</f>
        <v>27.666666666666668</v>
      </c>
      <c r="S21" s="4" cm="1">
        <f t="array" ref="S21">(SUMPRODUCT(($D$6:$D$475=P21)*$G$6:$G$475))/(COUNTIF($D$6:$D$475,P21))</f>
        <v>16.666666666666668</v>
      </c>
      <c r="T21" s="4" cm="1">
        <f t="array" ref="T21">(SUMPRODUCT(($D$6:$D$475=P21)*$H$6:$H$475))/(COUNTIF($D$6:$D$475,P21))</f>
        <v>6.5</v>
      </c>
      <c r="U21" s="4" cm="1">
        <f t="array" ref="U21">(SUMPRODUCT(($D$6:$D$475=P21)*$I$6:$I$475))/(COUNTIF($D$6:$D$475,P21))</f>
        <v>13.166666666666666</v>
      </c>
      <c r="V21" s="4" cm="1">
        <f t="array" ref="V21">(SUMPRODUCT(($D$6:$D$475=P21)*$J$6:$J$475))/(COUNTIF($D$6:$D$475,P21))</f>
        <v>6.333333333333333</v>
      </c>
      <c r="W21" s="4" cm="1">
        <f t="array" ref="W21">(SUMPRODUCT(($D$6:$D$475=P21)*$K$6:$K$475))/(COUNTIF($D$6:$D$475,P21))</f>
        <v>70.333333333333329</v>
      </c>
      <c r="X21" s="5" cm="1">
        <f t="array" aca="1" ref="X21" ca="1">(SUMPRODUCT(($D$6:$D$475=P21)*$L$6:$L$475))/(COUNTIF($D$6:$D$475,P21))</f>
        <v>65.716666666666669</v>
      </c>
    </row>
    <row r="22" spans="1:24" x14ac:dyDescent="0.25">
      <c r="A22" s="2">
        <f ca="1">RANK(L22,$L$6:$L$475,0)</f>
        <v>17</v>
      </c>
      <c r="B22" s="29" t="s">
        <v>338</v>
      </c>
      <c r="C22" s="18">
        <v>45375</v>
      </c>
      <c r="D22" s="1" t="s">
        <v>149</v>
      </c>
      <c r="E22" s="1" t="s">
        <v>22</v>
      </c>
      <c r="F22" s="1">
        <v>31</v>
      </c>
      <c r="G22" s="1">
        <v>25</v>
      </c>
      <c r="H22" s="1">
        <v>8</v>
      </c>
      <c r="I22" s="1">
        <v>9</v>
      </c>
      <c r="J22" s="1">
        <v>9</v>
      </c>
      <c r="K22" s="1">
        <v>82</v>
      </c>
      <c r="L22" s="5">
        <f ca="1">K22-(ROUNDDOWN((($G$1-C22)/365),1))</f>
        <v>79.5</v>
      </c>
      <c r="O22" s="2">
        <f ca="1">RANK(X22,$X$6:$X$33,0)</f>
        <v>17</v>
      </c>
      <c r="P22" s="1" t="s">
        <v>67</v>
      </c>
      <c r="Q22" s="1">
        <f>(COUNTIF($D$6:$D$475,P22))</f>
        <v>16</v>
      </c>
      <c r="R22" s="4" cm="1">
        <f t="array" ref="R22">(SUMPRODUCT(($D$6:$D$475=P22)*$F$6:$F$475))/(COUNTIF($D$6:$D$475,P22))</f>
        <v>26.1875</v>
      </c>
      <c r="S22" s="4" cm="1">
        <f t="array" ref="S22">(SUMPRODUCT(($D$6:$D$475=P22)*$G$6:$G$475))/(COUNTIF($D$6:$D$475,P22))</f>
        <v>16.9375</v>
      </c>
      <c r="T22" s="4" cm="1">
        <f t="array" ref="T22">(SUMPRODUCT(($D$6:$D$475=P22)*$H$6:$H$475))/(COUNTIF($D$6:$D$475,P22))</f>
        <v>5</v>
      </c>
      <c r="U22" s="4" cm="1">
        <f t="array" ref="U22">(SUMPRODUCT(($D$6:$D$475=P22)*$I$6:$I$475))/(COUNTIF($D$6:$D$475,P22))</f>
        <v>13.3125</v>
      </c>
      <c r="V22" s="4" cm="1">
        <f t="array" ref="V22">(SUMPRODUCT(($D$6:$D$475=P22)*$J$6:$J$475))/(COUNTIF($D$6:$D$475,P22))</f>
        <v>6.25</v>
      </c>
      <c r="W22" s="4" cm="1">
        <f t="array" ref="W22">(SUMPRODUCT(($D$6:$D$475=P22)*$K$6:$K$475))/(COUNTIF($D$6:$D$475,P22))</f>
        <v>67.6875</v>
      </c>
      <c r="X22" s="5" cm="1">
        <f t="array" aca="1" ref="X22" ca="1">(SUMPRODUCT(($D$6:$D$475=P22)*$L$6:$L$475))/(COUNTIF($D$6:$D$475,P22))</f>
        <v>65.112499999999997</v>
      </c>
    </row>
    <row r="23" spans="1:24" x14ac:dyDescent="0.25">
      <c r="A23" s="2">
        <f ca="1">RANK(L23,$L$6:$L$475,0)</f>
        <v>18</v>
      </c>
      <c r="B23" s="29" t="s">
        <v>108</v>
      </c>
      <c r="C23" s="18">
        <v>43889</v>
      </c>
      <c r="D23" s="1" t="s">
        <v>69</v>
      </c>
      <c r="E23" s="1" t="s">
        <v>22</v>
      </c>
      <c r="F23" s="1">
        <v>32</v>
      </c>
      <c r="G23" s="1">
        <v>24</v>
      </c>
      <c r="H23" s="1">
        <v>7</v>
      </c>
      <c r="I23" s="1">
        <v>15</v>
      </c>
      <c r="J23" s="1">
        <v>8</v>
      </c>
      <c r="K23" s="1">
        <v>86</v>
      </c>
      <c r="L23" s="5">
        <f ca="1">K23-(ROUNDDOWN((($G$1-C23)/365),1))</f>
        <v>79.400000000000006</v>
      </c>
      <c r="O23" s="2">
        <f ca="1">RANK(X23,$X$6:$X$33,0)</f>
        <v>18</v>
      </c>
      <c r="P23" s="1" t="s">
        <v>309</v>
      </c>
      <c r="Q23" s="1">
        <f>(COUNTIF($D$6:$D$475,P23))</f>
        <v>7</v>
      </c>
      <c r="R23" s="4" cm="1">
        <f t="array" ref="R23">(SUMPRODUCT(($D$6:$D$475=P23)*$F$6:$F$475))/(COUNTIF($D$6:$D$475,P23))</f>
        <v>27.428571428571427</v>
      </c>
      <c r="S23" s="4" cm="1">
        <f t="array" ref="S23">(SUMPRODUCT(($D$6:$D$475=P23)*$G$6:$G$475))/(COUNTIF($D$6:$D$475,P23))</f>
        <v>17.714285714285715</v>
      </c>
      <c r="T23" s="4" cm="1">
        <f t="array" ref="T23">(SUMPRODUCT(($D$6:$D$475=P23)*$H$6:$H$475))/(COUNTIF($D$6:$D$475,P23))</f>
        <v>5.5714285714285712</v>
      </c>
      <c r="U23" s="4" cm="1">
        <f t="array" ref="U23">(SUMPRODUCT(($D$6:$D$475=P23)*$I$6:$I$475))/(COUNTIF($D$6:$D$475,P23))</f>
        <v>10.857142857142858</v>
      </c>
      <c r="V23" s="4" cm="1">
        <f t="array" ref="V23">(SUMPRODUCT(($D$6:$D$475=P23)*$J$6:$J$475))/(COUNTIF($D$6:$D$475,P23))</f>
        <v>5.5714285714285712</v>
      </c>
      <c r="W23" s="4" cm="1">
        <f t="array" ref="W23">(SUMPRODUCT(($D$6:$D$475=P23)*$K$6:$K$475))/(COUNTIF($D$6:$D$475,P23))</f>
        <v>67.142857142857139</v>
      </c>
      <c r="X23" s="5" cm="1">
        <f t="array" aca="1" ref="X23" ca="1">(SUMPRODUCT(($D$6:$D$475=P23)*$L$6:$L$475))/(COUNTIF($D$6:$D$475,P23))</f>
        <v>65.099999999999994</v>
      </c>
    </row>
    <row r="24" spans="1:24" x14ac:dyDescent="0.25">
      <c r="A24" s="2">
        <f ca="1">RANK(L24,$L$6:$L$475,0)</f>
        <v>19</v>
      </c>
      <c r="B24" s="1" t="s">
        <v>482</v>
      </c>
      <c r="C24" s="18">
        <v>46033</v>
      </c>
      <c r="D24" s="1" t="s">
        <v>483</v>
      </c>
      <c r="E24" s="1" t="s">
        <v>22</v>
      </c>
      <c r="F24" s="1">
        <v>28</v>
      </c>
      <c r="G24" s="1">
        <v>24</v>
      </c>
      <c r="H24" s="1">
        <v>7</v>
      </c>
      <c r="I24" s="1">
        <v>15</v>
      </c>
      <c r="J24" s="1">
        <v>6</v>
      </c>
      <c r="K24" s="1">
        <v>80</v>
      </c>
      <c r="L24" s="5">
        <f ca="1">K24-(ROUNDDOWN((($G$1-C24)/365),1))</f>
        <v>79.3</v>
      </c>
      <c r="O24" s="2">
        <f ca="1">RANK(X24,$X$6:$X$33,0)</f>
        <v>19</v>
      </c>
      <c r="P24" s="1" t="s">
        <v>74</v>
      </c>
      <c r="Q24" s="1">
        <f>(COUNTIF($D$6:$D$475,P24))</f>
        <v>32</v>
      </c>
      <c r="R24" s="4" cm="1">
        <f t="array" ref="R24">(SUMPRODUCT(($D$6:$D$475=P24)*$F$6:$F$475))/(COUNTIF($D$6:$D$475,P24))</f>
        <v>26.65625</v>
      </c>
      <c r="S24" s="4" cm="1">
        <f t="array" ref="S24">(SUMPRODUCT(($D$6:$D$475=P24)*$G$6:$G$475))/(COUNTIF($D$6:$D$475,P24))</f>
        <v>17.71875</v>
      </c>
      <c r="T24" s="4" cm="1">
        <f t="array" ref="T24">(SUMPRODUCT(($D$6:$D$475=P24)*$H$6:$H$475))/(COUNTIF($D$6:$D$475,P24))</f>
        <v>5.46875</v>
      </c>
      <c r="U24" s="4" cm="1">
        <f t="array" ref="U24">(SUMPRODUCT(($D$6:$D$475=P24)*$I$6:$I$475))/(COUNTIF($D$6:$D$475,P24))</f>
        <v>12.90625</v>
      </c>
      <c r="V24" s="4" cm="1">
        <f t="array" ref="V24">(SUMPRODUCT(($D$6:$D$475=P24)*$J$6:$J$475))/(COUNTIF($D$6:$D$475,P24))</f>
        <v>5.5625</v>
      </c>
      <c r="W24" s="4" cm="1">
        <f t="array" ref="W24">(SUMPRODUCT(($D$6:$D$475=P24)*$K$6:$K$475))/(COUNTIF($D$6:$D$475,P24))</f>
        <v>68.3125</v>
      </c>
      <c r="X24" s="5" cm="1">
        <f t="array" aca="1" ref="X24" ca="1">(SUMPRODUCT(($D$6:$D$475=P24)*$L$6:$L$475))/(COUNTIF($D$6:$D$475,P24))</f>
        <v>65.040625000000006</v>
      </c>
    </row>
    <row r="25" spans="1:24" x14ac:dyDescent="0.25">
      <c r="A25" s="2">
        <f ca="1">RANK(L25,$L$6:$L$475,0)</f>
        <v>20</v>
      </c>
      <c r="B25" s="1" t="s">
        <v>392</v>
      </c>
      <c r="C25" s="18">
        <v>45641</v>
      </c>
      <c r="D25" s="1" t="s">
        <v>368</v>
      </c>
      <c r="E25" s="1" t="s">
        <v>22</v>
      </c>
      <c r="F25" s="1">
        <v>28</v>
      </c>
      <c r="G25" s="1">
        <v>24</v>
      </c>
      <c r="H25" s="1">
        <v>6</v>
      </c>
      <c r="I25" s="1">
        <v>15</v>
      </c>
      <c r="J25" s="1">
        <v>8</v>
      </c>
      <c r="K25" s="1">
        <v>81</v>
      </c>
      <c r="L25" s="5">
        <f ca="1">K25-(ROUNDDOWN((($G$1-C25)/365),1))</f>
        <v>79.2</v>
      </c>
      <c r="O25" s="2">
        <f ca="1">RANK(X25,$X$6:$X$33,0)</f>
        <v>20</v>
      </c>
      <c r="P25" s="1" t="s">
        <v>154</v>
      </c>
      <c r="Q25" s="1">
        <f>(COUNTIF($D$6:$D$475,P25))</f>
        <v>16</v>
      </c>
      <c r="R25" s="4" cm="1">
        <f t="array" ref="R25">(SUMPRODUCT(($D$6:$D$475=P25)*$F$6:$F$475))/(COUNTIF($D$6:$D$475,P25))</f>
        <v>26.8125</v>
      </c>
      <c r="S25" s="4" cm="1">
        <f t="array" ref="S25">(SUMPRODUCT(($D$6:$D$475=P25)*$G$6:$G$475))/(COUNTIF($D$6:$D$475,P25))</f>
        <v>17.0625</v>
      </c>
      <c r="T25" s="4" cm="1">
        <f t="array" ref="T25">(SUMPRODUCT(($D$6:$D$475=P25)*$H$6:$H$475))/(COUNTIF($D$6:$D$475,P25))</f>
        <v>5.8125</v>
      </c>
      <c r="U25" s="4" cm="1">
        <f t="array" ref="U25">(SUMPRODUCT(($D$6:$D$475=P25)*$I$6:$I$475))/(COUNTIF($D$6:$D$475,P25))</f>
        <v>12.75</v>
      </c>
      <c r="V25" s="4" cm="1">
        <f t="array" ref="V25">(SUMPRODUCT(($D$6:$D$475=P25)*$J$6:$J$475))/(COUNTIF($D$6:$D$475,P25))</f>
        <v>6</v>
      </c>
      <c r="W25" s="4" cm="1">
        <f t="array" ref="W25">(SUMPRODUCT(($D$6:$D$475=P25)*$K$6:$K$475))/(COUNTIF($D$6:$D$475,P25))</f>
        <v>68.4375</v>
      </c>
      <c r="X25" s="5" cm="1">
        <f t="array" aca="1" ref="X25" ca="1">(SUMPRODUCT(($D$6:$D$475=P25)*$L$6:$L$475))/(COUNTIF($D$6:$D$475,P25))</f>
        <v>64.943750000000009</v>
      </c>
    </row>
    <row r="26" spans="1:24" ht="15" customHeight="1" x14ac:dyDescent="0.25">
      <c r="A26" s="2">
        <f ca="1">RANK(L26,$L$6:$L$475,0)</f>
        <v>21</v>
      </c>
      <c r="B26" s="29" t="s">
        <v>239</v>
      </c>
      <c r="C26" s="18">
        <v>44836</v>
      </c>
      <c r="D26" s="1" t="s">
        <v>184</v>
      </c>
      <c r="E26" s="1" t="s">
        <v>22</v>
      </c>
      <c r="F26" s="1">
        <v>32</v>
      </c>
      <c r="G26" s="1">
        <v>20</v>
      </c>
      <c r="H26" s="1">
        <v>7</v>
      </c>
      <c r="I26" s="1">
        <v>17</v>
      </c>
      <c r="J26" s="1">
        <v>7</v>
      </c>
      <c r="K26" s="1">
        <v>83</v>
      </c>
      <c r="L26" s="5">
        <f ca="1">K26-(ROUNDDOWN((($G$1-C26)/365),1))</f>
        <v>79</v>
      </c>
      <c r="O26" s="2">
        <f ca="1">RANK(X26,$X$6:$X$33,0)</f>
        <v>21</v>
      </c>
      <c r="P26" s="1" t="s">
        <v>68</v>
      </c>
      <c r="Q26" s="1">
        <f>(COUNTIF($D$6:$D$475,P26))</f>
        <v>47</v>
      </c>
      <c r="R26" s="4" cm="1">
        <f t="array" ref="R26">(SUMPRODUCT(($D$6:$D$475=P26)*$F$6:$F$475))/(COUNTIF($D$6:$D$475,P26))</f>
        <v>26.702127659574469</v>
      </c>
      <c r="S26" s="4" cm="1">
        <f t="array" ref="S26">(SUMPRODUCT(($D$6:$D$475=P26)*$G$6:$G$475))/(COUNTIF($D$6:$D$475,P26))</f>
        <v>16.893617021276597</v>
      </c>
      <c r="T26" s="4" cm="1">
        <f t="array" ref="T26">(SUMPRODUCT(($D$6:$D$475=P26)*$H$6:$H$475))/(COUNTIF($D$6:$D$475,P26))</f>
        <v>5.7234042553191493</v>
      </c>
      <c r="U26" s="4" cm="1">
        <f t="array" ref="U26">(SUMPRODUCT(($D$6:$D$475=P26)*$I$6:$I$475))/(COUNTIF($D$6:$D$475,P26))</f>
        <v>12.382978723404255</v>
      </c>
      <c r="V26" s="4" cm="1">
        <f t="array" ref="V26">(SUMPRODUCT(($D$6:$D$475=P26)*$J$6:$J$475))/(COUNTIF($D$6:$D$475,P26))</f>
        <v>6.3617021276595747</v>
      </c>
      <c r="W26" s="4" cm="1">
        <f t="array" ref="W26">(SUMPRODUCT(($D$6:$D$475=P26)*$K$6:$K$475))/(COUNTIF($D$6:$D$475,P26))</f>
        <v>68.063829787234042</v>
      </c>
      <c r="X26" s="5" cm="1">
        <f t="array" aca="1" ref="X26" ca="1">(SUMPRODUCT(($D$6:$D$475=P26)*$L$6:$L$475))/(COUNTIF($D$6:$D$475,P26))</f>
        <v>64.461702127659592</v>
      </c>
    </row>
    <row r="27" spans="1:24" x14ac:dyDescent="0.25">
      <c r="A27" s="2">
        <f ca="1">RANK(L27,$L$6:$L$475,0)</f>
        <v>22</v>
      </c>
      <c r="B27" s="29" t="s">
        <v>452</v>
      </c>
      <c r="C27" s="18">
        <v>45879</v>
      </c>
      <c r="D27" s="1" t="s">
        <v>149</v>
      </c>
      <c r="E27" s="1" t="s">
        <v>22</v>
      </c>
      <c r="F27" s="1">
        <v>28</v>
      </c>
      <c r="G27" s="1">
        <v>24</v>
      </c>
      <c r="H27" s="1">
        <v>6</v>
      </c>
      <c r="I27" s="1">
        <v>17</v>
      </c>
      <c r="J27" s="1">
        <v>5</v>
      </c>
      <c r="K27" s="1">
        <v>80</v>
      </c>
      <c r="L27" s="5">
        <f ca="1">K27-(ROUNDDOWN((($G$1-C27)/365),1))</f>
        <v>78.900000000000006</v>
      </c>
      <c r="O27" s="2">
        <f ca="1">RANK(X27,$X$6:$X$33,0)</f>
        <v>22</v>
      </c>
      <c r="P27" s="1" t="s">
        <v>72</v>
      </c>
      <c r="Q27" s="1">
        <f>(COUNTIF($D$6:$D$475,P27))</f>
        <v>30</v>
      </c>
      <c r="R27" s="4" cm="1">
        <f t="array" ref="R27">(SUMPRODUCT(($D$6:$D$475=P27)*$F$6:$F$475))/(COUNTIF($D$6:$D$475,P27))</f>
        <v>26.966666666666665</v>
      </c>
      <c r="S27" s="4" cm="1">
        <f t="array" ref="S27">(SUMPRODUCT(($D$6:$D$475=P27)*$G$6:$G$475))/(COUNTIF($D$6:$D$475,P27))</f>
        <v>16.766666666666666</v>
      </c>
      <c r="T27" s="4" cm="1">
        <f t="array" ref="T27">(SUMPRODUCT(($D$6:$D$475=P27)*$H$6:$H$475))/(COUNTIF($D$6:$D$475,P27))</f>
        <v>5.7666666666666666</v>
      </c>
      <c r="U27" s="4" cm="1">
        <f t="array" ref="U27">(SUMPRODUCT(($D$6:$D$475=P27)*$I$6:$I$475))/(COUNTIF($D$6:$D$475,P27))</f>
        <v>12.366666666666667</v>
      </c>
      <c r="V27" s="4" cm="1">
        <f t="array" ref="V27">(SUMPRODUCT(($D$6:$D$475=P27)*$J$6:$J$475))/(COUNTIF($D$6:$D$475,P27))</f>
        <v>6.2333333333333334</v>
      </c>
      <c r="W27" s="4" cm="1">
        <f t="array" ref="W27">(SUMPRODUCT(($D$6:$D$475=P27)*$K$6:$K$475))/(COUNTIF($D$6:$D$475,P27))</f>
        <v>68.099999999999994</v>
      </c>
      <c r="X27" s="5" cm="1">
        <f t="array" aca="1" ref="X27" ca="1">(SUMPRODUCT(($D$6:$D$475=P27)*$L$6:$L$475))/(COUNTIF($D$6:$D$475,P27))</f>
        <v>64.01666666666668</v>
      </c>
    </row>
    <row r="28" spans="1:24" x14ac:dyDescent="0.25">
      <c r="A28" s="2">
        <f ca="1">RANK(L28,$L$6:$L$475,0)</f>
        <v>23</v>
      </c>
      <c r="B28" s="1" t="s">
        <v>445</v>
      </c>
      <c r="C28" s="18">
        <v>45844</v>
      </c>
      <c r="D28" s="1" t="s">
        <v>66</v>
      </c>
      <c r="E28" s="1" t="s">
        <v>20</v>
      </c>
      <c r="F28" s="1">
        <v>29</v>
      </c>
      <c r="G28" s="1">
        <v>19</v>
      </c>
      <c r="H28" s="1">
        <v>9</v>
      </c>
      <c r="I28" s="1">
        <v>17</v>
      </c>
      <c r="J28" s="1">
        <v>6</v>
      </c>
      <c r="K28" s="1">
        <v>80</v>
      </c>
      <c r="L28" s="5">
        <f ca="1">K28-(ROUNDDOWN((($G$1-C28)/365),1))</f>
        <v>78.8</v>
      </c>
      <c r="O28" s="2">
        <f ca="1">RANK(X28,$X$6:$X$33,0)</f>
        <v>23</v>
      </c>
      <c r="P28" s="1" t="s">
        <v>69</v>
      </c>
      <c r="Q28" s="1">
        <f>(COUNTIF($D$6:$D$475,P28))</f>
        <v>55</v>
      </c>
      <c r="R28" s="4" cm="1">
        <f t="array" ref="R28">(SUMPRODUCT(($D$6:$D$475=P28)*$F$6:$F$475))/(COUNTIF($D$6:$D$475,P28))</f>
        <v>26.672727272727272</v>
      </c>
      <c r="S28" s="4" cm="1">
        <f t="array" ref="S28">(SUMPRODUCT(($D$6:$D$475=P28)*$G$6:$G$475))/(COUNTIF($D$6:$D$475,P28))</f>
        <v>17.381818181818183</v>
      </c>
      <c r="T28" s="4" cm="1">
        <f t="array" ref="T28">(SUMPRODUCT(($D$6:$D$475=P28)*$H$6:$H$475))/(COUNTIF($D$6:$D$475,P28))</f>
        <v>5.3090909090909095</v>
      </c>
      <c r="U28" s="4" cm="1">
        <f t="array" ref="U28">(SUMPRODUCT(($D$6:$D$475=P28)*$I$6:$I$475))/(COUNTIF($D$6:$D$475,P28))</f>
        <v>12.290909090909091</v>
      </c>
      <c r="V28" s="4" cm="1">
        <f t="array" ref="V28">(SUMPRODUCT(($D$6:$D$475=P28)*$J$6:$J$475))/(COUNTIF($D$6:$D$475,P28))</f>
        <v>6.0909090909090908</v>
      </c>
      <c r="W28" s="4" cm="1">
        <f t="array" ref="W28">(SUMPRODUCT(($D$6:$D$475=P28)*$K$6:$K$475))/(COUNTIF($D$6:$D$475,P28))</f>
        <v>67.74545454545455</v>
      </c>
      <c r="X28" s="5" cm="1">
        <f t="array" aca="1" ref="X28" ca="1">(SUMPRODUCT(($D$6:$D$475=P28)*$L$6:$L$475))/(COUNTIF($D$6:$D$475,P28))</f>
        <v>63.269090909090913</v>
      </c>
    </row>
    <row r="29" spans="1:24" x14ac:dyDescent="0.25">
      <c r="A29" s="2">
        <f ca="1">RANK(L29,$L$6:$L$475,0)</f>
        <v>24</v>
      </c>
      <c r="B29" s="29" t="s">
        <v>514</v>
      </c>
      <c r="C29" s="18">
        <v>46180</v>
      </c>
      <c r="D29" s="1" t="s">
        <v>149</v>
      </c>
      <c r="E29" s="1" t="s">
        <v>22</v>
      </c>
      <c r="F29" s="1">
        <v>30</v>
      </c>
      <c r="G29" s="1">
        <v>22</v>
      </c>
      <c r="H29" s="1">
        <v>7</v>
      </c>
      <c r="I29" s="1">
        <v>10</v>
      </c>
      <c r="J29" s="1">
        <v>10</v>
      </c>
      <c r="K29" s="1">
        <v>79</v>
      </c>
      <c r="L29" s="5">
        <f ca="1">K29-(ROUNDDOWN((($G$1-C29)/365),1))</f>
        <v>78.7</v>
      </c>
      <c r="O29" s="2">
        <f ca="1">RANK(X29,$X$6:$X$33,0)</f>
        <v>24</v>
      </c>
      <c r="P29" s="1" t="s">
        <v>73</v>
      </c>
      <c r="Q29" s="1">
        <f>(COUNTIF($D$6:$D$475,P29))</f>
        <v>19</v>
      </c>
      <c r="R29" s="4" cm="1">
        <f t="array" ref="R29">(SUMPRODUCT(($D$6:$D$475=P29)*$F$6:$F$475))/(COUNTIF($D$6:$D$475,P29))</f>
        <v>25.631578947368421</v>
      </c>
      <c r="S29" s="4" cm="1">
        <f t="array" ref="S29">(SUMPRODUCT(($D$6:$D$475=P29)*$G$6:$G$475))/(COUNTIF($D$6:$D$475,P29))</f>
        <v>17.578947368421051</v>
      </c>
      <c r="T29" s="4" cm="1">
        <f t="array" ref="T29">(SUMPRODUCT(($D$6:$D$475=P29)*$H$6:$H$475))/(COUNTIF($D$6:$D$475,P29))</f>
        <v>5.3157894736842106</v>
      </c>
      <c r="U29" s="4" cm="1">
        <f t="array" ref="U29">(SUMPRODUCT(($D$6:$D$475=P29)*$I$6:$I$475))/(COUNTIF($D$6:$D$475,P29))</f>
        <v>11.473684210526315</v>
      </c>
      <c r="V29" s="4" cm="1">
        <f t="array" ref="V29">(SUMPRODUCT(($D$6:$D$475=P29)*$J$6:$J$475))/(COUNTIF($D$6:$D$475,P29))</f>
        <v>5.6315789473684212</v>
      </c>
      <c r="W29" s="4" cm="1">
        <f t="array" ref="W29">(SUMPRODUCT(($D$6:$D$475=P29)*$K$6:$K$475))/(COUNTIF($D$6:$D$475,P29))</f>
        <v>65.631578947368425</v>
      </c>
      <c r="X29" s="5" cm="1">
        <f t="array" aca="1" ref="X29" ca="1">(SUMPRODUCT(($D$6:$D$475=P29)*$L$6:$L$475))/(COUNTIF($D$6:$D$475,P29))</f>
        <v>62.65263157894735</v>
      </c>
    </row>
    <row r="30" spans="1:24" x14ac:dyDescent="0.25">
      <c r="A30" s="2">
        <f ca="1">RANK(L30,$L$6:$L$475,0)</f>
        <v>24</v>
      </c>
      <c r="B30" s="1" t="s">
        <v>125</v>
      </c>
      <c r="C30" s="18">
        <v>44344</v>
      </c>
      <c r="D30" s="1" t="s">
        <v>71</v>
      </c>
      <c r="E30" s="1" t="s">
        <v>22</v>
      </c>
      <c r="F30" s="1">
        <v>31</v>
      </c>
      <c r="G30" s="1">
        <v>21</v>
      </c>
      <c r="H30" s="1">
        <v>9</v>
      </c>
      <c r="I30" s="1">
        <v>15</v>
      </c>
      <c r="J30" s="1">
        <v>8</v>
      </c>
      <c r="K30" s="1">
        <v>84</v>
      </c>
      <c r="L30" s="5">
        <f ca="1">K30-(ROUNDDOWN((($G$1-C30)/365),1))</f>
        <v>78.7</v>
      </c>
      <c r="O30" s="2">
        <f ca="1">RANK(X30,$X$6:$X$33,0)</f>
        <v>25</v>
      </c>
      <c r="P30" s="1" t="s">
        <v>308</v>
      </c>
      <c r="Q30" s="1">
        <f>(COUNTIF($D$6:$D$475,P30))</f>
        <v>9</v>
      </c>
      <c r="R30" s="4" cm="1">
        <f t="array" ref="R30">(SUMPRODUCT(($D$6:$D$475=P30)*$F$6:$F$475))/(COUNTIF($D$6:$D$475,P30))</f>
        <v>25.444444444444443</v>
      </c>
      <c r="S30" s="4" cm="1">
        <f t="array" ref="S30">(SUMPRODUCT(($D$6:$D$475=P30)*$G$6:$G$475))/(COUNTIF($D$6:$D$475,P30))</f>
        <v>19.222222222222221</v>
      </c>
      <c r="T30" s="4" cm="1">
        <f t="array" ref="T30">(SUMPRODUCT(($D$6:$D$475=P30)*$H$6:$H$475))/(COUNTIF($D$6:$D$475,P30))</f>
        <v>4.4444444444444446</v>
      </c>
      <c r="U30" s="4" cm="1">
        <f t="array" ref="U30">(SUMPRODUCT(($D$6:$D$475=P30)*$I$6:$I$475))/(COUNTIF($D$6:$D$475,P30))</f>
        <v>9.7777777777777786</v>
      </c>
      <c r="V30" s="4" cm="1">
        <f t="array" ref="V30">(SUMPRODUCT(($D$6:$D$475=P30)*$J$6:$J$475))/(COUNTIF($D$6:$D$475,P30))</f>
        <v>5</v>
      </c>
      <c r="W30" s="4" cm="1">
        <f t="array" ref="W30">(SUMPRODUCT(($D$6:$D$475=P30)*$K$6:$K$475))/(COUNTIF($D$6:$D$475,P30))</f>
        <v>63.888888888888886</v>
      </c>
      <c r="X30" s="5" cm="1">
        <f t="array" aca="1" ref="X30" ca="1">(SUMPRODUCT(($D$6:$D$475=P30)*$L$6:$L$475))/(COUNTIF($D$6:$D$475,P30))</f>
        <v>61.5</v>
      </c>
    </row>
    <row r="31" spans="1:24" x14ac:dyDescent="0.25">
      <c r="A31" s="2">
        <f ca="1">RANK(L31,$L$6:$L$475,0)</f>
        <v>26</v>
      </c>
      <c r="B31" s="1" t="s">
        <v>504</v>
      </c>
      <c r="C31" s="18">
        <v>46124</v>
      </c>
      <c r="D31" s="1" t="s">
        <v>483</v>
      </c>
      <c r="E31" s="1" t="s">
        <v>17</v>
      </c>
      <c r="F31" s="1">
        <v>29</v>
      </c>
      <c r="G31" s="1">
        <v>24</v>
      </c>
      <c r="H31" s="1">
        <v>7</v>
      </c>
      <c r="I31" s="1">
        <v>13</v>
      </c>
      <c r="J31" s="1">
        <v>6</v>
      </c>
      <c r="K31" s="1">
        <v>79</v>
      </c>
      <c r="L31" s="5">
        <f ca="1">K31-(ROUNDDOWN((($G$1-C31)/365),1))</f>
        <v>78.599999999999994</v>
      </c>
      <c r="O31" s="2">
        <f ca="1">RANK(X31,$X$6:$X$33,0)</f>
        <v>26</v>
      </c>
      <c r="P31" s="1" t="s">
        <v>469</v>
      </c>
      <c r="Q31" s="1">
        <f>(COUNTIF($D$6:$D$475,P31))</f>
        <v>1</v>
      </c>
      <c r="R31" s="4" cm="1">
        <f t="array" ref="R31">(SUMPRODUCT(($D$6:$D$475=P31)*$F$6:$F$475))/(COUNTIF($D$6:$D$475,P31))</f>
        <v>25</v>
      </c>
      <c r="S31" s="4" cm="1">
        <f t="array" ref="S31">(SUMPRODUCT(($D$6:$D$475=P31)*$G$6:$G$475))/(COUNTIF($D$6:$D$475,P31))</f>
        <v>15</v>
      </c>
      <c r="T31" s="4" cm="1">
        <f t="array" ref="T31">(SUMPRODUCT(($D$6:$D$475=P31)*$H$6:$H$475))/(COUNTIF($D$6:$D$475,P31))</f>
        <v>4</v>
      </c>
      <c r="U31" s="4" cm="1">
        <f t="array" ref="U31">(SUMPRODUCT(($D$6:$D$475=P31)*$I$6:$I$475))/(COUNTIF($D$6:$D$475,P31))</f>
        <v>8</v>
      </c>
      <c r="V31" s="4" cm="1">
        <f t="array" ref="V31">(SUMPRODUCT(($D$6:$D$475=P31)*$J$6:$J$475))/(COUNTIF($D$6:$D$475,P31))</f>
        <v>3</v>
      </c>
      <c r="W31" s="4" cm="1">
        <f t="array" ref="W31">(SUMPRODUCT(($D$6:$D$475=P31)*$K$6:$K$475))/(COUNTIF($D$6:$D$475,P31))</f>
        <v>55</v>
      </c>
      <c r="X31" s="5" cm="1">
        <f t="array" aca="1" ref="X31" ca="1">(SUMPRODUCT(($D$6:$D$475=P31)*$L$6:$L$475))/(COUNTIF($D$6:$D$475,P31))</f>
        <v>53.7</v>
      </c>
    </row>
    <row r="32" spans="1:24" x14ac:dyDescent="0.25">
      <c r="A32" s="2">
        <f ca="1">RANK(L32,$L$6:$L$475,0)</f>
        <v>27</v>
      </c>
      <c r="B32" s="1" t="s">
        <v>413</v>
      </c>
      <c r="C32" s="18">
        <v>45718</v>
      </c>
      <c r="D32" s="1" t="s">
        <v>378</v>
      </c>
      <c r="E32" s="1" t="s">
        <v>22</v>
      </c>
      <c r="F32" s="1">
        <v>29</v>
      </c>
      <c r="G32" s="1">
        <v>23</v>
      </c>
      <c r="H32" s="1">
        <v>7</v>
      </c>
      <c r="I32" s="1">
        <v>15</v>
      </c>
      <c r="J32" s="1">
        <v>6</v>
      </c>
      <c r="K32" s="1">
        <v>80</v>
      </c>
      <c r="L32" s="5">
        <f ca="1">K32-(ROUNDDOWN((($G$1-C32)/365),1))</f>
        <v>78.5</v>
      </c>
      <c r="O32" s="2">
        <f ca="1">RANK(X32,$X$6:$X$33,0)</f>
        <v>27</v>
      </c>
      <c r="P32" s="1" t="s">
        <v>75</v>
      </c>
      <c r="Q32" s="1">
        <f>(COUNTIF($D$6:$D$475,P32))</f>
        <v>8</v>
      </c>
      <c r="R32" s="4" cm="1">
        <f t="array" ref="R32">(SUMPRODUCT(($D$6:$D$475=P32)*$F$6:$F$475))/(COUNTIF($D$6:$D$475,P32))</f>
        <v>22.5</v>
      </c>
      <c r="S32" s="4" cm="1">
        <f t="array" ref="S32">(SUMPRODUCT(($D$6:$D$475=P32)*$G$6:$G$475))/(COUNTIF($D$6:$D$475,P32))</f>
        <v>15.125</v>
      </c>
      <c r="T32" s="4" cm="1">
        <f t="array" ref="T32">(SUMPRODUCT(($D$6:$D$475=P32)*$H$6:$H$475))/(COUNTIF($D$6:$D$475,P32))</f>
        <v>4.25</v>
      </c>
      <c r="U32" s="4" cm="1">
        <f t="array" ref="U32">(SUMPRODUCT(($D$6:$D$475=P32)*$I$6:$I$475))/(COUNTIF($D$6:$D$475,P32))</f>
        <v>8</v>
      </c>
      <c r="V32" s="4" cm="1">
        <f t="array" ref="V32">(SUMPRODUCT(($D$6:$D$475=P32)*$J$6:$J$475))/(COUNTIF($D$6:$D$475,P32))</f>
        <v>4.375</v>
      </c>
      <c r="W32" s="4" cm="1">
        <f t="array" ref="W32">(SUMPRODUCT(($D$6:$D$475=P32)*$K$6:$K$475))/(COUNTIF($D$6:$D$475,P32))</f>
        <v>54.25</v>
      </c>
      <c r="X32" s="5" cm="1">
        <f t="array" aca="1" ref="X32" ca="1">(SUMPRODUCT(($D$6:$D$475=P32)*$L$6:$L$475))/(COUNTIF($D$6:$D$475,P32))</f>
        <v>51.487500000000011</v>
      </c>
    </row>
    <row r="33" spans="1:24" x14ac:dyDescent="0.25">
      <c r="A33" s="2">
        <f ca="1">RANK(L33,$L$6:$L$475,0)</f>
        <v>28</v>
      </c>
      <c r="B33" s="29" t="s">
        <v>403</v>
      </c>
      <c r="C33" s="18">
        <v>45669</v>
      </c>
      <c r="D33" s="1" t="s">
        <v>71</v>
      </c>
      <c r="E33" s="1" t="s">
        <v>17</v>
      </c>
      <c r="F33" s="1">
        <v>31</v>
      </c>
      <c r="G33" s="1">
        <v>18</v>
      </c>
      <c r="H33" s="1">
        <v>8</v>
      </c>
      <c r="I33" s="1">
        <v>14</v>
      </c>
      <c r="J33" s="1">
        <v>9</v>
      </c>
      <c r="K33" s="1">
        <v>80</v>
      </c>
      <c r="L33" s="5">
        <f ca="1">K33-(ROUNDDOWN((($G$1-C33)/365),1))</f>
        <v>78.3</v>
      </c>
      <c r="O33" s="6">
        <f ca="1">RANK(X33,$X$6:$X$33,0)</f>
        <v>28</v>
      </c>
      <c r="P33" s="7" t="s">
        <v>262</v>
      </c>
      <c r="Q33" s="7">
        <f>(COUNTIF($D$6:$D$475,P33))</f>
        <v>2</v>
      </c>
      <c r="R33" s="8" cm="1">
        <f t="array" ref="R33">(SUMPRODUCT(($D$6:$D$475=P33)*$F$6:$F$475))/(COUNTIF($D$6:$D$475,P33))</f>
        <v>21.5</v>
      </c>
      <c r="S33" s="8" cm="1">
        <f t="array" ref="S33">(SUMPRODUCT(($D$6:$D$475=P33)*$G$6:$G$475))/(COUNTIF($D$6:$D$475,P33))</f>
        <v>16.5</v>
      </c>
      <c r="T33" s="8" cm="1">
        <f t="array" ref="T33">(SUMPRODUCT(($D$6:$D$475=P33)*$H$6:$H$475))/(COUNTIF($D$6:$D$475,P33))</f>
        <v>3</v>
      </c>
      <c r="U33" s="8" cm="1">
        <f t="array" ref="U33">(SUMPRODUCT(($D$6:$D$475=P33)*$I$6:$I$475))/(COUNTIF($D$6:$D$475,P33))</f>
        <v>8</v>
      </c>
      <c r="V33" s="8" cm="1">
        <f t="array" ref="V33">(SUMPRODUCT(($D$6:$D$475=P33)*$J$6:$J$475))/(COUNTIF($D$6:$D$475,P33))</f>
        <v>4.5</v>
      </c>
      <c r="W33" s="8" cm="1">
        <f t="array" ref="W33">(SUMPRODUCT(($D$6:$D$475=P33)*$K$6:$K$475))/(COUNTIF($D$6:$D$475,P33))</f>
        <v>53.5</v>
      </c>
      <c r="X33" s="9" cm="1">
        <f t="array" aca="1" ref="X33" ca="1">(SUMPRODUCT(($D$6:$D$475=P33)*$L$6:$L$475))/(COUNTIF($D$6:$D$475,P33))</f>
        <v>51</v>
      </c>
    </row>
    <row r="34" spans="1:24" ht="15" customHeight="1" x14ac:dyDescent="0.25">
      <c r="A34" s="2">
        <f ca="1">RANK(L34,$L$6:$L$475,0)</f>
        <v>29</v>
      </c>
      <c r="B34" s="29" t="s">
        <v>384</v>
      </c>
      <c r="C34" s="18">
        <v>45606</v>
      </c>
      <c r="D34" s="1" t="s">
        <v>377</v>
      </c>
      <c r="E34" s="1" t="s">
        <v>22</v>
      </c>
      <c r="F34" s="1">
        <v>30</v>
      </c>
      <c r="G34" s="1">
        <v>21</v>
      </c>
      <c r="H34" s="1">
        <v>8</v>
      </c>
      <c r="I34" s="1">
        <v>15</v>
      </c>
      <c r="J34" s="1">
        <v>6</v>
      </c>
      <c r="K34" s="1">
        <v>80</v>
      </c>
      <c r="L34" s="5">
        <f ca="1">K34-(ROUNDDOWN((($G$1-C34)/365),1))</f>
        <v>78.2</v>
      </c>
    </row>
    <row r="35" spans="1:24" x14ac:dyDescent="0.25">
      <c r="A35" s="2">
        <f ca="1">RANK(L35,$L$6:$L$475,0)</f>
        <v>30</v>
      </c>
      <c r="B35" s="1" t="s">
        <v>443</v>
      </c>
      <c r="C35" s="18">
        <v>45844</v>
      </c>
      <c r="D35" s="1" t="s">
        <v>71</v>
      </c>
      <c r="E35" s="1" t="s">
        <v>17</v>
      </c>
      <c r="F35" s="1">
        <v>29</v>
      </c>
      <c r="G35" s="1">
        <v>23</v>
      </c>
      <c r="H35" s="1">
        <v>6</v>
      </c>
      <c r="I35" s="1">
        <v>15</v>
      </c>
      <c r="J35" s="1">
        <v>6</v>
      </c>
      <c r="K35" s="1">
        <v>79</v>
      </c>
      <c r="L35" s="5">
        <f ca="1">K35-(ROUNDDOWN((($G$1-C35)/365),1))</f>
        <v>77.8</v>
      </c>
      <c r="O35" s="30" t="s">
        <v>487</v>
      </c>
      <c r="P35" s="31"/>
      <c r="Q35" s="31"/>
      <c r="R35" s="31"/>
      <c r="S35" s="31"/>
      <c r="T35" s="31"/>
      <c r="U35" s="31"/>
      <c r="V35" s="31"/>
      <c r="W35" s="31"/>
      <c r="X35" s="32"/>
    </row>
    <row r="36" spans="1:24" x14ac:dyDescent="0.25">
      <c r="A36" s="2">
        <f ca="1">RANK(L36,$L$6:$L$475,0)</f>
        <v>31</v>
      </c>
      <c r="B36" s="29" t="s">
        <v>513</v>
      </c>
      <c r="C36" s="18">
        <v>46159</v>
      </c>
      <c r="D36" s="1" t="s">
        <v>483</v>
      </c>
      <c r="E36" s="1" t="s">
        <v>33</v>
      </c>
      <c r="F36" s="1">
        <v>33</v>
      </c>
      <c r="G36" s="1">
        <v>17</v>
      </c>
      <c r="H36" s="1">
        <v>9</v>
      </c>
      <c r="I36" s="1">
        <v>14</v>
      </c>
      <c r="J36" s="1">
        <v>5</v>
      </c>
      <c r="K36" s="1">
        <v>78</v>
      </c>
      <c r="L36" s="5">
        <f ca="1">K36-(ROUNDDOWN((($G$1-C36)/365),1))</f>
        <v>77.7</v>
      </c>
      <c r="O36" s="33"/>
      <c r="P36" s="34"/>
      <c r="Q36" s="34"/>
      <c r="R36" s="34"/>
      <c r="S36" s="34"/>
      <c r="T36" s="34"/>
      <c r="U36" s="34"/>
      <c r="V36" s="34"/>
      <c r="W36" s="34"/>
      <c r="X36" s="35"/>
    </row>
    <row r="37" spans="1:24" x14ac:dyDescent="0.25">
      <c r="A37" s="2">
        <f ca="1">RANK(L37,$L$6:$L$475,0)</f>
        <v>31</v>
      </c>
      <c r="B37" s="29" t="s">
        <v>346</v>
      </c>
      <c r="C37" s="18">
        <v>45424</v>
      </c>
      <c r="D37" s="1" t="s">
        <v>378</v>
      </c>
      <c r="E37" s="1" t="s">
        <v>22</v>
      </c>
      <c r="F37" s="1">
        <v>30</v>
      </c>
      <c r="G37" s="1">
        <v>23</v>
      </c>
      <c r="H37" s="1">
        <v>7</v>
      </c>
      <c r="I37" s="1">
        <v>15</v>
      </c>
      <c r="J37" s="1">
        <v>5</v>
      </c>
      <c r="K37" s="1">
        <v>80</v>
      </c>
      <c r="L37" s="5">
        <f ca="1">K37-(ROUNDDOWN((($G$1-C37)/365),1))</f>
        <v>77.7</v>
      </c>
      <c r="O37" s="33"/>
      <c r="P37" s="34"/>
      <c r="Q37" s="34"/>
      <c r="R37" s="34"/>
      <c r="S37" s="34"/>
      <c r="T37" s="34"/>
      <c r="U37" s="34"/>
      <c r="V37" s="34"/>
      <c r="W37" s="34"/>
      <c r="X37" s="35"/>
    </row>
    <row r="38" spans="1:24" x14ac:dyDescent="0.25">
      <c r="A38" s="2">
        <f ca="1">RANK(L38,$L$6:$L$475,0)</f>
        <v>33</v>
      </c>
      <c r="B38" s="1" t="s">
        <v>278</v>
      </c>
      <c r="C38" s="18">
        <v>45039</v>
      </c>
      <c r="D38" s="1" t="s">
        <v>73</v>
      </c>
      <c r="E38" s="1" t="s">
        <v>33</v>
      </c>
      <c r="F38" s="1">
        <v>31</v>
      </c>
      <c r="G38" s="1">
        <v>23</v>
      </c>
      <c r="H38" s="1">
        <v>8</v>
      </c>
      <c r="I38" s="1">
        <v>11</v>
      </c>
      <c r="J38" s="1">
        <v>8</v>
      </c>
      <c r="K38" s="1">
        <v>81</v>
      </c>
      <c r="L38" s="5">
        <f ca="1">K38-(ROUNDDOWN((($G$1-C38)/365),1))</f>
        <v>77.599999999999994</v>
      </c>
      <c r="O38" s="33"/>
      <c r="P38" s="34"/>
      <c r="Q38" s="34"/>
      <c r="R38" s="34"/>
      <c r="S38" s="34"/>
      <c r="T38" s="34"/>
      <c r="U38" s="34"/>
      <c r="V38" s="34"/>
      <c r="W38" s="34"/>
      <c r="X38" s="35"/>
    </row>
    <row r="39" spans="1:24" x14ac:dyDescent="0.25">
      <c r="A39" s="2">
        <f ca="1">RANK(L39,$L$6:$L$475,0)</f>
        <v>34</v>
      </c>
      <c r="B39" s="29" t="s">
        <v>496</v>
      </c>
      <c r="C39" s="18">
        <v>46096</v>
      </c>
      <c r="D39" s="1" t="s">
        <v>497</v>
      </c>
      <c r="E39" s="1" t="s">
        <v>33</v>
      </c>
      <c r="F39" s="1">
        <v>32</v>
      </c>
      <c r="G39" s="1">
        <v>17</v>
      </c>
      <c r="H39" s="1">
        <v>9</v>
      </c>
      <c r="I39" s="1">
        <v>15</v>
      </c>
      <c r="J39" s="1">
        <v>5</v>
      </c>
      <c r="K39" s="1">
        <v>78</v>
      </c>
      <c r="L39" s="5">
        <f ca="1">K39-(ROUNDDOWN((($G$1-C39)/365),1))</f>
        <v>77.5</v>
      </c>
      <c r="O39" s="33"/>
      <c r="P39" s="34"/>
      <c r="Q39" s="34"/>
      <c r="R39" s="34"/>
      <c r="S39" s="34"/>
      <c r="T39" s="34"/>
      <c r="U39" s="34"/>
      <c r="V39" s="34"/>
      <c r="W39" s="34"/>
      <c r="X39" s="35"/>
    </row>
    <row r="40" spans="1:24" x14ac:dyDescent="0.25">
      <c r="A40" s="2">
        <f ca="1">RANK(L40,$L$6:$L$475,0)</f>
        <v>35</v>
      </c>
      <c r="B40" s="1" t="s">
        <v>88</v>
      </c>
      <c r="C40" s="18">
        <v>44577</v>
      </c>
      <c r="D40" s="1" t="s">
        <v>66</v>
      </c>
      <c r="E40" s="1" t="s">
        <v>33</v>
      </c>
      <c r="F40" s="1">
        <v>28</v>
      </c>
      <c r="G40" s="1">
        <v>23</v>
      </c>
      <c r="H40" s="1">
        <v>8</v>
      </c>
      <c r="I40" s="1">
        <v>15</v>
      </c>
      <c r="J40" s="1">
        <v>8</v>
      </c>
      <c r="K40" s="1">
        <v>82</v>
      </c>
      <c r="L40" s="5">
        <f ca="1">K40-(ROUNDDOWN((($G$1-C40)/365),1))</f>
        <v>77.3</v>
      </c>
      <c r="O40" s="33"/>
      <c r="P40" s="34"/>
      <c r="Q40" s="34"/>
      <c r="R40" s="34"/>
      <c r="S40" s="34"/>
      <c r="T40" s="34"/>
      <c r="U40" s="34"/>
      <c r="V40" s="34"/>
      <c r="W40" s="34"/>
      <c r="X40" s="35"/>
    </row>
    <row r="41" spans="1:24" x14ac:dyDescent="0.25">
      <c r="A41" s="2">
        <f ca="1">RANK(L41,$L$6:$L$475,0)</f>
        <v>36</v>
      </c>
      <c r="B41" s="29" t="s">
        <v>255</v>
      </c>
      <c r="C41" s="18">
        <v>44899</v>
      </c>
      <c r="D41" s="1" t="s">
        <v>67</v>
      </c>
      <c r="E41" s="1" t="s">
        <v>22</v>
      </c>
      <c r="F41" s="1">
        <v>27</v>
      </c>
      <c r="G41" s="1">
        <v>20</v>
      </c>
      <c r="H41" s="1">
        <v>6</v>
      </c>
      <c r="I41" s="1">
        <v>18</v>
      </c>
      <c r="J41" s="1">
        <v>10</v>
      </c>
      <c r="K41" s="1">
        <v>81</v>
      </c>
      <c r="L41" s="5">
        <f ca="1">K41-(ROUNDDOWN((($G$1-C41)/365),1))</f>
        <v>77.2</v>
      </c>
      <c r="O41" s="33"/>
      <c r="P41" s="34"/>
      <c r="Q41" s="34"/>
      <c r="R41" s="34"/>
      <c r="S41" s="34"/>
      <c r="T41" s="34"/>
      <c r="U41" s="34"/>
      <c r="V41" s="34"/>
      <c r="W41" s="34"/>
      <c r="X41" s="35"/>
    </row>
    <row r="42" spans="1:24" x14ac:dyDescent="0.25">
      <c r="A42" s="2">
        <f ca="1">RANK(L42,$L$6:$L$475,0)</f>
        <v>37</v>
      </c>
      <c r="B42" s="1" t="s">
        <v>380</v>
      </c>
      <c r="C42" s="18">
        <v>45578</v>
      </c>
      <c r="D42" s="1" t="s">
        <v>377</v>
      </c>
      <c r="E42" s="1" t="s">
        <v>22</v>
      </c>
      <c r="F42" s="1">
        <v>29</v>
      </c>
      <c r="G42" s="1">
        <v>25</v>
      </c>
      <c r="H42" s="1">
        <v>6</v>
      </c>
      <c r="I42" s="1">
        <v>14</v>
      </c>
      <c r="J42" s="1">
        <v>5</v>
      </c>
      <c r="K42" s="1">
        <v>79</v>
      </c>
      <c r="L42" s="5">
        <f ca="1">K42-(ROUNDDOWN((($G$1-C42)/365),1))</f>
        <v>77.099999999999994</v>
      </c>
      <c r="O42" s="33"/>
      <c r="P42" s="34"/>
      <c r="Q42" s="34"/>
      <c r="R42" s="34"/>
      <c r="S42" s="34"/>
      <c r="T42" s="34"/>
      <c r="U42" s="34"/>
      <c r="V42" s="34"/>
      <c r="W42" s="34"/>
      <c r="X42" s="35"/>
    </row>
    <row r="43" spans="1:24" x14ac:dyDescent="0.25">
      <c r="A43" s="2">
        <f ca="1">RANK(L43,$L$6:$L$475,0)</f>
        <v>37</v>
      </c>
      <c r="B43" s="1" t="s">
        <v>303</v>
      </c>
      <c r="C43" s="18">
        <v>45207</v>
      </c>
      <c r="D43" s="1" t="s">
        <v>149</v>
      </c>
      <c r="E43" s="1" t="s">
        <v>33</v>
      </c>
      <c r="F43" s="1">
        <v>30</v>
      </c>
      <c r="G43" s="1">
        <v>23</v>
      </c>
      <c r="H43" s="1">
        <v>7</v>
      </c>
      <c r="I43" s="1">
        <v>14</v>
      </c>
      <c r="J43" s="1">
        <v>6</v>
      </c>
      <c r="K43" s="1">
        <v>80</v>
      </c>
      <c r="L43" s="5">
        <f ca="1">K43-(ROUNDDOWN((($G$1-C43)/365),1))</f>
        <v>77.099999999999994</v>
      </c>
      <c r="O43" s="33"/>
      <c r="P43" s="34"/>
      <c r="Q43" s="34"/>
      <c r="R43" s="34"/>
      <c r="S43" s="34"/>
      <c r="T43" s="34"/>
      <c r="U43" s="34"/>
      <c r="V43" s="34"/>
      <c r="W43" s="34"/>
      <c r="X43" s="35"/>
    </row>
    <row r="44" spans="1:24" x14ac:dyDescent="0.25">
      <c r="A44" s="2">
        <f ca="1">RANK(L44,$L$6:$L$475,0)</f>
        <v>39</v>
      </c>
      <c r="B44" s="1" t="s">
        <v>375</v>
      </c>
      <c r="C44" s="18">
        <v>45557</v>
      </c>
      <c r="D44" s="1" t="s">
        <v>71</v>
      </c>
      <c r="E44" s="1" t="s">
        <v>22</v>
      </c>
      <c r="F44" s="1">
        <v>30</v>
      </c>
      <c r="G44" s="1">
        <v>19</v>
      </c>
      <c r="H44" s="1">
        <v>7</v>
      </c>
      <c r="I44" s="1">
        <v>16</v>
      </c>
      <c r="J44" s="1">
        <v>7</v>
      </c>
      <c r="K44" s="1">
        <v>79</v>
      </c>
      <c r="L44" s="5">
        <f ca="1">K44-(ROUNDDOWN((($G$1-C44)/365),1))</f>
        <v>77</v>
      </c>
      <c r="O44" s="36"/>
      <c r="P44" s="37"/>
      <c r="Q44" s="37"/>
      <c r="R44" s="37"/>
      <c r="S44" s="37"/>
      <c r="T44" s="37"/>
      <c r="U44" s="37"/>
      <c r="V44" s="37"/>
      <c r="W44" s="37"/>
      <c r="X44" s="38"/>
    </row>
    <row r="45" spans="1:24" x14ac:dyDescent="0.25">
      <c r="A45" s="2">
        <f ca="1">RANK(L45,$L$6:$L$475,0)</f>
        <v>39</v>
      </c>
      <c r="B45" s="29" t="s">
        <v>366</v>
      </c>
      <c r="C45" s="18">
        <v>45536</v>
      </c>
      <c r="D45" s="1" t="s">
        <v>379</v>
      </c>
      <c r="E45" s="1" t="s">
        <v>22</v>
      </c>
      <c r="F45" s="1">
        <v>30</v>
      </c>
      <c r="G45" s="1">
        <v>23</v>
      </c>
      <c r="H45" s="1">
        <v>7</v>
      </c>
      <c r="I45" s="1">
        <v>14</v>
      </c>
      <c r="J45" s="1">
        <v>5</v>
      </c>
      <c r="K45" s="1">
        <v>79</v>
      </c>
      <c r="L45" s="5">
        <f ca="1">K45-(ROUNDDOWN((($G$1-C45)/365),1))</f>
        <v>77</v>
      </c>
    </row>
    <row r="46" spans="1:24" x14ac:dyDescent="0.25">
      <c r="A46" s="2">
        <f ca="1">RANK(L46,$L$6:$L$475,0)</f>
        <v>39</v>
      </c>
      <c r="B46" s="1" t="s">
        <v>532</v>
      </c>
      <c r="C46" s="18">
        <v>46285</v>
      </c>
      <c r="D46" s="1" t="s">
        <v>483</v>
      </c>
      <c r="E46" s="1" t="s">
        <v>20</v>
      </c>
      <c r="F46" s="1">
        <v>30</v>
      </c>
      <c r="G46" s="1">
        <v>22</v>
      </c>
      <c r="H46" s="1">
        <v>7</v>
      </c>
      <c r="I46" s="1">
        <v>12</v>
      </c>
      <c r="J46" s="1">
        <v>6</v>
      </c>
      <c r="K46" s="1">
        <v>77</v>
      </c>
      <c r="L46" s="5">
        <f ca="1">K46-(ROUNDDOWN((($G$1-C46)/365),1))</f>
        <v>77</v>
      </c>
    </row>
    <row r="47" spans="1:24" x14ac:dyDescent="0.25">
      <c r="A47" s="2">
        <f ca="1">RANK(L47,$L$6:$L$475,0)</f>
        <v>42</v>
      </c>
      <c r="B47" s="29" t="s">
        <v>223</v>
      </c>
      <c r="C47" s="18">
        <v>44752</v>
      </c>
      <c r="D47" s="1" t="s">
        <v>71</v>
      </c>
      <c r="E47" s="1" t="s">
        <v>40</v>
      </c>
      <c r="F47" s="1">
        <v>29</v>
      </c>
      <c r="G47" s="1">
        <v>19</v>
      </c>
      <c r="H47" s="1">
        <v>9</v>
      </c>
      <c r="I47" s="1">
        <v>15</v>
      </c>
      <c r="J47" s="1">
        <v>9</v>
      </c>
      <c r="K47" s="1">
        <v>81</v>
      </c>
      <c r="L47" s="5">
        <f ca="1">K47-(ROUNDDOWN((($G$1-C47)/365),1))</f>
        <v>76.8</v>
      </c>
    </row>
    <row r="48" spans="1:24" x14ac:dyDescent="0.25">
      <c r="A48" s="2">
        <f ca="1">RANK(L48,$L$6:$L$475,0)</f>
        <v>43</v>
      </c>
      <c r="B48" s="29" t="s">
        <v>436</v>
      </c>
      <c r="C48" s="18">
        <v>45809</v>
      </c>
      <c r="D48" s="1" t="s">
        <v>71</v>
      </c>
      <c r="E48" s="1" t="s">
        <v>22</v>
      </c>
      <c r="F48" s="1">
        <v>31</v>
      </c>
      <c r="G48" s="1">
        <v>21</v>
      </c>
      <c r="H48" s="1">
        <v>9</v>
      </c>
      <c r="I48" s="1">
        <v>11</v>
      </c>
      <c r="J48" s="1">
        <v>6</v>
      </c>
      <c r="K48" s="1">
        <v>78</v>
      </c>
      <c r="L48" s="5">
        <f ca="1">K48-(ROUNDDOWN((($G$1-C48)/365),1))</f>
        <v>76.7</v>
      </c>
    </row>
    <row r="49" spans="1:12" x14ac:dyDescent="0.25">
      <c r="A49" s="2">
        <f ca="1">RANK(L49,$L$6:$L$475,0)</f>
        <v>44</v>
      </c>
      <c r="B49" s="1" t="s">
        <v>101</v>
      </c>
      <c r="C49" s="18">
        <v>45011</v>
      </c>
      <c r="D49" s="1" t="s">
        <v>69</v>
      </c>
      <c r="E49" s="1" t="s">
        <v>17</v>
      </c>
      <c r="F49" s="1">
        <v>27</v>
      </c>
      <c r="G49" s="1">
        <v>22</v>
      </c>
      <c r="H49" s="1">
        <v>6</v>
      </c>
      <c r="I49" s="1">
        <v>17</v>
      </c>
      <c r="J49" s="1">
        <v>8</v>
      </c>
      <c r="K49" s="1">
        <v>80</v>
      </c>
      <c r="L49" s="5">
        <f ca="1">K49-(ROUNDDOWN((($G$1-C49)/365),1))</f>
        <v>76.5</v>
      </c>
    </row>
    <row r="50" spans="1:12" x14ac:dyDescent="0.25">
      <c r="A50" s="2">
        <f ca="1">RANK(L50,$L$6:$L$475,0)</f>
        <v>44</v>
      </c>
      <c r="B50" s="29" t="s">
        <v>272</v>
      </c>
      <c r="C50" s="18">
        <v>45004</v>
      </c>
      <c r="D50" s="1" t="s">
        <v>236</v>
      </c>
      <c r="E50" s="1" t="s">
        <v>22</v>
      </c>
      <c r="F50" s="1">
        <v>31</v>
      </c>
      <c r="G50" s="1">
        <v>19</v>
      </c>
      <c r="H50" s="1">
        <v>8</v>
      </c>
      <c r="I50" s="1">
        <v>14</v>
      </c>
      <c r="J50" s="1">
        <v>8</v>
      </c>
      <c r="K50" s="1">
        <v>80</v>
      </c>
      <c r="L50" s="5">
        <f ca="1">K50-(ROUNDDOWN((($G$1-C50)/365),1))</f>
        <v>76.5</v>
      </c>
    </row>
    <row r="51" spans="1:12" x14ac:dyDescent="0.25">
      <c r="A51" s="2">
        <f ca="1">RANK(L51,$L$6:$L$475,0)</f>
        <v>46</v>
      </c>
      <c r="B51" s="1" t="s">
        <v>321</v>
      </c>
      <c r="C51" s="18">
        <v>45291</v>
      </c>
      <c r="D51" s="1" t="s">
        <v>307</v>
      </c>
      <c r="E51" s="1" t="s">
        <v>22</v>
      </c>
      <c r="F51" s="1">
        <v>29</v>
      </c>
      <c r="G51" s="1">
        <v>22</v>
      </c>
      <c r="H51" s="1">
        <v>7</v>
      </c>
      <c r="I51" s="1">
        <v>15</v>
      </c>
      <c r="J51" s="1">
        <v>6</v>
      </c>
      <c r="K51" s="1">
        <v>79</v>
      </c>
      <c r="L51" s="5">
        <f ca="1">K51-(ROUNDDOWN((($G$1-C51)/365),1))</f>
        <v>76.3</v>
      </c>
    </row>
    <row r="52" spans="1:12" x14ac:dyDescent="0.25">
      <c r="A52" s="2">
        <f ca="1">RANK(L52,$L$6:$L$475,0)</f>
        <v>47</v>
      </c>
      <c r="B52" s="1" t="s">
        <v>385</v>
      </c>
      <c r="C52" s="18">
        <v>45613</v>
      </c>
      <c r="D52" s="1" t="s">
        <v>378</v>
      </c>
      <c r="E52" s="1" t="s">
        <v>22</v>
      </c>
      <c r="F52" s="1">
        <v>30</v>
      </c>
      <c r="G52" s="1">
        <v>22</v>
      </c>
      <c r="H52" s="1">
        <v>8</v>
      </c>
      <c r="I52" s="1">
        <v>12</v>
      </c>
      <c r="J52" s="1">
        <v>6</v>
      </c>
      <c r="K52" s="1">
        <v>78</v>
      </c>
      <c r="L52" s="5">
        <f ca="1">K52-(ROUNDDOWN((($G$1-C52)/365),1))</f>
        <v>76.2</v>
      </c>
    </row>
    <row r="53" spans="1:12" x14ac:dyDescent="0.25">
      <c r="A53" s="2">
        <f ca="1">RANK(L53,$L$6:$L$475,0)</f>
        <v>48</v>
      </c>
      <c r="B53" s="1" t="s">
        <v>194</v>
      </c>
      <c r="C53" s="18">
        <v>45235</v>
      </c>
      <c r="D53" s="1" t="s">
        <v>236</v>
      </c>
      <c r="E53" s="1" t="s">
        <v>22</v>
      </c>
      <c r="F53" s="1">
        <v>32</v>
      </c>
      <c r="G53" s="1">
        <v>21</v>
      </c>
      <c r="H53" s="1">
        <v>8</v>
      </c>
      <c r="I53" s="1">
        <v>10</v>
      </c>
      <c r="J53" s="1">
        <v>8</v>
      </c>
      <c r="K53" s="1">
        <v>79</v>
      </c>
      <c r="L53" s="5">
        <f ca="1">K53-(ROUNDDOWN((($G$1-C53)/365),1))</f>
        <v>76.099999999999994</v>
      </c>
    </row>
    <row r="54" spans="1:12" x14ac:dyDescent="0.25">
      <c r="A54" s="2">
        <f ca="1">RANK(L54,$L$6:$L$475,0)</f>
        <v>49</v>
      </c>
      <c r="B54" s="29" t="s">
        <v>238</v>
      </c>
      <c r="C54" s="18">
        <v>44822</v>
      </c>
      <c r="D54" s="1" t="s">
        <v>71</v>
      </c>
      <c r="E54" s="1" t="s">
        <v>33</v>
      </c>
      <c r="F54" s="1">
        <v>28</v>
      </c>
      <c r="G54" s="1">
        <v>23</v>
      </c>
      <c r="H54" s="1">
        <v>8</v>
      </c>
      <c r="I54" s="1">
        <v>15</v>
      </c>
      <c r="J54" s="1">
        <v>6</v>
      </c>
      <c r="K54" s="1">
        <v>80</v>
      </c>
      <c r="L54" s="5">
        <f ca="1">K54-(ROUNDDOWN((($G$1-C54)/365),1))</f>
        <v>76</v>
      </c>
    </row>
    <row r="55" spans="1:12" x14ac:dyDescent="0.25">
      <c r="A55" s="2">
        <f ca="1">RANK(L55,$L$6:$L$475,0)</f>
        <v>49</v>
      </c>
      <c r="B55" s="1" t="s">
        <v>536</v>
      </c>
      <c r="C55" s="18">
        <v>46299</v>
      </c>
      <c r="D55" s="1" t="s">
        <v>378</v>
      </c>
      <c r="E55" s="1" t="s">
        <v>17</v>
      </c>
      <c r="F55" s="1">
        <v>29</v>
      </c>
      <c r="G55" s="1">
        <v>22</v>
      </c>
      <c r="H55" s="1">
        <v>5</v>
      </c>
      <c r="I55" s="1">
        <v>14</v>
      </c>
      <c r="J55" s="1">
        <v>6</v>
      </c>
      <c r="K55" s="1">
        <v>76</v>
      </c>
      <c r="L55" s="5">
        <f ca="1">K55-(ROUNDDOWN((($G$1-C55)/365),1))</f>
        <v>76</v>
      </c>
    </row>
    <row r="56" spans="1:12" x14ac:dyDescent="0.25">
      <c r="A56" s="2">
        <f ca="1">RANK(L56,$L$6:$L$475,0)</f>
        <v>51</v>
      </c>
      <c r="B56" s="29" t="s">
        <v>455</v>
      </c>
      <c r="C56" s="18">
        <v>45893</v>
      </c>
      <c r="D56" s="1" t="s">
        <v>377</v>
      </c>
      <c r="E56" s="1" t="s">
        <v>22</v>
      </c>
      <c r="F56" s="1">
        <v>29</v>
      </c>
      <c r="G56" s="1">
        <v>18</v>
      </c>
      <c r="H56" s="1">
        <v>8</v>
      </c>
      <c r="I56" s="1">
        <v>14</v>
      </c>
      <c r="J56" s="1">
        <v>8</v>
      </c>
      <c r="K56" s="1">
        <v>77</v>
      </c>
      <c r="L56" s="5">
        <f ca="1">K56-(ROUNDDOWN((($G$1-C56)/365),1))</f>
        <v>75.900000000000006</v>
      </c>
    </row>
    <row r="57" spans="1:12" x14ac:dyDescent="0.25">
      <c r="A57" s="2">
        <f ca="1">RANK(L57,$L$6:$L$475,0)</f>
        <v>52</v>
      </c>
      <c r="B57" s="1" t="s">
        <v>519</v>
      </c>
      <c r="C57" s="18">
        <v>46215</v>
      </c>
      <c r="D57" s="1" t="s">
        <v>378</v>
      </c>
      <c r="E57" s="1" t="s">
        <v>22</v>
      </c>
      <c r="F57" s="1">
        <v>29</v>
      </c>
      <c r="G57" s="1">
        <v>19</v>
      </c>
      <c r="H57" s="1">
        <v>6</v>
      </c>
      <c r="I57" s="1">
        <v>14</v>
      </c>
      <c r="J57" s="1">
        <v>8</v>
      </c>
      <c r="K57" s="1">
        <v>76</v>
      </c>
      <c r="L57" s="5">
        <f ca="1">K57-(ROUNDDOWN((($G$1-C57)/365),1))</f>
        <v>75.8</v>
      </c>
    </row>
    <row r="58" spans="1:12" x14ac:dyDescent="0.25">
      <c r="A58" s="2">
        <f ca="1">RANK(L58,$L$6:$L$475,0)</f>
        <v>52</v>
      </c>
      <c r="B58" s="1" t="s">
        <v>520</v>
      </c>
      <c r="C58" s="18">
        <v>46215</v>
      </c>
      <c r="D58" s="1" t="s">
        <v>483</v>
      </c>
      <c r="E58" s="1" t="s">
        <v>22</v>
      </c>
      <c r="F58" s="1">
        <v>28</v>
      </c>
      <c r="G58" s="1">
        <v>24</v>
      </c>
      <c r="H58" s="1">
        <v>6</v>
      </c>
      <c r="I58" s="1">
        <v>13</v>
      </c>
      <c r="J58" s="1">
        <v>5</v>
      </c>
      <c r="K58" s="1">
        <v>76</v>
      </c>
      <c r="L58" s="5">
        <f ca="1">K58-(ROUNDDOWN((($G$1-C58)/365),1))</f>
        <v>75.8</v>
      </c>
    </row>
    <row r="59" spans="1:12" x14ac:dyDescent="0.25">
      <c r="A59" s="2">
        <f ca="1">RANK(L59,$L$6:$L$475,0)</f>
        <v>52</v>
      </c>
      <c r="B59" s="1" t="s">
        <v>516</v>
      </c>
      <c r="C59" s="18">
        <v>46201</v>
      </c>
      <c r="D59" s="1" t="s">
        <v>497</v>
      </c>
      <c r="E59" s="1" t="s">
        <v>33</v>
      </c>
      <c r="F59" s="1">
        <v>31</v>
      </c>
      <c r="G59" s="1">
        <v>17</v>
      </c>
      <c r="H59" s="1">
        <v>8</v>
      </c>
      <c r="I59" s="1">
        <v>14</v>
      </c>
      <c r="J59" s="1">
        <v>6</v>
      </c>
      <c r="K59" s="1">
        <v>76</v>
      </c>
      <c r="L59" s="5">
        <f ca="1">K59-(ROUNDDOWN((($G$1-C59)/365),1))</f>
        <v>75.8</v>
      </c>
    </row>
    <row r="60" spans="1:12" x14ac:dyDescent="0.25">
      <c r="A60" s="2">
        <f ca="1">RANK(L60,$L$6:$L$475,0)</f>
        <v>55</v>
      </c>
      <c r="B60" s="1" t="s">
        <v>512</v>
      </c>
      <c r="C60" s="18">
        <v>46152</v>
      </c>
      <c r="D60" s="1" t="s">
        <v>483</v>
      </c>
      <c r="E60" s="1" t="s">
        <v>20</v>
      </c>
      <c r="F60" s="1">
        <v>30</v>
      </c>
      <c r="G60" s="1">
        <v>17</v>
      </c>
      <c r="H60" s="1">
        <v>8</v>
      </c>
      <c r="I60" s="1">
        <v>14</v>
      </c>
      <c r="J60" s="1">
        <v>7</v>
      </c>
      <c r="K60" s="1">
        <v>76</v>
      </c>
      <c r="L60" s="5">
        <f ca="1">K60-(ROUNDDOWN((($G$1-C60)/365),1))</f>
        <v>75.599999999999994</v>
      </c>
    </row>
    <row r="61" spans="1:12" x14ac:dyDescent="0.25">
      <c r="A61" s="2">
        <f ca="1">RANK(L61,$L$6:$L$475,0)</f>
        <v>55</v>
      </c>
      <c r="B61" s="1" t="s">
        <v>508</v>
      </c>
      <c r="C61" s="18">
        <v>46138</v>
      </c>
      <c r="D61" s="1" t="s">
        <v>483</v>
      </c>
      <c r="E61" s="1" t="s">
        <v>22</v>
      </c>
      <c r="F61" s="1">
        <v>29</v>
      </c>
      <c r="G61" s="1">
        <v>22</v>
      </c>
      <c r="H61" s="1">
        <v>7</v>
      </c>
      <c r="I61" s="1">
        <v>13</v>
      </c>
      <c r="J61" s="1">
        <v>5</v>
      </c>
      <c r="K61" s="1">
        <v>76</v>
      </c>
      <c r="L61" s="5">
        <f ca="1">K61-(ROUNDDOWN((($G$1-C61)/365),1))</f>
        <v>75.599999999999994</v>
      </c>
    </row>
    <row r="62" spans="1:12" x14ac:dyDescent="0.25">
      <c r="A62" s="2">
        <f ca="1">RANK(L62,$L$6:$L$475,0)</f>
        <v>55</v>
      </c>
      <c r="B62" s="1" t="s">
        <v>510</v>
      </c>
      <c r="C62" s="18">
        <v>46138</v>
      </c>
      <c r="D62" s="1" t="s">
        <v>377</v>
      </c>
      <c r="E62" s="1" t="s">
        <v>22</v>
      </c>
      <c r="F62" s="1">
        <v>29</v>
      </c>
      <c r="G62" s="1">
        <v>23</v>
      </c>
      <c r="H62" s="1">
        <v>7</v>
      </c>
      <c r="I62" s="1">
        <v>10</v>
      </c>
      <c r="J62" s="1">
        <v>7</v>
      </c>
      <c r="K62" s="1">
        <v>76</v>
      </c>
      <c r="L62" s="5">
        <f ca="1">K62-(ROUNDDOWN((($G$1-C62)/365),1))</f>
        <v>75.599999999999994</v>
      </c>
    </row>
    <row r="63" spans="1:12" x14ac:dyDescent="0.25">
      <c r="A63" s="2">
        <f ca="1">RANK(L63,$L$6:$L$475,0)</f>
        <v>58</v>
      </c>
      <c r="B63" s="29" t="s">
        <v>495</v>
      </c>
      <c r="C63" s="18">
        <v>46082</v>
      </c>
      <c r="D63" s="1" t="s">
        <v>266</v>
      </c>
      <c r="E63" s="1" t="s">
        <v>17</v>
      </c>
      <c r="F63" s="1">
        <v>30</v>
      </c>
      <c r="G63" s="1">
        <v>21</v>
      </c>
      <c r="H63" s="1">
        <v>9</v>
      </c>
      <c r="I63" s="1">
        <v>10</v>
      </c>
      <c r="J63" s="1">
        <v>6</v>
      </c>
      <c r="K63" s="1">
        <v>76</v>
      </c>
      <c r="L63" s="5">
        <f ca="1">K63-(ROUNDDOWN((($G$1-C63)/365),1))</f>
        <v>75.5</v>
      </c>
    </row>
    <row r="64" spans="1:12" x14ac:dyDescent="0.25">
      <c r="A64" s="2">
        <f ca="1">RANK(L64,$L$6:$L$475,0)</f>
        <v>59</v>
      </c>
      <c r="B64" s="1" t="s">
        <v>490</v>
      </c>
      <c r="C64" s="18">
        <v>46061</v>
      </c>
      <c r="D64" s="1" t="s">
        <v>71</v>
      </c>
      <c r="E64" s="1" t="s">
        <v>40</v>
      </c>
      <c r="F64" s="1">
        <v>29</v>
      </c>
      <c r="G64" s="1">
        <v>19</v>
      </c>
      <c r="H64" s="1">
        <v>9</v>
      </c>
      <c r="I64" s="1">
        <v>13</v>
      </c>
      <c r="J64" s="1">
        <v>6</v>
      </c>
      <c r="K64" s="1">
        <v>76</v>
      </c>
      <c r="L64" s="5">
        <f ca="1">K64-(ROUNDDOWN((($G$1-C64)/365),1))</f>
        <v>75.400000000000006</v>
      </c>
    </row>
    <row r="65" spans="1:12" x14ac:dyDescent="0.25">
      <c r="A65" s="2">
        <f ca="1">RANK(L65,$L$6:$L$475,0)</f>
        <v>59</v>
      </c>
      <c r="B65" s="29" t="s">
        <v>265</v>
      </c>
      <c r="C65" s="18">
        <v>45320</v>
      </c>
      <c r="D65" s="1" t="s">
        <v>74</v>
      </c>
      <c r="E65" s="1" t="s">
        <v>17</v>
      </c>
      <c r="F65" s="1">
        <v>28</v>
      </c>
      <c r="G65" s="1">
        <v>22</v>
      </c>
      <c r="H65" s="1">
        <v>5</v>
      </c>
      <c r="I65" s="1">
        <v>16</v>
      </c>
      <c r="J65" s="1">
        <v>7</v>
      </c>
      <c r="K65" s="1">
        <v>78</v>
      </c>
      <c r="L65" s="5">
        <f ca="1">K65-(ROUNDDOWN((($G$1-C65)/365),1))</f>
        <v>75.400000000000006</v>
      </c>
    </row>
    <row r="66" spans="1:12" x14ac:dyDescent="0.25">
      <c r="A66" s="2">
        <f ca="1">RANK(L66,$L$6:$L$475,0)</f>
        <v>61</v>
      </c>
      <c r="B66" s="29" t="s">
        <v>270</v>
      </c>
      <c r="C66" s="18">
        <v>44938</v>
      </c>
      <c r="D66" s="1" t="s">
        <v>68</v>
      </c>
      <c r="E66" s="1" t="s">
        <v>40</v>
      </c>
      <c r="F66" s="1">
        <v>31</v>
      </c>
      <c r="G66" s="1">
        <v>15</v>
      </c>
      <c r="H66" s="1">
        <v>8</v>
      </c>
      <c r="I66" s="1">
        <v>15</v>
      </c>
      <c r="J66" s="1">
        <v>10</v>
      </c>
      <c r="K66" s="1">
        <v>79</v>
      </c>
      <c r="L66" s="5">
        <f ca="1">K66-(ROUNDDOWN((($G$1-C66)/365),1))</f>
        <v>75.3</v>
      </c>
    </row>
    <row r="67" spans="1:12" x14ac:dyDescent="0.25">
      <c r="A67" s="2">
        <f ca="1">RANK(L67,$L$6:$L$475,0)</f>
        <v>61</v>
      </c>
      <c r="B67" s="29" t="s">
        <v>185</v>
      </c>
      <c r="C67" s="18">
        <v>44570</v>
      </c>
      <c r="D67" s="1" t="s">
        <v>184</v>
      </c>
      <c r="E67" s="1" t="s">
        <v>22</v>
      </c>
      <c r="F67" s="1">
        <v>29</v>
      </c>
      <c r="G67" s="1">
        <v>20</v>
      </c>
      <c r="H67" s="1">
        <v>8</v>
      </c>
      <c r="I67" s="1">
        <v>17</v>
      </c>
      <c r="J67" s="1">
        <v>6</v>
      </c>
      <c r="K67" s="1">
        <v>80</v>
      </c>
      <c r="L67" s="5">
        <f ca="1">K67-(ROUNDDOWN((($G$1-C67)/365),1))</f>
        <v>75.3</v>
      </c>
    </row>
    <row r="68" spans="1:12" x14ac:dyDescent="0.25">
      <c r="A68" s="2">
        <f ca="1">RANK(L68,$L$6:$L$475,0)</f>
        <v>63</v>
      </c>
      <c r="B68" s="1" t="s">
        <v>317</v>
      </c>
      <c r="C68" s="18">
        <v>45263</v>
      </c>
      <c r="D68" s="1" t="s">
        <v>379</v>
      </c>
      <c r="E68" s="1" t="s">
        <v>22</v>
      </c>
      <c r="F68" s="1">
        <v>29</v>
      </c>
      <c r="G68" s="1">
        <v>24</v>
      </c>
      <c r="H68" s="1">
        <v>7</v>
      </c>
      <c r="I68" s="1">
        <v>13</v>
      </c>
      <c r="J68" s="1">
        <v>5</v>
      </c>
      <c r="K68" s="1">
        <f>SUM(F68:J68)</f>
        <v>78</v>
      </c>
      <c r="L68" s="5">
        <f ca="1">K68-(ROUNDDOWN((($G$1-C68)/365),1))</f>
        <v>75.2</v>
      </c>
    </row>
    <row r="69" spans="1:12" x14ac:dyDescent="0.25">
      <c r="A69" s="2">
        <f ca="1">RANK(L69,$L$6:$L$475,0)</f>
        <v>63</v>
      </c>
      <c r="B69" s="1" t="s">
        <v>313</v>
      </c>
      <c r="C69" s="18">
        <v>45249</v>
      </c>
      <c r="D69" s="1" t="s">
        <v>74</v>
      </c>
      <c r="E69" s="1" t="s">
        <v>33</v>
      </c>
      <c r="F69" s="1">
        <v>29</v>
      </c>
      <c r="G69" s="1">
        <v>19</v>
      </c>
      <c r="H69" s="1">
        <v>7</v>
      </c>
      <c r="I69" s="1">
        <v>16</v>
      </c>
      <c r="J69" s="1">
        <v>7</v>
      </c>
      <c r="K69" s="1">
        <v>78</v>
      </c>
      <c r="L69" s="5">
        <f ca="1">K69-(ROUNDDOWN((($G$1-C69)/365),1))</f>
        <v>75.2</v>
      </c>
    </row>
    <row r="70" spans="1:12" x14ac:dyDescent="0.25">
      <c r="A70" s="2">
        <f ca="1">RANK(L70,$L$6:$L$475,0)</f>
        <v>63</v>
      </c>
      <c r="B70" s="29" t="s">
        <v>252</v>
      </c>
      <c r="C70" s="18">
        <v>44878</v>
      </c>
      <c r="D70" s="1" t="s">
        <v>69</v>
      </c>
      <c r="E70" s="1" t="s">
        <v>33</v>
      </c>
      <c r="F70" s="1">
        <v>28</v>
      </c>
      <c r="G70" s="1">
        <v>19</v>
      </c>
      <c r="H70" s="1">
        <v>8</v>
      </c>
      <c r="I70" s="1">
        <v>15</v>
      </c>
      <c r="J70" s="1">
        <v>9</v>
      </c>
      <c r="K70" s="1">
        <v>79</v>
      </c>
      <c r="L70" s="5">
        <f ca="1">K70-(ROUNDDOWN((($G$1-C70)/365),1))</f>
        <v>75.2</v>
      </c>
    </row>
    <row r="71" spans="1:12" x14ac:dyDescent="0.25">
      <c r="A71" s="2">
        <f ca="1">RANK(L71,$L$6:$L$475,0)</f>
        <v>66</v>
      </c>
      <c r="B71" s="29" t="s">
        <v>56</v>
      </c>
      <c r="C71" s="18">
        <v>44142</v>
      </c>
      <c r="D71" s="1" t="s">
        <v>67</v>
      </c>
      <c r="E71" s="1" t="s">
        <v>22</v>
      </c>
      <c r="F71" s="1">
        <v>29</v>
      </c>
      <c r="G71" s="1">
        <v>21</v>
      </c>
      <c r="H71" s="1">
        <v>8</v>
      </c>
      <c r="I71" s="1">
        <v>14</v>
      </c>
      <c r="J71" s="1">
        <v>9</v>
      </c>
      <c r="K71" s="1">
        <v>81</v>
      </c>
      <c r="L71" s="5">
        <f ca="1">K71-(ROUNDDOWN((($G$1-C71)/365),1))</f>
        <v>75.099999999999994</v>
      </c>
    </row>
    <row r="72" spans="1:12" x14ac:dyDescent="0.25">
      <c r="A72" s="2">
        <f ca="1">RANK(L72,$L$6:$L$475,0)</f>
        <v>67</v>
      </c>
      <c r="B72" s="1" t="s">
        <v>535</v>
      </c>
      <c r="C72" s="18">
        <v>46299</v>
      </c>
      <c r="D72" s="1" t="s">
        <v>378</v>
      </c>
      <c r="E72" s="1" t="s">
        <v>17</v>
      </c>
      <c r="F72" s="1">
        <v>28</v>
      </c>
      <c r="G72" s="1">
        <v>24</v>
      </c>
      <c r="H72" s="1">
        <v>5</v>
      </c>
      <c r="I72" s="1">
        <v>13</v>
      </c>
      <c r="J72" s="1">
        <v>5</v>
      </c>
      <c r="K72" s="1">
        <v>75</v>
      </c>
      <c r="L72" s="5">
        <f ca="1">K72-(ROUNDDOWN((($G$1-C72)/365),1))</f>
        <v>75</v>
      </c>
    </row>
    <row r="73" spans="1:12" x14ac:dyDescent="0.25">
      <c r="A73" s="2">
        <f ca="1">RANK(L73,$L$6:$L$475,0)</f>
        <v>68</v>
      </c>
      <c r="B73" s="1" t="s">
        <v>454</v>
      </c>
      <c r="C73" s="18">
        <v>45886</v>
      </c>
      <c r="D73" s="1" t="s">
        <v>377</v>
      </c>
      <c r="E73" s="1" t="s">
        <v>22</v>
      </c>
      <c r="F73" s="1">
        <v>30</v>
      </c>
      <c r="G73" s="1">
        <v>22</v>
      </c>
      <c r="H73" s="1">
        <v>6</v>
      </c>
      <c r="I73" s="1">
        <v>13</v>
      </c>
      <c r="J73" s="1">
        <v>5</v>
      </c>
      <c r="K73" s="1">
        <v>76</v>
      </c>
      <c r="L73" s="5">
        <f ca="1">K73-(ROUNDDOWN((($G$1-C73)/365),1))</f>
        <v>74.900000000000006</v>
      </c>
    </row>
    <row r="74" spans="1:12" x14ac:dyDescent="0.25">
      <c r="A74" s="2">
        <f ca="1">RANK(L74,$L$6:$L$475,0)</f>
        <v>68</v>
      </c>
      <c r="B74" s="1" t="s">
        <v>228</v>
      </c>
      <c r="C74" s="18">
        <v>44773</v>
      </c>
      <c r="D74" s="1" t="s">
        <v>68</v>
      </c>
      <c r="E74" s="1" t="s">
        <v>33</v>
      </c>
      <c r="F74" s="1">
        <v>29</v>
      </c>
      <c r="G74" s="1">
        <v>21</v>
      </c>
      <c r="H74" s="1">
        <v>7</v>
      </c>
      <c r="I74" s="1">
        <v>15</v>
      </c>
      <c r="J74" s="1">
        <v>7</v>
      </c>
      <c r="K74" s="1">
        <v>79</v>
      </c>
      <c r="L74" s="5">
        <f ca="1">K74-(ROUNDDOWN((($G$1-C74)/365),1))</f>
        <v>74.900000000000006</v>
      </c>
    </row>
    <row r="75" spans="1:12" x14ac:dyDescent="0.25">
      <c r="A75" s="2">
        <f ca="1">RANK(L75,$L$6:$L$475,0)</f>
        <v>68</v>
      </c>
      <c r="B75" s="1" t="s">
        <v>227</v>
      </c>
      <c r="C75" s="18">
        <v>44773</v>
      </c>
      <c r="D75" s="1" t="s">
        <v>68</v>
      </c>
      <c r="E75" s="1" t="s">
        <v>20</v>
      </c>
      <c r="F75" s="1">
        <v>28</v>
      </c>
      <c r="G75" s="1">
        <v>21</v>
      </c>
      <c r="H75" s="1">
        <v>8</v>
      </c>
      <c r="I75" s="1">
        <v>15</v>
      </c>
      <c r="J75" s="1">
        <v>7</v>
      </c>
      <c r="K75" s="1">
        <v>79</v>
      </c>
      <c r="L75" s="5">
        <f ca="1">K75-(ROUNDDOWN((($G$1-C75)/365),1))</f>
        <v>74.900000000000006</v>
      </c>
    </row>
    <row r="76" spans="1:12" x14ac:dyDescent="0.25">
      <c r="A76" s="2">
        <f ca="1">RANK(L76,$L$6:$L$475,0)</f>
        <v>68</v>
      </c>
      <c r="B76" s="1" t="s">
        <v>523</v>
      </c>
      <c r="C76" s="18">
        <v>46229</v>
      </c>
      <c r="D76" s="1" t="s">
        <v>75</v>
      </c>
      <c r="E76" s="1" t="s">
        <v>22</v>
      </c>
      <c r="F76" s="1">
        <v>32</v>
      </c>
      <c r="G76" s="1">
        <v>21</v>
      </c>
      <c r="H76" s="1">
        <v>7</v>
      </c>
      <c r="I76" s="1">
        <v>10</v>
      </c>
      <c r="J76" s="1">
        <v>5</v>
      </c>
      <c r="K76" s="1">
        <v>75</v>
      </c>
      <c r="L76" s="5">
        <f ca="1">K76-(ROUNDDOWN((($G$1-C76)/365),1))</f>
        <v>74.900000000000006</v>
      </c>
    </row>
    <row r="77" spans="1:12" x14ac:dyDescent="0.25">
      <c r="A77" s="2">
        <f ca="1">RANK(L77,$L$6:$L$475,0)</f>
        <v>72</v>
      </c>
      <c r="B77" s="1" t="s">
        <v>349</v>
      </c>
      <c r="C77" s="18">
        <v>45459</v>
      </c>
      <c r="D77" s="1" t="s">
        <v>236</v>
      </c>
      <c r="E77" s="1" t="s">
        <v>17</v>
      </c>
      <c r="F77" s="1">
        <v>29</v>
      </c>
      <c r="G77" s="1">
        <v>18</v>
      </c>
      <c r="H77" s="1">
        <v>8</v>
      </c>
      <c r="I77" s="1">
        <v>16</v>
      </c>
      <c r="J77" s="1">
        <v>6</v>
      </c>
      <c r="K77" s="1">
        <v>77</v>
      </c>
      <c r="L77" s="5">
        <f ca="1">K77-(ROUNDDOWN((($G$1-C77)/365),1))</f>
        <v>74.7</v>
      </c>
    </row>
    <row r="78" spans="1:12" x14ac:dyDescent="0.25">
      <c r="A78" s="2">
        <f ca="1">RANK(L78,$L$6:$L$475,0)</f>
        <v>72</v>
      </c>
      <c r="B78" s="1" t="s">
        <v>437</v>
      </c>
      <c r="C78" s="18">
        <v>45816</v>
      </c>
      <c r="D78" s="1" t="s">
        <v>378</v>
      </c>
      <c r="E78" s="1" t="s">
        <v>22</v>
      </c>
      <c r="F78" s="1">
        <v>28</v>
      </c>
      <c r="G78" s="1">
        <v>23</v>
      </c>
      <c r="H78" s="1">
        <v>6</v>
      </c>
      <c r="I78" s="1">
        <v>14</v>
      </c>
      <c r="J78" s="1">
        <v>5</v>
      </c>
      <c r="K78" s="1">
        <v>76</v>
      </c>
      <c r="L78" s="5">
        <f ca="1">K78-(ROUNDDOWN((($G$1-C78)/365),1))</f>
        <v>74.7</v>
      </c>
    </row>
    <row r="79" spans="1:12" x14ac:dyDescent="0.25">
      <c r="A79" s="2">
        <f ca="1">RANK(L79,$L$6:$L$475,0)</f>
        <v>72</v>
      </c>
      <c r="B79" s="29" t="s">
        <v>432</v>
      </c>
      <c r="C79" s="18">
        <v>45795</v>
      </c>
      <c r="D79" s="1" t="s">
        <v>378</v>
      </c>
      <c r="E79" s="1" t="s">
        <v>17</v>
      </c>
      <c r="F79" s="1">
        <v>28</v>
      </c>
      <c r="G79" s="1">
        <v>23</v>
      </c>
      <c r="H79" s="1">
        <v>5</v>
      </c>
      <c r="I79" s="1">
        <v>15</v>
      </c>
      <c r="J79" s="1">
        <v>5</v>
      </c>
      <c r="K79" s="1">
        <v>76</v>
      </c>
      <c r="L79" s="5">
        <f ca="1">K79-(ROUNDDOWN((($G$1-C79)/365),1))</f>
        <v>74.7</v>
      </c>
    </row>
    <row r="80" spans="1:12" x14ac:dyDescent="0.25">
      <c r="A80" s="2">
        <f ca="1">RANK(L80,$L$6:$L$475,0)</f>
        <v>75</v>
      </c>
      <c r="B80" s="29" t="s">
        <v>426</v>
      </c>
      <c r="C80" s="18">
        <v>45774</v>
      </c>
      <c r="D80" s="1" t="s">
        <v>470</v>
      </c>
      <c r="E80" s="1" t="s">
        <v>22</v>
      </c>
      <c r="F80" s="1">
        <v>33</v>
      </c>
      <c r="G80" s="1">
        <v>18</v>
      </c>
      <c r="H80" s="1">
        <v>10</v>
      </c>
      <c r="I80" s="1">
        <v>6</v>
      </c>
      <c r="J80" s="1">
        <v>9</v>
      </c>
      <c r="K80" s="1">
        <v>76</v>
      </c>
      <c r="L80" s="5">
        <f ca="1">K80-(ROUNDDOWN((($G$1-C80)/365),1))</f>
        <v>74.599999999999994</v>
      </c>
    </row>
    <row r="81" spans="1:12" x14ac:dyDescent="0.25">
      <c r="A81" s="2">
        <f ca="1">RANK(L81,$L$6:$L$475,0)</f>
        <v>76</v>
      </c>
      <c r="B81" s="1" t="s">
        <v>466</v>
      </c>
      <c r="C81" s="18">
        <v>45963</v>
      </c>
      <c r="D81" s="1" t="s">
        <v>378</v>
      </c>
      <c r="E81" s="1" t="s">
        <v>17</v>
      </c>
      <c r="F81" s="1">
        <v>28</v>
      </c>
      <c r="G81" s="1">
        <v>23</v>
      </c>
      <c r="H81" s="1">
        <v>5</v>
      </c>
      <c r="I81" s="1">
        <v>12</v>
      </c>
      <c r="J81" s="1">
        <v>7</v>
      </c>
      <c r="K81" s="1">
        <v>75</v>
      </c>
      <c r="L81" s="5">
        <f ca="1">K81-(ROUNDDOWN((($G$1-C81)/365),1))</f>
        <v>74.099999999999994</v>
      </c>
    </row>
    <row r="82" spans="1:12" x14ac:dyDescent="0.25">
      <c r="A82" s="2">
        <f ca="1">RANK(L82,$L$6:$L$475,0)</f>
        <v>77</v>
      </c>
      <c r="B82" s="29" t="s">
        <v>300</v>
      </c>
      <c r="C82" s="18">
        <v>45186</v>
      </c>
      <c r="D82" s="1" t="s">
        <v>149</v>
      </c>
      <c r="E82" s="1" t="s">
        <v>22</v>
      </c>
      <c r="F82" s="1">
        <v>30</v>
      </c>
      <c r="G82" s="1">
        <v>19</v>
      </c>
      <c r="H82" s="1">
        <v>9</v>
      </c>
      <c r="I82" s="1">
        <v>14</v>
      </c>
      <c r="J82" s="1">
        <v>5</v>
      </c>
      <c r="K82" s="1">
        <v>77</v>
      </c>
      <c r="L82" s="5">
        <f ca="1">K82-(ROUNDDOWN((($G$1-C82)/365),1))</f>
        <v>74</v>
      </c>
    </row>
    <row r="83" spans="1:12" x14ac:dyDescent="0.25">
      <c r="A83" s="2">
        <f ca="1">RANK(L83,$L$6:$L$475,0)</f>
        <v>77</v>
      </c>
      <c r="B83" s="1" t="s">
        <v>371</v>
      </c>
      <c r="C83" s="18">
        <v>45543</v>
      </c>
      <c r="D83" s="1" t="s">
        <v>66</v>
      </c>
      <c r="E83" s="1" t="s">
        <v>33</v>
      </c>
      <c r="F83" s="1">
        <v>28</v>
      </c>
      <c r="G83" s="1">
        <v>21</v>
      </c>
      <c r="H83" s="1">
        <v>6</v>
      </c>
      <c r="I83" s="1">
        <v>15</v>
      </c>
      <c r="J83" s="1">
        <v>6</v>
      </c>
      <c r="K83" s="1">
        <v>76</v>
      </c>
      <c r="L83" s="5">
        <f ca="1">K83-(ROUNDDOWN((($G$1-C83)/365),1))</f>
        <v>74</v>
      </c>
    </row>
    <row r="84" spans="1:12" x14ac:dyDescent="0.25">
      <c r="A84" s="2">
        <f ca="1">RANK(L84,$L$6:$L$475,0)</f>
        <v>79</v>
      </c>
      <c r="B84" s="29" t="s">
        <v>232</v>
      </c>
      <c r="C84" s="18">
        <v>44794</v>
      </c>
      <c r="D84" s="1" t="s">
        <v>184</v>
      </c>
      <c r="E84" s="1" t="s">
        <v>17</v>
      </c>
      <c r="F84" s="1">
        <v>28</v>
      </c>
      <c r="G84" s="1">
        <v>20</v>
      </c>
      <c r="H84" s="1">
        <v>6</v>
      </c>
      <c r="I84" s="1">
        <v>17</v>
      </c>
      <c r="J84" s="1">
        <v>7</v>
      </c>
      <c r="K84" s="1">
        <v>78</v>
      </c>
      <c r="L84" s="5">
        <f ca="1">K84-(ROUNDDOWN((($G$1-C84)/365),1))</f>
        <v>73.900000000000006</v>
      </c>
    </row>
    <row r="85" spans="1:12" x14ac:dyDescent="0.25">
      <c r="A85" s="2">
        <f ca="1">RANK(L85,$L$6:$L$475,0)</f>
        <v>79</v>
      </c>
      <c r="B85" s="29" t="s">
        <v>358</v>
      </c>
      <c r="C85" s="18">
        <v>45508</v>
      </c>
      <c r="D85" s="1" t="s">
        <v>74</v>
      </c>
      <c r="E85" s="1" t="s">
        <v>20</v>
      </c>
      <c r="F85" s="1">
        <v>29</v>
      </c>
      <c r="G85" s="1">
        <v>16</v>
      </c>
      <c r="H85" s="1">
        <v>8</v>
      </c>
      <c r="I85" s="1">
        <v>17</v>
      </c>
      <c r="J85" s="1">
        <v>6</v>
      </c>
      <c r="K85" s="1">
        <v>76</v>
      </c>
      <c r="L85" s="5">
        <f ca="1">K85-(ROUNDDOWN((($G$1-C85)/365),1))</f>
        <v>73.900000000000006</v>
      </c>
    </row>
    <row r="86" spans="1:12" x14ac:dyDescent="0.25">
      <c r="A86" s="2">
        <f ca="1">RANK(L86,$L$6:$L$475,0)</f>
        <v>79</v>
      </c>
      <c r="B86" s="1" t="s">
        <v>64</v>
      </c>
      <c r="C86" s="18">
        <v>44409</v>
      </c>
      <c r="D86" s="1" t="s">
        <v>69</v>
      </c>
      <c r="E86" s="1" t="s">
        <v>17</v>
      </c>
      <c r="F86" s="1">
        <v>29</v>
      </c>
      <c r="G86" s="1">
        <v>19</v>
      </c>
      <c r="H86" s="1">
        <v>8</v>
      </c>
      <c r="I86" s="1">
        <v>15</v>
      </c>
      <c r="J86" s="1">
        <v>8</v>
      </c>
      <c r="K86" s="1">
        <v>79</v>
      </c>
      <c r="L86" s="5">
        <f ca="1">K86-(ROUNDDOWN((($G$1-C86)/365),1))</f>
        <v>73.900000000000006</v>
      </c>
    </row>
    <row r="87" spans="1:12" x14ac:dyDescent="0.25">
      <c r="A87" s="2">
        <f ca="1">RANK(L87,$L$6:$L$475,0)</f>
        <v>82</v>
      </c>
      <c r="B87" s="1" t="s">
        <v>448</v>
      </c>
      <c r="C87" s="18">
        <v>45858</v>
      </c>
      <c r="D87" s="1" t="s">
        <v>368</v>
      </c>
      <c r="E87" s="1" t="s">
        <v>22</v>
      </c>
      <c r="F87" s="1">
        <v>29</v>
      </c>
      <c r="G87" s="1">
        <v>24</v>
      </c>
      <c r="H87" s="1">
        <v>4</v>
      </c>
      <c r="I87" s="1">
        <v>13</v>
      </c>
      <c r="J87" s="1">
        <v>5</v>
      </c>
      <c r="K87" s="1">
        <v>75</v>
      </c>
      <c r="L87" s="5">
        <f ca="1">K87-(ROUNDDOWN((($G$1-C87)/365),1))</f>
        <v>73.8</v>
      </c>
    </row>
    <row r="88" spans="1:12" x14ac:dyDescent="0.25">
      <c r="A88" s="2">
        <f ca="1">RANK(L88,$L$6:$L$475,0)</f>
        <v>82</v>
      </c>
      <c r="B88" s="29" t="s">
        <v>224</v>
      </c>
      <c r="C88" s="18">
        <v>44752</v>
      </c>
      <c r="D88" s="1" t="s">
        <v>71</v>
      </c>
      <c r="E88" s="1" t="s">
        <v>17</v>
      </c>
      <c r="F88" s="1">
        <v>28</v>
      </c>
      <c r="G88" s="1">
        <v>20</v>
      </c>
      <c r="H88" s="1">
        <v>7</v>
      </c>
      <c r="I88" s="1">
        <v>15</v>
      </c>
      <c r="J88" s="1">
        <v>8</v>
      </c>
      <c r="K88" s="1">
        <v>78</v>
      </c>
      <c r="L88" s="5">
        <f ca="1">K88-(ROUNDDOWN((($G$1-C88)/365),1))</f>
        <v>73.8</v>
      </c>
    </row>
    <row r="89" spans="1:12" x14ac:dyDescent="0.25">
      <c r="A89" s="2">
        <f ca="1">RANK(L89,$L$6:$L$475,0)</f>
        <v>82</v>
      </c>
      <c r="B89" s="1" t="s">
        <v>444</v>
      </c>
      <c r="C89" s="18">
        <v>45844</v>
      </c>
      <c r="D89" s="1" t="s">
        <v>68</v>
      </c>
      <c r="E89" s="1" t="s">
        <v>22</v>
      </c>
      <c r="F89" s="1">
        <v>28</v>
      </c>
      <c r="G89" s="1">
        <v>24</v>
      </c>
      <c r="H89" s="1">
        <v>6</v>
      </c>
      <c r="I89" s="1">
        <v>9</v>
      </c>
      <c r="J89" s="1">
        <v>8</v>
      </c>
      <c r="K89" s="1">
        <v>75</v>
      </c>
      <c r="L89" s="5">
        <f ca="1">K89-(ROUNDDOWN((($G$1-C89)/365),1))</f>
        <v>73.8</v>
      </c>
    </row>
    <row r="90" spans="1:12" x14ac:dyDescent="0.25">
      <c r="A90" s="2">
        <f ca="1">RANK(L90,$L$6:$L$475,0)</f>
        <v>82</v>
      </c>
      <c r="B90" s="29" t="s">
        <v>441</v>
      </c>
      <c r="C90" s="18">
        <v>45836</v>
      </c>
      <c r="D90" s="1" t="s">
        <v>71</v>
      </c>
      <c r="E90" s="1" t="s">
        <v>22</v>
      </c>
      <c r="F90" s="1">
        <v>28</v>
      </c>
      <c r="G90" s="1">
        <v>17</v>
      </c>
      <c r="H90" s="1">
        <v>5</v>
      </c>
      <c r="I90" s="1">
        <v>16</v>
      </c>
      <c r="J90" s="1">
        <v>9</v>
      </c>
      <c r="K90" s="1">
        <v>75</v>
      </c>
      <c r="L90" s="5">
        <f ca="1">K90-(ROUNDDOWN((($G$1-C90)/365),1))</f>
        <v>73.8</v>
      </c>
    </row>
    <row r="91" spans="1:12" x14ac:dyDescent="0.25">
      <c r="A91" s="2">
        <f ca="1">RANK(L91,$L$6:$L$475,0)</f>
        <v>86</v>
      </c>
      <c r="B91" s="29" t="s">
        <v>210</v>
      </c>
      <c r="C91" s="18">
        <v>44696</v>
      </c>
      <c r="D91" s="1" t="s">
        <v>73</v>
      </c>
      <c r="E91" s="1" t="s">
        <v>22</v>
      </c>
      <c r="F91" s="1">
        <v>29</v>
      </c>
      <c r="G91" s="1">
        <v>22</v>
      </c>
      <c r="H91" s="1">
        <v>5</v>
      </c>
      <c r="I91" s="1">
        <v>14</v>
      </c>
      <c r="J91" s="1">
        <v>8</v>
      </c>
      <c r="K91" s="1">
        <v>78</v>
      </c>
      <c r="L91" s="5">
        <f ca="1">K91-(ROUNDDOWN((($G$1-C91)/365),1))</f>
        <v>73.7</v>
      </c>
    </row>
    <row r="92" spans="1:12" x14ac:dyDescent="0.25">
      <c r="A92" s="2">
        <f ca="1">RANK(L92,$L$6:$L$475,0)</f>
        <v>87</v>
      </c>
      <c r="B92" s="1" t="s">
        <v>124</v>
      </c>
      <c r="C92" s="18">
        <v>44325</v>
      </c>
      <c r="D92" s="1" t="s">
        <v>72</v>
      </c>
      <c r="E92" s="1" t="s">
        <v>17</v>
      </c>
      <c r="F92" s="1">
        <v>29</v>
      </c>
      <c r="G92" s="1">
        <v>22</v>
      </c>
      <c r="H92" s="1">
        <v>8</v>
      </c>
      <c r="I92" s="1">
        <v>14</v>
      </c>
      <c r="J92" s="1">
        <v>6</v>
      </c>
      <c r="K92" s="1">
        <v>79</v>
      </c>
      <c r="L92" s="5">
        <f ca="1">K92-(ROUNDDOWN((($G$1-C92)/365),1))</f>
        <v>73.599999999999994</v>
      </c>
    </row>
    <row r="93" spans="1:12" x14ac:dyDescent="0.25">
      <c r="A93" s="2">
        <f ca="1">RANK(L93,$L$6:$L$475,0)</f>
        <v>88</v>
      </c>
      <c r="B93" s="29" t="s">
        <v>137</v>
      </c>
      <c r="C93" s="18">
        <v>45011</v>
      </c>
      <c r="D93" s="1" t="s">
        <v>70</v>
      </c>
      <c r="E93" s="1" t="s">
        <v>17</v>
      </c>
      <c r="F93" s="1">
        <v>30</v>
      </c>
      <c r="G93" s="1">
        <v>17</v>
      </c>
      <c r="H93" s="1">
        <v>8</v>
      </c>
      <c r="I93" s="1">
        <v>16</v>
      </c>
      <c r="J93" s="1">
        <v>6</v>
      </c>
      <c r="K93" s="1">
        <v>77</v>
      </c>
      <c r="L93" s="5">
        <f ca="1">K93-(ROUNDDOWN((($G$1-C93)/365),1))</f>
        <v>73.5</v>
      </c>
    </row>
    <row r="94" spans="1:12" x14ac:dyDescent="0.25">
      <c r="A94" s="2">
        <f ca="1">RANK(L94,$L$6:$L$475,0)</f>
        <v>89</v>
      </c>
      <c r="B94" s="1" t="s">
        <v>494</v>
      </c>
      <c r="C94" s="18">
        <v>46075</v>
      </c>
      <c r="D94" s="1" t="s">
        <v>378</v>
      </c>
      <c r="E94" s="1" t="s">
        <v>17</v>
      </c>
      <c r="F94" s="1">
        <v>29</v>
      </c>
      <c r="G94" s="1">
        <v>19</v>
      </c>
      <c r="H94" s="1">
        <v>7</v>
      </c>
      <c r="I94" s="1">
        <v>14</v>
      </c>
      <c r="J94" s="1">
        <v>5</v>
      </c>
      <c r="K94" s="1">
        <v>74</v>
      </c>
      <c r="L94" s="5">
        <f ca="1">K94-(ROUNDDOWN((($G$1-C94)/365),1))</f>
        <v>73.400000000000006</v>
      </c>
    </row>
    <row r="95" spans="1:12" x14ac:dyDescent="0.25">
      <c r="A95" s="2">
        <f ca="1">RANK(L95,$L$6:$L$475,0)</f>
        <v>89</v>
      </c>
      <c r="B95" s="29" t="s">
        <v>95</v>
      </c>
      <c r="C95" s="18">
        <v>44226</v>
      </c>
      <c r="D95" s="1" t="s">
        <v>74</v>
      </c>
      <c r="E95" s="1" t="s">
        <v>22</v>
      </c>
      <c r="F95" s="1">
        <v>30</v>
      </c>
      <c r="G95" s="1">
        <v>20</v>
      </c>
      <c r="H95" s="1">
        <v>8</v>
      </c>
      <c r="I95" s="1">
        <v>15</v>
      </c>
      <c r="J95" s="1">
        <v>6</v>
      </c>
      <c r="K95" s="1">
        <v>79</v>
      </c>
      <c r="L95" s="5">
        <f ca="1">K95-(ROUNDDOWN((($G$1-C95)/365),1))</f>
        <v>73.400000000000006</v>
      </c>
    </row>
    <row r="96" spans="1:12" x14ac:dyDescent="0.25">
      <c r="A96" s="2">
        <f ca="1">RANK(L96,$L$6:$L$475,0)</f>
        <v>89</v>
      </c>
      <c r="B96" s="29" t="s">
        <v>188</v>
      </c>
      <c r="C96" s="18">
        <v>44584</v>
      </c>
      <c r="D96" s="1" t="s">
        <v>71</v>
      </c>
      <c r="E96" s="1" t="s">
        <v>22</v>
      </c>
      <c r="F96" s="1">
        <v>30</v>
      </c>
      <c r="G96" s="1">
        <v>19</v>
      </c>
      <c r="H96" s="1">
        <v>7</v>
      </c>
      <c r="I96" s="1">
        <v>15</v>
      </c>
      <c r="J96" s="1">
        <v>7</v>
      </c>
      <c r="K96" s="1">
        <v>78</v>
      </c>
      <c r="L96" s="5">
        <f ca="1">K96-(ROUNDDOWN((($G$1-C96)/365),1))</f>
        <v>73.400000000000006</v>
      </c>
    </row>
    <row r="97" spans="1:12" x14ac:dyDescent="0.25">
      <c r="A97" s="2">
        <f ca="1">RANK(L97,$L$6:$L$475,0)</f>
        <v>92</v>
      </c>
      <c r="B97" s="29" t="s">
        <v>484</v>
      </c>
      <c r="C97" s="18">
        <v>46040</v>
      </c>
      <c r="D97" s="1" t="s">
        <v>378</v>
      </c>
      <c r="E97" s="1" t="s">
        <v>17</v>
      </c>
      <c r="F97" s="1">
        <v>29</v>
      </c>
      <c r="G97" s="1">
        <v>23</v>
      </c>
      <c r="H97" s="1">
        <v>5</v>
      </c>
      <c r="I97" s="1">
        <v>12</v>
      </c>
      <c r="J97" s="1">
        <v>5</v>
      </c>
      <c r="K97" s="1">
        <v>74</v>
      </c>
      <c r="L97" s="5">
        <f ca="1">K97-(ROUNDDOWN((($G$1-C97)/365),1))</f>
        <v>73.3</v>
      </c>
    </row>
    <row r="98" spans="1:12" ht="14.25" customHeight="1" x14ac:dyDescent="0.25">
      <c r="A98" s="2">
        <f ca="1">RANK(L98,$L$6:$L$475,0)</f>
        <v>93</v>
      </c>
      <c r="B98" s="1" t="s">
        <v>381</v>
      </c>
      <c r="C98" s="18">
        <v>45578</v>
      </c>
      <c r="D98" s="1" t="s">
        <v>154</v>
      </c>
      <c r="E98" s="1" t="s">
        <v>33</v>
      </c>
      <c r="F98" s="1">
        <v>29</v>
      </c>
      <c r="G98" s="1">
        <v>18</v>
      </c>
      <c r="H98" s="1">
        <v>6</v>
      </c>
      <c r="I98" s="1">
        <v>15</v>
      </c>
      <c r="J98" s="1">
        <v>7</v>
      </c>
      <c r="K98" s="1">
        <v>75</v>
      </c>
      <c r="L98" s="5">
        <f ca="1">K98-(ROUNDDOWN((($G$1-C98)/365),1))</f>
        <v>73.099999999999994</v>
      </c>
    </row>
    <row r="99" spans="1:12" x14ac:dyDescent="0.25">
      <c r="A99" s="2">
        <f ca="1">RANK(L99,$L$6:$L$475,0)</f>
        <v>94</v>
      </c>
      <c r="B99" s="1" t="s">
        <v>459</v>
      </c>
      <c r="C99" s="18">
        <v>45921</v>
      </c>
      <c r="D99" s="1" t="s">
        <v>266</v>
      </c>
      <c r="E99" s="1" t="s">
        <v>17</v>
      </c>
      <c r="F99" s="1">
        <v>29</v>
      </c>
      <c r="G99" s="1">
        <v>19</v>
      </c>
      <c r="H99" s="1">
        <v>7</v>
      </c>
      <c r="I99" s="1">
        <v>13</v>
      </c>
      <c r="J99" s="1">
        <v>6</v>
      </c>
      <c r="K99" s="1">
        <v>74</v>
      </c>
      <c r="L99" s="5">
        <f ca="1">K99-(ROUNDDOWN((($G$1-C99)/365),1))</f>
        <v>73</v>
      </c>
    </row>
    <row r="100" spans="1:12" x14ac:dyDescent="0.25">
      <c r="A100" s="2">
        <f ca="1">RANK(L100,$L$6:$L$475,0)</f>
        <v>94</v>
      </c>
      <c r="B100" s="1" t="s">
        <v>298</v>
      </c>
      <c r="C100" s="18">
        <v>45172</v>
      </c>
      <c r="D100" s="1" t="s">
        <v>69</v>
      </c>
      <c r="E100" s="1" t="s">
        <v>22</v>
      </c>
      <c r="F100" s="1">
        <v>30</v>
      </c>
      <c r="G100" s="1">
        <v>17</v>
      </c>
      <c r="H100" s="1">
        <v>7</v>
      </c>
      <c r="I100" s="1">
        <v>15</v>
      </c>
      <c r="J100" s="1">
        <v>7</v>
      </c>
      <c r="K100" s="1">
        <v>76</v>
      </c>
      <c r="L100" s="5">
        <f ca="1">K100-(ROUNDDOWN((($G$1-C100)/365),1))</f>
        <v>73</v>
      </c>
    </row>
    <row r="101" spans="1:12" x14ac:dyDescent="0.25">
      <c r="A101" s="2">
        <f ca="1">RANK(L101,$L$6:$L$475,0)</f>
        <v>96</v>
      </c>
      <c r="B101" s="1" t="s">
        <v>230</v>
      </c>
      <c r="C101" s="18">
        <v>44787</v>
      </c>
      <c r="D101" s="1" t="s">
        <v>69</v>
      </c>
      <c r="E101" s="1" t="s">
        <v>22</v>
      </c>
      <c r="F101" s="1">
        <v>28</v>
      </c>
      <c r="G101" s="1">
        <v>21</v>
      </c>
      <c r="H101" s="1">
        <v>6</v>
      </c>
      <c r="I101" s="1">
        <v>14</v>
      </c>
      <c r="J101" s="1">
        <v>8</v>
      </c>
      <c r="K101" s="1">
        <v>77</v>
      </c>
      <c r="L101" s="5">
        <f ca="1">K101-(ROUNDDOWN((($G$1-C101)/365),1))</f>
        <v>72.900000000000006</v>
      </c>
    </row>
    <row r="102" spans="1:12" x14ac:dyDescent="0.25">
      <c r="A102" s="2">
        <f ca="1">RANK(L102,$L$6:$L$475,0)</f>
        <v>96</v>
      </c>
      <c r="B102" s="29" t="s">
        <v>141</v>
      </c>
      <c r="C102" s="18">
        <v>44416</v>
      </c>
      <c r="D102" s="1" t="s">
        <v>69</v>
      </c>
      <c r="E102" s="1" t="s">
        <v>17</v>
      </c>
      <c r="F102" s="1">
        <v>30</v>
      </c>
      <c r="G102" s="1">
        <v>19</v>
      </c>
      <c r="H102" s="1">
        <v>6</v>
      </c>
      <c r="I102" s="1">
        <v>16</v>
      </c>
      <c r="J102" s="1">
        <v>7</v>
      </c>
      <c r="K102" s="1">
        <v>78</v>
      </c>
      <c r="L102" s="5">
        <f ca="1">K102-(ROUNDDOWN((($G$1-C102)/365),1))</f>
        <v>72.900000000000006</v>
      </c>
    </row>
    <row r="103" spans="1:12" x14ac:dyDescent="0.25">
      <c r="A103" s="2">
        <f ca="1">RANK(L103,$L$6:$L$475,0)</f>
        <v>96</v>
      </c>
      <c r="B103" s="1" t="s">
        <v>522</v>
      </c>
      <c r="C103" s="18">
        <v>46229</v>
      </c>
      <c r="D103" s="1" t="s">
        <v>236</v>
      </c>
      <c r="E103" s="1" t="s">
        <v>17</v>
      </c>
      <c r="F103" s="1">
        <v>29</v>
      </c>
      <c r="G103" s="1">
        <v>21</v>
      </c>
      <c r="H103" s="1">
        <v>4</v>
      </c>
      <c r="I103" s="1">
        <v>13</v>
      </c>
      <c r="J103" s="1">
        <v>6</v>
      </c>
      <c r="K103" s="1">
        <v>73</v>
      </c>
      <c r="L103" s="5">
        <f ca="1">K103-(ROUNDDOWN((($G$1-C103)/365),1))</f>
        <v>72.900000000000006</v>
      </c>
    </row>
    <row r="104" spans="1:12" x14ac:dyDescent="0.25">
      <c r="A104" s="2">
        <f ca="1">RANK(L104,$L$6:$L$475,0)</f>
        <v>99</v>
      </c>
      <c r="B104" s="29" t="s">
        <v>132</v>
      </c>
      <c r="C104" s="18">
        <v>44359</v>
      </c>
      <c r="D104" s="1" t="s">
        <v>131</v>
      </c>
      <c r="E104" s="1" t="s">
        <v>22</v>
      </c>
      <c r="F104" s="1">
        <v>28</v>
      </c>
      <c r="G104" s="1">
        <v>19</v>
      </c>
      <c r="H104" s="1">
        <v>6</v>
      </c>
      <c r="I104" s="1">
        <v>17</v>
      </c>
      <c r="J104" s="1">
        <v>8</v>
      </c>
      <c r="K104" s="1">
        <v>78</v>
      </c>
      <c r="L104" s="5">
        <f ca="1">K104-(ROUNDDOWN((($G$1-C104)/365),1))</f>
        <v>72.7</v>
      </c>
    </row>
    <row r="105" spans="1:12" x14ac:dyDescent="0.25">
      <c r="A105" s="2">
        <f ca="1">RANK(L105,$L$6:$L$475,0)</f>
        <v>99</v>
      </c>
      <c r="B105" s="1" t="s">
        <v>126</v>
      </c>
      <c r="C105" s="18">
        <v>44344</v>
      </c>
      <c r="D105" s="1" t="s">
        <v>71</v>
      </c>
      <c r="E105" s="1" t="s">
        <v>22</v>
      </c>
      <c r="F105" s="1">
        <v>27</v>
      </c>
      <c r="G105" s="1">
        <v>21</v>
      </c>
      <c r="H105" s="1">
        <v>7</v>
      </c>
      <c r="I105" s="1">
        <v>15</v>
      </c>
      <c r="J105" s="1">
        <v>8</v>
      </c>
      <c r="K105" s="1">
        <v>78</v>
      </c>
      <c r="L105" s="5">
        <f ca="1">K105-(ROUNDDOWN((($G$1-C105)/365),1))</f>
        <v>72.7</v>
      </c>
    </row>
    <row r="106" spans="1:12" x14ac:dyDescent="0.25">
      <c r="A106" s="2">
        <f ca="1">RANK(L106,$L$6:$L$475,0)</f>
        <v>101</v>
      </c>
      <c r="B106" s="1" t="s">
        <v>429</v>
      </c>
      <c r="C106" s="18">
        <v>45781</v>
      </c>
      <c r="D106" s="1" t="s">
        <v>368</v>
      </c>
      <c r="E106" s="1" t="s">
        <v>22</v>
      </c>
      <c r="F106" s="1">
        <v>29</v>
      </c>
      <c r="G106" s="1">
        <v>17</v>
      </c>
      <c r="H106" s="1">
        <v>7</v>
      </c>
      <c r="I106" s="1">
        <v>14</v>
      </c>
      <c r="J106" s="1">
        <v>7</v>
      </c>
      <c r="K106" s="1">
        <v>74</v>
      </c>
      <c r="L106" s="5">
        <f ca="1">K106-(ROUNDDOWN((($G$1-C106)/365),1))</f>
        <v>72.599999999999994</v>
      </c>
    </row>
    <row r="107" spans="1:12" x14ac:dyDescent="0.25">
      <c r="A107" s="2">
        <f ca="1">RANK(L107,$L$6:$L$475,0)</f>
        <v>101</v>
      </c>
      <c r="B107" s="1" t="s">
        <v>430</v>
      </c>
      <c r="C107" s="18">
        <v>45781</v>
      </c>
      <c r="D107" s="1" t="s">
        <v>378</v>
      </c>
      <c r="E107" s="1" t="s">
        <v>22</v>
      </c>
      <c r="F107" s="1">
        <v>27</v>
      </c>
      <c r="G107" s="1">
        <v>22</v>
      </c>
      <c r="H107" s="1">
        <v>6</v>
      </c>
      <c r="I107" s="1">
        <v>14</v>
      </c>
      <c r="J107" s="1">
        <v>5</v>
      </c>
      <c r="K107" s="1">
        <v>74</v>
      </c>
      <c r="L107" s="5">
        <f ca="1">K107-(ROUNDDOWN((($G$1-C107)/365),1))</f>
        <v>72.599999999999994</v>
      </c>
    </row>
    <row r="108" spans="1:12" x14ac:dyDescent="0.25">
      <c r="A108" s="2">
        <f ca="1">RANK(L108,$L$6:$L$475,0)</f>
        <v>101</v>
      </c>
      <c r="B108" s="1" t="s">
        <v>503</v>
      </c>
      <c r="C108" s="18">
        <v>46124</v>
      </c>
      <c r="D108" s="1" t="s">
        <v>378</v>
      </c>
      <c r="E108" s="1" t="s">
        <v>17</v>
      </c>
      <c r="F108" s="1">
        <v>28</v>
      </c>
      <c r="G108" s="1">
        <v>22</v>
      </c>
      <c r="H108" s="1">
        <v>5</v>
      </c>
      <c r="I108" s="1">
        <v>13</v>
      </c>
      <c r="J108" s="1">
        <v>5</v>
      </c>
      <c r="K108" s="1">
        <v>73</v>
      </c>
      <c r="L108" s="5">
        <f ca="1">K108-(ROUNDDOWN((($G$1-C108)/365),1))</f>
        <v>72.599999999999994</v>
      </c>
    </row>
    <row r="109" spans="1:12" x14ac:dyDescent="0.25">
      <c r="A109" s="2">
        <f ca="1">RANK(L109,$L$6:$L$475,0)</f>
        <v>101</v>
      </c>
      <c r="B109" s="1" t="s">
        <v>502</v>
      </c>
      <c r="C109" s="18">
        <v>46117</v>
      </c>
      <c r="D109" s="1" t="s">
        <v>378</v>
      </c>
      <c r="E109" s="1" t="s">
        <v>17</v>
      </c>
      <c r="F109" s="1">
        <v>29</v>
      </c>
      <c r="G109" s="1">
        <v>19</v>
      </c>
      <c r="H109" s="1">
        <v>6</v>
      </c>
      <c r="I109" s="1">
        <v>13</v>
      </c>
      <c r="J109" s="1">
        <v>6</v>
      </c>
      <c r="K109" s="1">
        <v>73</v>
      </c>
      <c r="L109" s="5">
        <f ca="1">K109-(ROUNDDOWN((($G$1-C109)/365),1))</f>
        <v>72.599999999999994</v>
      </c>
    </row>
    <row r="110" spans="1:12" x14ac:dyDescent="0.25">
      <c r="A110" s="2">
        <f ca="1">RANK(L110,$L$6:$L$475,0)</f>
        <v>105</v>
      </c>
      <c r="B110" s="1" t="s">
        <v>204</v>
      </c>
      <c r="C110" s="18">
        <v>44647</v>
      </c>
      <c r="D110" s="1" t="s">
        <v>69</v>
      </c>
      <c r="E110" s="1" t="s">
        <v>22</v>
      </c>
      <c r="F110" s="1">
        <v>30</v>
      </c>
      <c r="G110" s="1">
        <v>18</v>
      </c>
      <c r="H110" s="1">
        <v>6</v>
      </c>
      <c r="I110" s="1">
        <v>15</v>
      </c>
      <c r="J110" s="1">
        <v>8</v>
      </c>
      <c r="K110" s="1">
        <v>77</v>
      </c>
      <c r="L110" s="5">
        <f ca="1">K110-(ROUNDDOWN((($G$1-C110)/365),1))</f>
        <v>72.5</v>
      </c>
    </row>
    <row r="111" spans="1:12" x14ac:dyDescent="0.25">
      <c r="A111" s="2">
        <f ca="1">RANK(L111,$L$6:$L$475,0)</f>
        <v>105</v>
      </c>
      <c r="B111" s="29" t="s">
        <v>200</v>
      </c>
      <c r="C111" s="18">
        <v>44633</v>
      </c>
      <c r="D111" s="1" t="s">
        <v>68</v>
      </c>
      <c r="E111" s="1" t="s">
        <v>22</v>
      </c>
      <c r="F111" s="1">
        <v>30</v>
      </c>
      <c r="G111" s="1">
        <v>18</v>
      </c>
      <c r="H111" s="1">
        <v>8</v>
      </c>
      <c r="I111" s="1">
        <v>12</v>
      </c>
      <c r="J111" s="1">
        <v>9</v>
      </c>
      <c r="K111" s="1">
        <v>77</v>
      </c>
      <c r="L111" s="5">
        <f ca="1">K111-(ROUNDDOWN((($G$1-C111)/365),1))</f>
        <v>72.5</v>
      </c>
    </row>
    <row r="112" spans="1:12" x14ac:dyDescent="0.25">
      <c r="A112" s="2">
        <f ca="1">RANK(L112,$L$6:$L$475,0)</f>
        <v>107</v>
      </c>
      <c r="B112" s="1" t="s">
        <v>333</v>
      </c>
      <c r="C112" s="18">
        <v>45347</v>
      </c>
      <c r="D112" s="1" t="s">
        <v>71</v>
      </c>
      <c r="E112" s="1" t="s">
        <v>22</v>
      </c>
      <c r="F112" s="1">
        <v>31</v>
      </c>
      <c r="G112" s="1">
        <v>16</v>
      </c>
      <c r="H112" s="1">
        <v>8</v>
      </c>
      <c r="I112" s="1">
        <v>14</v>
      </c>
      <c r="J112" s="1">
        <v>6</v>
      </c>
      <c r="K112" s="1">
        <v>75</v>
      </c>
      <c r="L112" s="5">
        <f ca="1">K112-(ROUNDDOWN((($G$1-C112)/365),1))</f>
        <v>72.400000000000006</v>
      </c>
    </row>
    <row r="113" spans="1:12" x14ac:dyDescent="0.25">
      <c r="A113" s="2">
        <f ca="1">RANK(L113,$L$6:$L$475,0)</f>
        <v>108</v>
      </c>
      <c r="B113" s="29" t="s">
        <v>264</v>
      </c>
      <c r="C113" s="18">
        <v>44941</v>
      </c>
      <c r="D113" s="1" t="s">
        <v>66</v>
      </c>
      <c r="E113" s="1" t="s">
        <v>17</v>
      </c>
      <c r="F113" s="1">
        <v>28</v>
      </c>
      <c r="G113" s="1">
        <v>20</v>
      </c>
      <c r="H113" s="1">
        <v>6</v>
      </c>
      <c r="I113" s="1">
        <v>16</v>
      </c>
      <c r="J113" s="1">
        <v>6</v>
      </c>
      <c r="K113" s="1">
        <v>76</v>
      </c>
      <c r="L113" s="5">
        <f ca="1">K113-(ROUNDDOWN((($G$1-C113)/365),1))</f>
        <v>72.3</v>
      </c>
    </row>
    <row r="114" spans="1:12" x14ac:dyDescent="0.25">
      <c r="A114" s="2">
        <f ca="1">RANK(L114,$L$6:$L$475,0)</f>
        <v>108</v>
      </c>
      <c r="B114" s="1" t="s">
        <v>325</v>
      </c>
      <c r="C114" s="18">
        <v>45305</v>
      </c>
      <c r="D114" s="1" t="s">
        <v>307</v>
      </c>
      <c r="E114" s="1" t="s">
        <v>20</v>
      </c>
      <c r="F114" s="1">
        <v>28</v>
      </c>
      <c r="G114" s="1">
        <v>22</v>
      </c>
      <c r="H114" s="1">
        <v>6</v>
      </c>
      <c r="I114" s="1">
        <v>12</v>
      </c>
      <c r="J114" s="1">
        <v>7</v>
      </c>
      <c r="K114" s="1">
        <v>75</v>
      </c>
      <c r="L114" s="5">
        <f ca="1">K114-(ROUNDDOWN((($G$1-C114)/365),1))</f>
        <v>72.3</v>
      </c>
    </row>
    <row r="115" spans="1:12" x14ac:dyDescent="0.25">
      <c r="A115" s="2">
        <f ca="1">RANK(L115,$L$6:$L$475,0)</f>
        <v>108</v>
      </c>
      <c r="B115" s="1" t="s">
        <v>480</v>
      </c>
      <c r="C115" s="18">
        <v>46033</v>
      </c>
      <c r="D115" s="1" t="s">
        <v>378</v>
      </c>
      <c r="E115" s="1" t="s">
        <v>17</v>
      </c>
      <c r="F115" s="1">
        <v>26</v>
      </c>
      <c r="G115" s="1">
        <v>23</v>
      </c>
      <c r="H115" s="1">
        <v>5</v>
      </c>
      <c r="I115" s="1">
        <v>13</v>
      </c>
      <c r="J115" s="1">
        <v>6</v>
      </c>
      <c r="K115" s="1">
        <v>73</v>
      </c>
      <c r="L115" s="5">
        <f ca="1">K115-(ROUNDDOWN((($G$1-C115)/365),1))</f>
        <v>72.3</v>
      </c>
    </row>
    <row r="116" spans="1:12" x14ac:dyDescent="0.25">
      <c r="A116" s="2">
        <f ca="1">RANK(L116,$L$6:$L$475,0)</f>
        <v>108</v>
      </c>
      <c r="B116" s="29" t="s">
        <v>260</v>
      </c>
      <c r="C116" s="18">
        <v>44927</v>
      </c>
      <c r="D116" s="1" t="s">
        <v>68</v>
      </c>
      <c r="E116" s="1" t="s">
        <v>22</v>
      </c>
      <c r="F116" s="1">
        <v>28</v>
      </c>
      <c r="G116" s="1">
        <v>18</v>
      </c>
      <c r="H116" s="1">
        <v>7</v>
      </c>
      <c r="I116" s="1">
        <v>15</v>
      </c>
      <c r="J116" s="1">
        <v>8</v>
      </c>
      <c r="K116" s="1">
        <v>76</v>
      </c>
      <c r="L116" s="5">
        <f ca="1">K116-(ROUNDDOWN((($G$1-C116)/365),1))</f>
        <v>72.3</v>
      </c>
    </row>
    <row r="117" spans="1:12" x14ac:dyDescent="0.25">
      <c r="A117" s="2">
        <f ca="1">RANK(L117,$L$6:$L$475,0)</f>
        <v>112</v>
      </c>
      <c r="B117" s="1" t="s">
        <v>472</v>
      </c>
      <c r="C117" s="18">
        <v>45991</v>
      </c>
      <c r="D117" s="1" t="s">
        <v>66</v>
      </c>
      <c r="E117" s="1" t="s">
        <v>17</v>
      </c>
      <c r="F117" s="1">
        <v>28</v>
      </c>
      <c r="G117" s="1">
        <v>20</v>
      </c>
      <c r="H117" s="1">
        <v>5</v>
      </c>
      <c r="I117" s="1">
        <v>15</v>
      </c>
      <c r="J117" s="1">
        <v>5</v>
      </c>
      <c r="K117" s="1">
        <v>73</v>
      </c>
      <c r="L117" s="5">
        <f ca="1">K117-(ROUNDDOWN((($G$1-C117)/365),1))</f>
        <v>72.2</v>
      </c>
    </row>
    <row r="118" spans="1:12" x14ac:dyDescent="0.25">
      <c r="A118" s="2">
        <f ca="1">RANK(L118,$L$6:$L$475,0)</f>
        <v>112</v>
      </c>
      <c r="B118" s="1" t="s">
        <v>474</v>
      </c>
      <c r="C118" s="18">
        <v>45991</v>
      </c>
      <c r="D118" s="1" t="s">
        <v>478</v>
      </c>
      <c r="E118" s="1" t="s">
        <v>22</v>
      </c>
      <c r="F118" s="1">
        <v>27</v>
      </c>
      <c r="G118" s="1">
        <v>24</v>
      </c>
      <c r="H118" s="1">
        <v>4</v>
      </c>
      <c r="I118" s="1">
        <v>13</v>
      </c>
      <c r="J118" s="1">
        <v>5</v>
      </c>
      <c r="K118" s="1">
        <v>73</v>
      </c>
      <c r="L118" s="5">
        <f ca="1">K118-(ROUNDDOWN((($G$1-C118)/365),1))</f>
        <v>72.2</v>
      </c>
    </row>
    <row r="119" spans="1:12" x14ac:dyDescent="0.25">
      <c r="A119" s="2">
        <f ca="1">RANK(L119,$L$6:$L$475,0)</f>
        <v>114</v>
      </c>
      <c r="B119" s="29" t="s">
        <v>464</v>
      </c>
      <c r="C119" s="18">
        <v>45956</v>
      </c>
      <c r="D119" s="1" t="s">
        <v>266</v>
      </c>
      <c r="E119" s="1" t="s">
        <v>17</v>
      </c>
      <c r="F119" s="1">
        <v>29</v>
      </c>
      <c r="G119" s="1">
        <v>17</v>
      </c>
      <c r="H119" s="1">
        <v>5</v>
      </c>
      <c r="I119" s="1">
        <v>16</v>
      </c>
      <c r="J119" s="1">
        <v>6</v>
      </c>
      <c r="K119" s="1">
        <v>73</v>
      </c>
      <c r="L119" s="5">
        <f ca="1">K119-(ROUNDDOWN((($G$1-C119)/365),1))</f>
        <v>72.099999999999994</v>
      </c>
    </row>
    <row r="120" spans="1:12" x14ac:dyDescent="0.25">
      <c r="A120" s="2">
        <f ca="1">RANK(L120,$L$6:$L$475,0)</f>
        <v>115</v>
      </c>
      <c r="B120" s="1" t="s">
        <v>374</v>
      </c>
      <c r="C120" s="18">
        <v>45557</v>
      </c>
      <c r="D120" s="1" t="s">
        <v>266</v>
      </c>
      <c r="E120" s="1" t="s">
        <v>40</v>
      </c>
      <c r="F120" s="1">
        <v>25</v>
      </c>
      <c r="G120" s="1">
        <v>21</v>
      </c>
      <c r="H120" s="1">
        <v>5</v>
      </c>
      <c r="I120" s="1">
        <v>15</v>
      </c>
      <c r="J120" s="1">
        <v>8</v>
      </c>
      <c r="K120" s="1">
        <v>74</v>
      </c>
      <c r="L120" s="5">
        <f ca="1">K120-(ROUNDDOWN((($G$1-C120)/365),1))</f>
        <v>72</v>
      </c>
    </row>
    <row r="121" spans="1:12" x14ac:dyDescent="0.25">
      <c r="A121" s="2">
        <f ca="1">RANK(L121,$L$6:$L$475,0)</f>
        <v>115</v>
      </c>
      <c r="B121" s="1" t="s">
        <v>460</v>
      </c>
      <c r="C121" s="18">
        <v>45921</v>
      </c>
      <c r="D121" s="1" t="s">
        <v>69</v>
      </c>
      <c r="E121" s="1" t="s">
        <v>22</v>
      </c>
      <c r="F121" s="1">
        <v>27</v>
      </c>
      <c r="G121" s="1">
        <v>22</v>
      </c>
      <c r="H121" s="1">
        <v>8</v>
      </c>
      <c r="I121" s="1">
        <v>12</v>
      </c>
      <c r="J121" s="1">
        <v>4</v>
      </c>
      <c r="K121" s="1">
        <v>73</v>
      </c>
      <c r="L121" s="5">
        <f ca="1">K121-(ROUNDDOWN((($G$1-C121)/365),1))</f>
        <v>72</v>
      </c>
    </row>
    <row r="122" spans="1:12" x14ac:dyDescent="0.25">
      <c r="A122" s="2">
        <f ca="1">RANK(L122,$L$6:$L$475,0)</f>
        <v>115</v>
      </c>
      <c r="B122" s="1" t="s">
        <v>370</v>
      </c>
      <c r="C122" s="18">
        <v>45543</v>
      </c>
      <c r="D122" s="1" t="s">
        <v>66</v>
      </c>
      <c r="E122" s="1" t="s">
        <v>20</v>
      </c>
      <c r="F122" s="1">
        <v>26</v>
      </c>
      <c r="G122" s="1">
        <v>21</v>
      </c>
      <c r="H122" s="1">
        <v>6</v>
      </c>
      <c r="I122" s="1">
        <v>15</v>
      </c>
      <c r="J122" s="1">
        <v>6</v>
      </c>
      <c r="K122" s="1">
        <v>74</v>
      </c>
      <c r="L122" s="5">
        <f ca="1">K122-(ROUNDDOWN((($G$1-C122)/365),1))</f>
        <v>72</v>
      </c>
    </row>
    <row r="123" spans="1:12" x14ac:dyDescent="0.25">
      <c r="A123" s="2">
        <f ca="1">RANK(L123,$L$6:$L$475,0)</f>
        <v>115</v>
      </c>
      <c r="B123" s="1" t="s">
        <v>525</v>
      </c>
      <c r="C123" s="18">
        <v>46243</v>
      </c>
      <c r="D123" s="1" t="s">
        <v>66</v>
      </c>
      <c r="E123" s="1" t="s">
        <v>22</v>
      </c>
      <c r="F123" s="1">
        <v>28</v>
      </c>
      <c r="G123" s="1">
        <v>20</v>
      </c>
      <c r="H123" s="1">
        <v>4</v>
      </c>
      <c r="I123" s="1">
        <v>15</v>
      </c>
      <c r="J123" s="1">
        <v>5</v>
      </c>
      <c r="K123" s="1">
        <v>72</v>
      </c>
      <c r="L123" s="5">
        <v>72</v>
      </c>
    </row>
    <row r="124" spans="1:12" x14ac:dyDescent="0.25">
      <c r="A124" s="2">
        <f ca="1">RANK(L124,$L$6:$L$475,0)</f>
        <v>119</v>
      </c>
      <c r="B124" s="29" t="s">
        <v>526</v>
      </c>
      <c r="C124" s="18">
        <v>46250</v>
      </c>
      <c r="D124" s="1" t="s">
        <v>154</v>
      </c>
      <c r="E124" s="1" t="s">
        <v>22</v>
      </c>
      <c r="F124" s="1">
        <v>28</v>
      </c>
      <c r="G124" s="1">
        <v>18</v>
      </c>
      <c r="H124" s="1">
        <v>6</v>
      </c>
      <c r="I124" s="1">
        <v>16</v>
      </c>
      <c r="J124" s="1">
        <v>4</v>
      </c>
      <c r="K124" s="1">
        <v>72</v>
      </c>
      <c r="L124" s="5">
        <f ca="1">K124-(ROUNDDOWN((($G$1-C124)/365),1))</f>
        <v>71.900000000000006</v>
      </c>
    </row>
    <row r="125" spans="1:12" x14ac:dyDescent="0.25">
      <c r="A125" s="2">
        <f ca="1">RANK(L125,$L$6:$L$475,0)</f>
        <v>119</v>
      </c>
      <c r="B125" s="1" t="s">
        <v>145</v>
      </c>
      <c r="C125" s="18">
        <v>44423</v>
      </c>
      <c r="D125" s="1" t="s">
        <v>71</v>
      </c>
      <c r="E125" s="1" t="s">
        <v>22</v>
      </c>
      <c r="F125" s="1">
        <v>30</v>
      </c>
      <c r="G125" s="1">
        <v>17</v>
      </c>
      <c r="H125" s="1">
        <v>8</v>
      </c>
      <c r="I125" s="1">
        <v>15</v>
      </c>
      <c r="J125" s="1">
        <v>7</v>
      </c>
      <c r="K125" s="1">
        <v>77</v>
      </c>
      <c r="L125" s="5">
        <f ca="1">K125-(ROUNDDOWN((($G$1-C125)/365),1))</f>
        <v>71.900000000000006</v>
      </c>
    </row>
    <row r="126" spans="1:12" x14ac:dyDescent="0.25">
      <c r="A126" s="2">
        <f ca="1">RANK(L126,$L$6:$L$475,0)</f>
        <v>119</v>
      </c>
      <c r="B126" s="1" t="s">
        <v>363</v>
      </c>
      <c r="C126" s="18">
        <v>45515</v>
      </c>
      <c r="D126" s="1" t="s">
        <v>68</v>
      </c>
      <c r="E126" s="1" t="s">
        <v>22</v>
      </c>
      <c r="F126" s="1">
        <v>29</v>
      </c>
      <c r="G126" s="1">
        <v>16</v>
      </c>
      <c r="H126" s="1">
        <v>8</v>
      </c>
      <c r="I126" s="1">
        <v>13</v>
      </c>
      <c r="J126" s="1">
        <v>8</v>
      </c>
      <c r="K126" s="1">
        <v>74</v>
      </c>
      <c r="L126" s="5">
        <f ca="1">K126-(ROUNDDOWN((($G$1-C126)/365),1))</f>
        <v>71.900000000000006</v>
      </c>
    </row>
    <row r="127" spans="1:12" x14ac:dyDescent="0.25">
      <c r="A127" s="2">
        <f ca="1">RANK(L127,$L$6:$L$475,0)</f>
        <v>119</v>
      </c>
      <c r="B127" s="1" t="s">
        <v>42</v>
      </c>
      <c r="C127" s="18">
        <v>44409</v>
      </c>
      <c r="D127" s="1" t="s">
        <v>68</v>
      </c>
      <c r="E127" s="1" t="s">
        <v>40</v>
      </c>
      <c r="F127" s="1">
        <v>29</v>
      </c>
      <c r="G127" s="1">
        <v>16</v>
      </c>
      <c r="H127" s="1">
        <v>9</v>
      </c>
      <c r="I127" s="1">
        <v>16</v>
      </c>
      <c r="J127" s="1">
        <v>7</v>
      </c>
      <c r="K127" s="1">
        <v>77</v>
      </c>
      <c r="L127" s="5">
        <f ca="1">K127-(ROUNDDOWN((($G$1-C127)/365),1))</f>
        <v>71.900000000000006</v>
      </c>
    </row>
    <row r="128" spans="1:12" x14ac:dyDescent="0.25">
      <c r="A128" s="2">
        <f ca="1">RANK(L128,$L$6:$L$475,0)</f>
        <v>123</v>
      </c>
      <c r="B128" s="1" t="s">
        <v>294</v>
      </c>
      <c r="C128" s="18">
        <v>45130</v>
      </c>
      <c r="D128" s="1" t="s">
        <v>236</v>
      </c>
      <c r="E128" s="1" t="s">
        <v>17</v>
      </c>
      <c r="F128" s="1">
        <v>29</v>
      </c>
      <c r="G128" s="1">
        <v>18</v>
      </c>
      <c r="H128" s="1">
        <v>5</v>
      </c>
      <c r="I128" s="1">
        <v>16</v>
      </c>
      <c r="J128" s="1">
        <v>7</v>
      </c>
      <c r="K128" s="1">
        <v>75</v>
      </c>
      <c r="L128" s="5">
        <f ca="1">K128-(ROUNDDOWN((($G$1-C128)/365),1))</f>
        <v>71.8</v>
      </c>
    </row>
    <row r="129" spans="1:12" x14ac:dyDescent="0.25">
      <c r="A129" s="2">
        <f ca="1">RANK(L129,$L$6:$L$475,0)</f>
        <v>123</v>
      </c>
      <c r="B129" s="1" t="s">
        <v>518</v>
      </c>
      <c r="C129" s="18">
        <v>46201</v>
      </c>
      <c r="D129" s="1" t="s">
        <v>378</v>
      </c>
      <c r="E129" s="1" t="s">
        <v>22</v>
      </c>
      <c r="F129" s="1">
        <v>28</v>
      </c>
      <c r="G129" s="1">
        <v>21</v>
      </c>
      <c r="H129" s="1">
        <v>5</v>
      </c>
      <c r="I129" s="1">
        <v>12</v>
      </c>
      <c r="J129" s="1">
        <v>6</v>
      </c>
      <c r="K129" s="1">
        <v>72</v>
      </c>
      <c r="L129" s="5">
        <f ca="1">K129-(ROUNDDOWN((($G$1-C129)/365),1))</f>
        <v>71.8</v>
      </c>
    </row>
    <row r="130" spans="1:12" x14ac:dyDescent="0.25">
      <c r="A130" s="2">
        <f ca="1">RANK(L130,$L$6:$L$475,0)</f>
        <v>125</v>
      </c>
      <c r="B130" s="1" t="s">
        <v>345</v>
      </c>
      <c r="C130" s="18">
        <v>45417</v>
      </c>
      <c r="D130" s="1" t="s">
        <v>309</v>
      </c>
      <c r="E130" s="1" t="s">
        <v>22</v>
      </c>
      <c r="F130" s="1">
        <v>28</v>
      </c>
      <c r="G130" s="1">
        <v>22</v>
      </c>
      <c r="H130" s="1">
        <v>5</v>
      </c>
      <c r="I130" s="1">
        <v>11</v>
      </c>
      <c r="J130" s="1">
        <v>8</v>
      </c>
      <c r="K130" s="1">
        <v>74</v>
      </c>
      <c r="L130" s="5">
        <f ca="1">K130-(ROUNDDOWN((($G$1-C130)/365),1))</f>
        <v>71.599999999999994</v>
      </c>
    </row>
    <row r="131" spans="1:12" x14ac:dyDescent="0.25">
      <c r="A131" s="2">
        <f ca="1">RANK(L131,$L$6:$L$475,0)</f>
        <v>125</v>
      </c>
      <c r="B131" s="29" t="s">
        <v>117</v>
      </c>
      <c r="C131" s="18">
        <v>44304</v>
      </c>
      <c r="D131" s="1" t="s">
        <v>72</v>
      </c>
      <c r="E131" s="1" t="s">
        <v>17</v>
      </c>
      <c r="F131" s="1">
        <v>29</v>
      </c>
      <c r="G131" s="1">
        <v>17</v>
      </c>
      <c r="H131" s="1">
        <v>8</v>
      </c>
      <c r="I131" s="1">
        <v>16</v>
      </c>
      <c r="J131" s="1">
        <v>7</v>
      </c>
      <c r="K131" s="1">
        <v>77</v>
      </c>
      <c r="L131" s="5">
        <f ca="1">K131-(ROUNDDOWN((($G$1-C131)/365),1))</f>
        <v>71.599999999999994</v>
      </c>
    </row>
    <row r="132" spans="1:12" x14ac:dyDescent="0.25">
      <c r="A132" s="2">
        <f ca="1">RANK(L132,$L$6:$L$475,0)</f>
        <v>125</v>
      </c>
      <c r="B132" s="1" t="s">
        <v>506</v>
      </c>
      <c r="C132" s="18">
        <v>46124</v>
      </c>
      <c r="D132" s="1" t="s">
        <v>377</v>
      </c>
      <c r="E132" s="1" t="s">
        <v>22</v>
      </c>
      <c r="F132" s="1">
        <v>28</v>
      </c>
      <c r="G132" s="1">
        <v>21</v>
      </c>
      <c r="H132" s="1">
        <v>7</v>
      </c>
      <c r="I132" s="1">
        <v>11</v>
      </c>
      <c r="J132" s="1">
        <v>5</v>
      </c>
      <c r="K132" s="1">
        <v>72</v>
      </c>
      <c r="L132" s="5">
        <f ca="1">K132-(ROUNDDOWN((($G$1-C132)/365),1))</f>
        <v>71.599999999999994</v>
      </c>
    </row>
    <row r="133" spans="1:12" x14ac:dyDescent="0.25">
      <c r="A133" s="2">
        <f ca="1">RANK(L133,$L$6:$L$475,0)</f>
        <v>125</v>
      </c>
      <c r="B133" s="1" t="s">
        <v>424</v>
      </c>
      <c r="C133" s="18">
        <v>45753</v>
      </c>
      <c r="D133" s="1" t="s">
        <v>71</v>
      </c>
      <c r="E133" s="1" t="s">
        <v>17</v>
      </c>
      <c r="F133" s="1">
        <v>28</v>
      </c>
      <c r="G133" s="1">
        <v>18</v>
      </c>
      <c r="H133" s="1">
        <v>6</v>
      </c>
      <c r="I133" s="1">
        <v>15</v>
      </c>
      <c r="J133" s="1">
        <v>6</v>
      </c>
      <c r="K133" s="1">
        <v>73</v>
      </c>
      <c r="L133" s="5">
        <f ca="1">K133-(ROUNDDOWN((($G$1-C133)/365),1))</f>
        <v>71.599999999999994</v>
      </c>
    </row>
    <row r="134" spans="1:12" x14ac:dyDescent="0.25">
      <c r="A134" s="2">
        <f ca="1">RANK(L134,$L$6:$L$475,0)</f>
        <v>129</v>
      </c>
      <c r="B134" s="1" t="s">
        <v>337</v>
      </c>
      <c r="C134" s="18">
        <v>45368</v>
      </c>
      <c r="D134" s="1" t="s">
        <v>184</v>
      </c>
      <c r="E134" s="1" t="s">
        <v>17</v>
      </c>
      <c r="F134" s="1">
        <v>26</v>
      </c>
      <c r="G134" s="1">
        <v>22</v>
      </c>
      <c r="H134" s="1">
        <v>7</v>
      </c>
      <c r="I134" s="1">
        <v>14</v>
      </c>
      <c r="J134" s="1">
        <v>5</v>
      </c>
      <c r="K134" s="1">
        <v>74</v>
      </c>
      <c r="L134" s="5">
        <f ca="1">K134-(ROUNDDOWN((($G$1-C134)/365),1))</f>
        <v>71.5</v>
      </c>
    </row>
    <row r="135" spans="1:12" x14ac:dyDescent="0.25">
      <c r="A135" s="2">
        <f ca="1">RANK(L135,$L$6:$L$475,0)</f>
        <v>129</v>
      </c>
      <c r="B135" s="1" t="s">
        <v>416</v>
      </c>
      <c r="C135" s="18">
        <v>45732</v>
      </c>
      <c r="D135" s="1" t="s">
        <v>308</v>
      </c>
      <c r="E135" s="1" t="s">
        <v>22</v>
      </c>
      <c r="F135" s="1">
        <v>29</v>
      </c>
      <c r="G135" s="1">
        <v>23</v>
      </c>
      <c r="H135" s="1">
        <v>8</v>
      </c>
      <c r="I135" s="1">
        <v>8</v>
      </c>
      <c r="J135" s="1">
        <v>5</v>
      </c>
      <c r="K135" s="1">
        <v>73</v>
      </c>
      <c r="L135" s="5">
        <f ca="1">K135-(ROUNDDOWN((($G$1-C135)/365),1))</f>
        <v>71.5</v>
      </c>
    </row>
    <row r="136" spans="1:12" x14ac:dyDescent="0.25">
      <c r="A136" s="2">
        <f ca="1">RANK(L136,$L$6:$L$475,0)</f>
        <v>129</v>
      </c>
      <c r="B136" s="29" t="s">
        <v>271</v>
      </c>
      <c r="C136" s="18">
        <v>44990</v>
      </c>
      <c r="D136" s="1" t="s">
        <v>69</v>
      </c>
      <c r="E136" s="1" t="s">
        <v>22</v>
      </c>
      <c r="F136" s="1">
        <v>29</v>
      </c>
      <c r="G136" s="1">
        <v>17</v>
      </c>
      <c r="H136" s="1">
        <v>6</v>
      </c>
      <c r="I136" s="1">
        <v>16</v>
      </c>
      <c r="J136" s="1">
        <v>7</v>
      </c>
      <c r="K136" s="1">
        <v>75</v>
      </c>
      <c r="L136" s="5">
        <f ca="1">K136-(ROUNDDOWN((($G$1-C136)/365),1))</f>
        <v>71.5</v>
      </c>
    </row>
    <row r="137" spans="1:12" x14ac:dyDescent="0.25">
      <c r="A137" s="2">
        <f ca="1">RANK(L137,$L$6:$L$475,0)</f>
        <v>129</v>
      </c>
      <c r="B137" s="29" t="s">
        <v>197</v>
      </c>
      <c r="C137" s="18">
        <v>44621</v>
      </c>
      <c r="D137" s="1" t="s">
        <v>71</v>
      </c>
      <c r="E137" s="1" t="s">
        <v>17</v>
      </c>
      <c r="F137" s="1">
        <v>31</v>
      </c>
      <c r="G137" s="1">
        <v>23</v>
      </c>
      <c r="H137" s="1">
        <v>5</v>
      </c>
      <c r="I137" s="1">
        <v>13</v>
      </c>
      <c r="J137" s="1">
        <v>4</v>
      </c>
      <c r="K137" s="1">
        <v>76</v>
      </c>
      <c r="L137" s="5">
        <f ca="1">K137-(ROUNDDOWN((($G$1-C137)/365),1))</f>
        <v>71.5</v>
      </c>
    </row>
    <row r="138" spans="1:12" x14ac:dyDescent="0.25">
      <c r="A138" s="2">
        <f ca="1">RANK(L138,$L$6:$L$475,0)</f>
        <v>133</v>
      </c>
      <c r="B138" s="1" t="s">
        <v>399</v>
      </c>
      <c r="C138" s="18">
        <v>45662</v>
      </c>
      <c r="D138" s="1" t="s">
        <v>68</v>
      </c>
      <c r="E138" s="1" t="s">
        <v>40</v>
      </c>
      <c r="F138" s="1">
        <v>29</v>
      </c>
      <c r="G138" s="1">
        <v>17</v>
      </c>
      <c r="H138" s="1">
        <v>8</v>
      </c>
      <c r="I138" s="1">
        <v>13</v>
      </c>
      <c r="J138" s="1">
        <v>6</v>
      </c>
      <c r="K138" s="1">
        <v>73</v>
      </c>
      <c r="L138" s="5">
        <f ca="1">K138-(ROUNDDOWN((($G$1-C138)/365),1))</f>
        <v>71.3</v>
      </c>
    </row>
    <row r="139" spans="1:12" x14ac:dyDescent="0.25">
      <c r="A139" s="2">
        <f ca="1">RANK(L139,$L$6:$L$475,0)</f>
        <v>133</v>
      </c>
      <c r="B139" s="29" t="s">
        <v>86</v>
      </c>
      <c r="C139" s="18">
        <v>44185</v>
      </c>
      <c r="D139" s="1" t="s">
        <v>69</v>
      </c>
      <c r="E139" s="1" t="s">
        <v>22</v>
      </c>
      <c r="F139" s="1">
        <v>29</v>
      </c>
      <c r="G139" s="1">
        <v>22</v>
      </c>
      <c r="H139" s="1">
        <v>6</v>
      </c>
      <c r="I139" s="1">
        <v>13</v>
      </c>
      <c r="J139" s="1">
        <v>7</v>
      </c>
      <c r="K139" s="1">
        <v>77</v>
      </c>
      <c r="L139" s="5">
        <f ca="1">K139-(ROUNDDOWN((($G$1-C139)/365),1))</f>
        <v>71.3</v>
      </c>
    </row>
    <row r="140" spans="1:12" x14ac:dyDescent="0.25">
      <c r="A140" s="2">
        <f ca="1">RANK(L140,$L$6:$L$475,0)</f>
        <v>135</v>
      </c>
      <c r="B140" s="1" t="s">
        <v>476</v>
      </c>
      <c r="C140" s="18">
        <v>46005</v>
      </c>
      <c r="D140" s="1" t="s">
        <v>75</v>
      </c>
      <c r="E140" s="1" t="s">
        <v>22</v>
      </c>
      <c r="F140" s="1">
        <v>30</v>
      </c>
      <c r="G140" s="1">
        <v>21</v>
      </c>
      <c r="H140" s="1">
        <v>6</v>
      </c>
      <c r="I140" s="1">
        <v>9</v>
      </c>
      <c r="J140" s="1">
        <v>6</v>
      </c>
      <c r="K140" s="1">
        <v>72</v>
      </c>
      <c r="L140" s="5">
        <f ca="1">K140-(ROUNDDOWN((($G$1-C140)/365),1))</f>
        <v>71.2</v>
      </c>
    </row>
    <row r="141" spans="1:12" x14ac:dyDescent="0.25">
      <c r="A141" s="2">
        <f ca="1">RANK(L141,$L$6:$L$475,0)</f>
        <v>136</v>
      </c>
      <c r="B141" s="1" t="s">
        <v>173</v>
      </c>
      <c r="C141" s="18">
        <v>44507</v>
      </c>
      <c r="D141" s="1" t="s">
        <v>71</v>
      </c>
      <c r="E141" s="1" t="s">
        <v>22</v>
      </c>
      <c r="F141" s="1">
        <v>28</v>
      </c>
      <c r="G141" s="1">
        <v>17</v>
      </c>
      <c r="H141" s="1">
        <v>7</v>
      </c>
      <c r="I141" s="1">
        <v>17</v>
      </c>
      <c r="J141" s="1">
        <v>7</v>
      </c>
      <c r="K141" s="1">
        <v>76</v>
      </c>
      <c r="L141" s="5">
        <f ca="1">K141-(ROUNDDOWN((($G$1-C141)/365),1))</f>
        <v>71.099999999999994</v>
      </c>
    </row>
    <row r="142" spans="1:12" x14ac:dyDescent="0.25">
      <c r="A142" s="2">
        <f ca="1">RANK(L142,$L$6:$L$475,0)</f>
        <v>136</v>
      </c>
      <c r="B142" s="29" t="s">
        <v>249</v>
      </c>
      <c r="C142" s="18">
        <v>44864</v>
      </c>
      <c r="D142" s="1" t="s">
        <v>236</v>
      </c>
      <c r="E142" s="1" t="s">
        <v>22</v>
      </c>
      <c r="F142" s="1">
        <v>29</v>
      </c>
      <c r="G142" s="1">
        <v>18</v>
      </c>
      <c r="H142" s="1">
        <v>8</v>
      </c>
      <c r="I142" s="1">
        <v>13</v>
      </c>
      <c r="J142" s="1">
        <v>7</v>
      </c>
      <c r="K142" s="1">
        <v>75</v>
      </c>
      <c r="L142" s="5">
        <f ca="1">K142-(ROUNDDOWN((($G$1-C142)/365),1))</f>
        <v>71.099999999999994</v>
      </c>
    </row>
    <row r="143" spans="1:12" x14ac:dyDescent="0.25">
      <c r="A143" s="2">
        <f ca="1">RANK(L143,$L$6:$L$475,0)</f>
        <v>136</v>
      </c>
      <c r="B143" s="1" t="s">
        <v>169</v>
      </c>
      <c r="C143" s="18">
        <v>44493</v>
      </c>
      <c r="D143" s="1" t="s">
        <v>71</v>
      </c>
      <c r="E143" s="1" t="s">
        <v>22</v>
      </c>
      <c r="F143" s="1">
        <v>29</v>
      </c>
      <c r="G143" s="1">
        <v>18</v>
      </c>
      <c r="H143" s="1">
        <v>8</v>
      </c>
      <c r="I143" s="1">
        <v>15</v>
      </c>
      <c r="J143" s="1">
        <v>6</v>
      </c>
      <c r="K143" s="1">
        <v>76</v>
      </c>
      <c r="L143" s="5">
        <f ca="1">K143-(ROUNDDOWN((($G$1-C143)/365),1))</f>
        <v>71.099999999999994</v>
      </c>
    </row>
    <row r="144" spans="1:12" x14ac:dyDescent="0.25">
      <c r="A144" s="2">
        <f ca="1">RANK(L144,$L$6:$L$475,0)</f>
        <v>136</v>
      </c>
      <c r="B144" s="1" t="s">
        <v>248</v>
      </c>
      <c r="C144" s="18">
        <v>44857</v>
      </c>
      <c r="D144" s="1" t="s">
        <v>71</v>
      </c>
      <c r="E144" s="1" t="s">
        <v>22</v>
      </c>
      <c r="F144" s="1">
        <v>29</v>
      </c>
      <c r="G144" s="1">
        <v>18</v>
      </c>
      <c r="H144" s="1">
        <v>7</v>
      </c>
      <c r="I144" s="1">
        <v>14</v>
      </c>
      <c r="J144" s="1">
        <v>7</v>
      </c>
      <c r="K144" s="1">
        <v>75</v>
      </c>
      <c r="L144" s="5">
        <f ca="1">K144-(ROUNDDOWN((($G$1-C144)/365),1))</f>
        <v>71.099999999999994</v>
      </c>
    </row>
    <row r="145" spans="1:12" x14ac:dyDescent="0.25">
      <c r="A145" s="2">
        <f ca="1">RANK(L145,$L$6:$L$475,0)</f>
        <v>136</v>
      </c>
      <c r="B145" s="29" t="s">
        <v>168</v>
      </c>
      <c r="C145" s="18">
        <v>44485</v>
      </c>
      <c r="D145" s="1" t="s">
        <v>71</v>
      </c>
      <c r="E145" s="1" t="s">
        <v>22</v>
      </c>
      <c r="F145" s="1">
        <v>29</v>
      </c>
      <c r="G145" s="1">
        <v>19</v>
      </c>
      <c r="H145" s="1">
        <v>7</v>
      </c>
      <c r="I145" s="1">
        <v>15</v>
      </c>
      <c r="J145" s="1">
        <v>6</v>
      </c>
      <c r="K145" s="1">
        <v>76</v>
      </c>
      <c r="L145" s="5">
        <f ca="1">K145-(ROUNDDOWN((($G$1-C145)/365),1))</f>
        <v>71.099999999999994</v>
      </c>
    </row>
    <row r="146" spans="1:12" x14ac:dyDescent="0.25">
      <c r="A146" s="2">
        <f ca="1">RANK(L146,$L$6:$L$475,0)</f>
        <v>136</v>
      </c>
      <c r="B146" s="1" t="s">
        <v>165</v>
      </c>
      <c r="C146" s="18">
        <v>44479</v>
      </c>
      <c r="D146" s="1" t="s">
        <v>154</v>
      </c>
      <c r="E146" s="1" t="s">
        <v>17</v>
      </c>
      <c r="F146" s="1">
        <v>30</v>
      </c>
      <c r="G146" s="1">
        <v>16</v>
      </c>
      <c r="H146" s="1">
        <v>6</v>
      </c>
      <c r="I146" s="1">
        <v>15</v>
      </c>
      <c r="J146" s="1">
        <v>9</v>
      </c>
      <c r="K146" s="1">
        <v>76</v>
      </c>
      <c r="L146" s="5">
        <f ca="1">K146-(ROUNDDOWN((($G$1-C146)/365),1))</f>
        <v>71.099999999999994</v>
      </c>
    </row>
    <row r="147" spans="1:12" x14ac:dyDescent="0.25">
      <c r="A147" s="2">
        <f ca="1">RANK(L147,$L$6:$L$475,0)</f>
        <v>136</v>
      </c>
      <c r="B147" s="1" t="s">
        <v>462</v>
      </c>
      <c r="C147" s="18">
        <v>45935</v>
      </c>
      <c r="D147" s="1" t="s">
        <v>67</v>
      </c>
      <c r="E147" s="1" t="s">
        <v>17</v>
      </c>
      <c r="F147" s="1">
        <v>29</v>
      </c>
      <c r="G147" s="1">
        <v>18</v>
      </c>
      <c r="H147" s="1">
        <v>5</v>
      </c>
      <c r="I147" s="1">
        <v>14</v>
      </c>
      <c r="J147" s="1">
        <v>6</v>
      </c>
      <c r="K147" s="1">
        <v>72</v>
      </c>
      <c r="L147" s="5">
        <f ca="1">K147-(ROUNDDOWN((($G$1-C147)/365),1))</f>
        <v>71.099999999999994</v>
      </c>
    </row>
    <row r="148" spans="1:12" x14ac:dyDescent="0.25">
      <c r="A148" s="2">
        <f ca="1">RANK(L148,$L$6:$L$475,0)</f>
        <v>143</v>
      </c>
      <c r="B148" s="29" t="s">
        <v>233</v>
      </c>
      <c r="C148" s="18">
        <v>44811</v>
      </c>
      <c r="D148" s="1" t="s">
        <v>72</v>
      </c>
      <c r="E148" s="1" t="s">
        <v>40</v>
      </c>
      <c r="F148" s="1">
        <v>28</v>
      </c>
      <c r="G148" s="1">
        <v>16</v>
      </c>
      <c r="H148" s="1">
        <v>7</v>
      </c>
      <c r="I148" s="1">
        <v>15</v>
      </c>
      <c r="J148" s="1">
        <v>9</v>
      </c>
      <c r="K148" s="1">
        <v>75</v>
      </c>
      <c r="L148" s="5">
        <f ca="1">K148-(ROUNDDOWN((($G$1-C148)/365),1))</f>
        <v>71</v>
      </c>
    </row>
    <row r="149" spans="1:12" x14ac:dyDescent="0.25">
      <c r="A149" s="2">
        <f ca="1">RANK(L149,$L$6:$L$475,0)</f>
        <v>143</v>
      </c>
      <c r="B149" s="1" t="s">
        <v>299</v>
      </c>
      <c r="C149" s="18">
        <v>45172</v>
      </c>
      <c r="D149" s="1" t="s">
        <v>68</v>
      </c>
      <c r="E149" s="1" t="s">
        <v>20</v>
      </c>
      <c r="F149" s="1">
        <v>27</v>
      </c>
      <c r="G149" s="1">
        <v>21</v>
      </c>
      <c r="H149" s="1">
        <v>7</v>
      </c>
      <c r="I149" s="1">
        <v>13</v>
      </c>
      <c r="J149" s="1">
        <v>6</v>
      </c>
      <c r="K149" s="1">
        <v>74</v>
      </c>
      <c r="L149" s="5">
        <f ca="1">K149-(ROUNDDOWN((($G$1-C149)/365),1))</f>
        <v>71</v>
      </c>
    </row>
    <row r="150" spans="1:12" x14ac:dyDescent="0.25">
      <c r="A150" s="2">
        <f ca="1">RANK(L150,$L$6:$L$475,0)</f>
        <v>143</v>
      </c>
      <c r="B150" s="29" t="s">
        <v>524</v>
      </c>
      <c r="C150" s="18">
        <v>46235</v>
      </c>
      <c r="D150" s="1" t="s">
        <v>73</v>
      </c>
      <c r="E150" s="1" t="s">
        <v>40</v>
      </c>
      <c r="F150" s="1">
        <v>30</v>
      </c>
      <c r="G150" s="1">
        <v>17</v>
      </c>
      <c r="H150" s="1">
        <v>7</v>
      </c>
      <c r="I150" s="1">
        <v>12</v>
      </c>
      <c r="J150" s="1">
        <v>5</v>
      </c>
      <c r="K150" s="1">
        <v>71</v>
      </c>
      <c r="L150" s="5">
        <v>71</v>
      </c>
    </row>
    <row r="151" spans="1:12" x14ac:dyDescent="0.25">
      <c r="A151" s="2">
        <f ca="1">RANK(L151,$L$6:$L$475,0)</f>
        <v>143</v>
      </c>
      <c r="B151" s="29" t="s">
        <v>527</v>
      </c>
      <c r="C151" s="18">
        <v>46264</v>
      </c>
      <c r="D151" s="1" t="s">
        <v>68</v>
      </c>
      <c r="E151" s="1" t="s">
        <v>17</v>
      </c>
      <c r="F151" s="1">
        <v>29</v>
      </c>
      <c r="G151" s="1">
        <v>19</v>
      </c>
      <c r="H151" s="1">
        <v>4</v>
      </c>
      <c r="I151" s="1">
        <v>11</v>
      </c>
      <c r="J151" s="1">
        <v>8</v>
      </c>
      <c r="K151" s="1">
        <v>71</v>
      </c>
      <c r="L151" s="5">
        <v>71</v>
      </c>
    </row>
    <row r="152" spans="1:12" x14ac:dyDescent="0.25">
      <c r="A152" s="2">
        <f ca="1">RANK(L152,$L$6:$L$475,0)</f>
        <v>143</v>
      </c>
      <c r="B152" s="1" t="s">
        <v>531</v>
      </c>
      <c r="C152" s="18">
        <v>46285</v>
      </c>
      <c r="D152" s="1" t="s">
        <v>71</v>
      </c>
      <c r="E152" s="1" t="s">
        <v>22</v>
      </c>
      <c r="F152" s="1">
        <v>29</v>
      </c>
      <c r="G152" s="1">
        <v>20</v>
      </c>
      <c r="H152" s="1">
        <v>5</v>
      </c>
      <c r="I152" s="1">
        <v>11</v>
      </c>
      <c r="J152" s="1">
        <v>6</v>
      </c>
      <c r="K152" s="1">
        <v>71</v>
      </c>
      <c r="L152" s="5">
        <f ca="1">K152-(ROUNDDOWN((($G$1-C152)/365),1))</f>
        <v>71</v>
      </c>
    </row>
    <row r="153" spans="1:12" x14ac:dyDescent="0.25">
      <c r="A153" s="2">
        <f ca="1">RANK(L153,$L$6:$L$475,0)</f>
        <v>148</v>
      </c>
      <c r="B153" s="1" t="s">
        <v>453</v>
      </c>
      <c r="C153" s="18">
        <v>45886</v>
      </c>
      <c r="D153" s="1" t="s">
        <v>309</v>
      </c>
      <c r="E153" s="1" t="s">
        <v>33</v>
      </c>
      <c r="F153" s="1">
        <v>30</v>
      </c>
      <c r="G153" s="1">
        <v>19</v>
      </c>
      <c r="H153" s="1">
        <v>6</v>
      </c>
      <c r="I153" s="1">
        <v>11</v>
      </c>
      <c r="J153" s="1">
        <v>6</v>
      </c>
      <c r="K153" s="1">
        <v>72</v>
      </c>
      <c r="L153" s="5">
        <f ca="1">K153-(ROUNDDOWN((($G$1-C153)/365),1))</f>
        <v>70.900000000000006</v>
      </c>
    </row>
    <row r="154" spans="1:12" x14ac:dyDescent="0.25">
      <c r="A154" s="2">
        <f ca="1">RANK(L154,$L$6:$L$475,0)</f>
        <v>148</v>
      </c>
      <c r="B154" s="1" t="s">
        <v>41</v>
      </c>
      <c r="C154" s="18">
        <v>44409</v>
      </c>
      <c r="D154" s="1" t="s">
        <v>68</v>
      </c>
      <c r="E154" s="1" t="s">
        <v>40</v>
      </c>
      <c r="F154" s="1">
        <v>28</v>
      </c>
      <c r="G154" s="1">
        <v>16</v>
      </c>
      <c r="H154" s="1">
        <v>9</v>
      </c>
      <c r="I154" s="1">
        <v>16</v>
      </c>
      <c r="J154" s="1">
        <v>7</v>
      </c>
      <c r="K154" s="1">
        <v>76</v>
      </c>
      <c r="L154" s="5">
        <f ca="1">K154-(ROUNDDOWN((($G$1-C154)/365),1))</f>
        <v>70.900000000000006</v>
      </c>
    </row>
    <row r="155" spans="1:12" x14ac:dyDescent="0.25">
      <c r="A155" s="2">
        <f ca="1">RANK(L155,$L$6:$L$475,0)</f>
        <v>150</v>
      </c>
      <c r="B155" s="1" t="s">
        <v>218</v>
      </c>
      <c r="C155" s="18">
        <v>44731</v>
      </c>
      <c r="D155" s="1" t="s">
        <v>72</v>
      </c>
      <c r="E155" s="1" t="s">
        <v>17</v>
      </c>
      <c r="F155" s="1">
        <v>29</v>
      </c>
      <c r="G155" s="1">
        <v>18</v>
      </c>
      <c r="H155" s="1">
        <v>6</v>
      </c>
      <c r="I155" s="1">
        <v>15</v>
      </c>
      <c r="J155" s="1">
        <v>7</v>
      </c>
      <c r="K155" s="1">
        <v>75</v>
      </c>
      <c r="L155" s="5">
        <f ca="1">K155-(ROUNDDOWN((($G$1-C155)/365),1))</f>
        <v>70.8</v>
      </c>
    </row>
    <row r="156" spans="1:12" x14ac:dyDescent="0.25">
      <c r="A156" s="2">
        <f ca="1">RANK(L156,$L$6:$L$475,0)</f>
        <v>151</v>
      </c>
      <c r="B156" s="29" t="s">
        <v>217</v>
      </c>
      <c r="C156" s="18">
        <v>44724</v>
      </c>
      <c r="D156" s="1" t="s">
        <v>131</v>
      </c>
      <c r="E156" s="1" t="s">
        <v>17</v>
      </c>
      <c r="F156" s="1">
        <v>29</v>
      </c>
      <c r="G156" s="1">
        <v>18</v>
      </c>
      <c r="H156" s="1">
        <v>6</v>
      </c>
      <c r="I156" s="1">
        <v>15</v>
      </c>
      <c r="J156" s="1">
        <v>7</v>
      </c>
      <c r="K156" s="1">
        <v>75</v>
      </c>
      <c r="L156" s="5">
        <f ca="1">K156-(ROUNDDOWN((($G$1-C156)/365),1))</f>
        <v>70.7</v>
      </c>
    </row>
    <row r="157" spans="1:12" x14ac:dyDescent="0.25">
      <c r="A157" s="2">
        <f ca="1">RANK(L157,$L$6:$L$475,0)</f>
        <v>151</v>
      </c>
      <c r="B157" s="1" t="s">
        <v>285</v>
      </c>
      <c r="C157" s="18">
        <v>45081</v>
      </c>
      <c r="D157" s="1" t="s">
        <v>74</v>
      </c>
      <c r="E157" s="1" t="s">
        <v>22</v>
      </c>
      <c r="F157" s="1">
        <v>27</v>
      </c>
      <c r="G157" s="1">
        <v>19</v>
      </c>
      <c r="H157" s="1">
        <v>6</v>
      </c>
      <c r="I157" s="1">
        <v>15</v>
      </c>
      <c r="J157" s="1">
        <v>7</v>
      </c>
      <c r="K157" s="1">
        <v>74</v>
      </c>
      <c r="L157" s="5">
        <f ca="1">K157-(ROUNDDOWN((($G$1-C157)/365),1))</f>
        <v>70.7</v>
      </c>
    </row>
    <row r="158" spans="1:12" x14ac:dyDescent="0.25">
      <c r="A158" s="2">
        <f ca="1">RANK(L158,$L$6:$L$475,0)</f>
        <v>151</v>
      </c>
      <c r="B158" s="1" t="s">
        <v>211</v>
      </c>
      <c r="C158" s="18">
        <v>44703</v>
      </c>
      <c r="D158" s="1" t="s">
        <v>69</v>
      </c>
      <c r="E158" s="1" t="s">
        <v>22</v>
      </c>
      <c r="F158" s="1">
        <v>29</v>
      </c>
      <c r="G158" s="1">
        <v>21</v>
      </c>
      <c r="H158" s="1">
        <v>5</v>
      </c>
      <c r="I158" s="1">
        <v>13</v>
      </c>
      <c r="J158" s="1">
        <v>7</v>
      </c>
      <c r="K158" s="1">
        <v>75</v>
      </c>
      <c r="L158" s="5">
        <f ca="1">K158-(ROUNDDOWN((($G$1-C158)/365),1))</f>
        <v>70.7</v>
      </c>
    </row>
    <row r="159" spans="1:12" x14ac:dyDescent="0.25">
      <c r="A159" s="2">
        <f ca="1">RANK(L159,$L$6:$L$475,0)</f>
        <v>154</v>
      </c>
      <c r="B159" s="29" t="s">
        <v>343</v>
      </c>
      <c r="C159" s="18">
        <v>45410</v>
      </c>
      <c r="D159" s="1" t="s">
        <v>71</v>
      </c>
      <c r="E159" s="1" t="s">
        <v>17</v>
      </c>
      <c r="F159" s="1">
        <v>27</v>
      </c>
      <c r="G159" s="1">
        <v>18</v>
      </c>
      <c r="H159" s="1">
        <v>5</v>
      </c>
      <c r="I159" s="1">
        <v>16</v>
      </c>
      <c r="J159" s="1">
        <v>7</v>
      </c>
      <c r="K159" s="1">
        <v>73</v>
      </c>
      <c r="L159" s="5">
        <f ca="1">K159-(ROUNDDOWN((($G$1-C159)/365),1))</f>
        <v>70.599999999999994</v>
      </c>
    </row>
    <row r="160" spans="1:12" x14ac:dyDescent="0.25">
      <c r="A160" s="2">
        <f ca="1">RANK(L160,$L$6:$L$475,0)</f>
        <v>154</v>
      </c>
      <c r="B160" s="29" t="s">
        <v>425</v>
      </c>
      <c r="C160" s="18">
        <v>45764</v>
      </c>
      <c r="D160" s="1" t="s">
        <v>67</v>
      </c>
      <c r="E160" s="1" t="s">
        <v>33</v>
      </c>
      <c r="F160" s="1">
        <v>28</v>
      </c>
      <c r="G160" s="1">
        <v>18</v>
      </c>
      <c r="H160" s="1">
        <v>6</v>
      </c>
      <c r="I160" s="1">
        <v>13</v>
      </c>
      <c r="J160" s="1">
        <v>7</v>
      </c>
      <c r="K160" s="1">
        <v>72</v>
      </c>
      <c r="L160" s="5">
        <f ca="1">K160-(ROUNDDOWN((($G$1-C160)/365),1))</f>
        <v>70.599999999999994</v>
      </c>
    </row>
    <row r="161" spans="1:12" x14ac:dyDescent="0.25">
      <c r="A161" s="2">
        <f ca="1">RANK(L161,$L$6:$L$475,0)</f>
        <v>154</v>
      </c>
      <c r="B161" s="1" t="s">
        <v>209</v>
      </c>
      <c r="C161" s="18">
        <v>44668</v>
      </c>
      <c r="D161" s="1" t="s">
        <v>184</v>
      </c>
      <c r="E161" s="1" t="s">
        <v>17</v>
      </c>
      <c r="F161" s="1">
        <v>28</v>
      </c>
      <c r="G161" s="1">
        <v>23</v>
      </c>
      <c r="H161" s="1">
        <v>7</v>
      </c>
      <c r="I161" s="1">
        <v>11</v>
      </c>
      <c r="J161" s="1">
        <v>6</v>
      </c>
      <c r="K161" s="1">
        <v>75</v>
      </c>
      <c r="L161" s="5">
        <f ca="1">K161-(ROUNDDOWN((($G$1-C161)/365),1))</f>
        <v>70.599999999999994</v>
      </c>
    </row>
    <row r="162" spans="1:12" x14ac:dyDescent="0.25">
      <c r="A162" s="2">
        <f ca="1">RANK(L162,$L$6:$L$475,0)</f>
        <v>154</v>
      </c>
      <c r="B162" s="1" t="s">
        <v>422</v>
      </c>
      <c r="C162" s="18">
        <v>45753</v>
      </c>
      <c r="D162" s="1" t="s">
        <v>73</v>
      </c>
      <c r="E162" s="1" t="s">
        <v>22</v>
      </c>
      <c r="F162" s="1">
        <v>29</v>
      </c>
      <c r="G162" s="1">
        <v>21</v>
      </c>
      <c r="H162" s="1">
        <v>7</v>
      </c>
      <c r="I162" s="1">
        <v>10</v>
      </c>
      <c r="J162" s="1">
        <v>5</v>
      </c>
      <c r="K162" s="1">
        <v>72</v>
      </c>
      <c r="L162" s="5">
        <f ca="1">K162-(ROUNDDOWN((($G$1-C162)/365),1))</f>
        <v>70.599999999999994</v>
      </c>
    </row>
    <row r="163" spans="1:12" x14ac:dyDescent="0.25">
      <c r="A163" s="2">
        <f ca="1">RANK(L163,$L$6:$L$475,0)</f>
        <v>158</v>
      </c>
      <c r="B163" s="1" t="s">
        <v>109</v>
      </c>
      <c r="C163" s="18">
        <v>44276</v>
      </c>
      <c r="D163" s="1" t="s">
        <v>74</v>
      </c>
      <c r="E163" s="1" t="s">
        <v>22</v>
      </c>
      <c r="F163" s="1">
        <v>29</v>
      </c>
      <c r="G163" s="1">
        <v>19</v>
      </c>
      <c r="H163" s="1">
        <v>5</v>
      </c>
      <c r="I163" s="1">
        <v>16</v>
      </c>
      <c r="J163" s="1">
        <v>7</v>
      </c>
      <c r="K163" s="1">
        <v>76</v>
      </c>
      <c r="L163" s="5">
        <f ca="1">K163-(ROUNDDOWN((($G$1-C163)/365),1))</f>
        <v>70.5</v>
      </c>
    </row>
    <row r="164" spans="1:12" x14ac:dyDescent="0.25">
      <c r="A164" s="2">
        <f ca="1">RANK(L164,$L$6:$L$475,0)</f>
        <v>159</v>
      </c>
      <c r="B164" s="29" t="s">
        <v>411</v>
      </c>
      <c r="C164" s="18">
        <v>45697</v>
      </c>
      <c r="D164" s="1" t="s">
        <v>266</v>
      </c>
      <c r="E164" s="1" t="s">
        <v>22</v>
      </c>
      <c r="F164" s="1">
        <v>30</v>
      </c>
      <c r="G164" s="1">
        <v>16</v>
      </c>
      <c r="H164" s="1">
        <v>8</v>
      </c>
      <c r="I164" s="1">
        <v>13</v>
      </c>
      <c r="J164" s="1">
        <v>5</v>
      </c>
      <c r="K164" s="1">
        <v>72</v>
      </c>
      <c r="L164" s="5">
        <f ca="1">K164-(ROUNDDOWN((($G$1-C164)/365),1))</f>
        <v>70.400000000000006</v>
      </c>
    </row>
    <row r="165" spans="1:12" x14ac:dyDescent="0.25">
      <c r="A165" s="2">
        <f ca="1">RANK(L165,$L$6:$L$475,0)</f>
        <v>159</v>
      </c>
      <c r="B165" s="1" t="s">
        <v>491</v>
      </c>
      <c r="C165" s="18">
        <v>46061</v>
      </c>
      <c r="D165" s="1" t="s">
        <v>71</v>
      </c>
      <c r="E165" s="1" t="s">
        <v>17</v>
      </c>
      <c r="F165" s="1">
        <v>27</v>
      </c>
      <c r="G165" s="1">
        <v>21</v>
      </c>
      <c r="H165" s="1">
        <v>5</v>
      </c>
      <c r="I165" s="1">
        <v>13</v>
      </c>
      <c r="J165" s="1">
        <v>5</v>
      </c>
      <c r="K165" s="1">
        <v>71</v>
      </c>
      <c r="L165" s="5">
        <f ca="1">K165-(ROUNDDOWN((($G$1-C165)/365),1))</f>
        <v>70.400000000000006</v>
      </c>
    </row>
    <row r="166" spans="1:12" x14ac:dyDescent="0.25">
      <c r="A166" s="2">
        <f ca="1">RANK(L166,$L$6:$L$475,0)</f>
        <v>161</v>
      </c>
      <c r="B166" s="1" t="s">
        <v>400</v>
      </c>
      <c r="C166" s="18">
        <v>45662</v>
      </c>
      <c r="D166" s="1" t="s">
        <v>68</v>
      </c>
      <c r="E166" s="1" t="s">
        <v>40</v>
      </c>
      <c r="F166" s="1">
        <v>29</v>
      </c>
      <c r="G166" s="1">
        <v>17</v>
      </c>
      <c r="H166" s="1">
        <v>7</v>
      </c>
      <c r="I166" s="1">
        <v>13</v>
      </c>
      <c r="J166" s="1">
        <v>6</v>
      </c>
      <c r="K166" s="1">
        <v>72</v>
      </c>
      <c r="L166" s="5">
        <f ca="1">K166-(ROUNDDOWN((($G$1-C166)/365),1))</f>
        <v>70.3</v>
      </c>
    </row>
    <row r="167" spans="1:12" x14ac:dyDescent="0.25">
      <c r="A167" s="2">
        <f ca="1">RANK(L167,$L$6:$L$475,0)</f>
        <v>161</v>
      </c>
      <c r="B167" s="29" t="s">
        <v>259</v>
      </c>
      <c r="C167" s="18">
        <v>44927</v>
      </c>
      <c r="D167" s="1" t="s">
        <v>68</v>
      </c>
      <c r="E167" s="1" t="s">
        <v>22</v>
      </c>
      <c r="F167" s="1">
        <v>27</v>
      </c>
      <c r="G167" s="1">
        <v>18</v>
      </c>
      <c r="H167" s="1">
        <v>6</v>
      </c>
      <c r="I167" s="1">
        <v>15</v>
      </c>
      <c r="J167" s="1">
        <v>8</v>
      </c>
      <c r="K167" s="1">
        <v>74</v>
      </c>
      <c r="L167" s="5">
        <f ca="1">K167-(ROUNDDOWN((($G$1-C167)/365),1))</f>
        <v>70.3</v>
      </c>
    </row>
    <row r="168" spans="1:12" x14ac:dyDescent="0.25">
      <c r="A168" s="2">
        <f ca="1">RANK(L168,$L$6:$L$475,0)</f>
        <v>163</v>
      </c>
      <c r="B168" s="1" t="s">
        <v>319</v>
      </c>
      <c r="C168" s="18">
        <v>45277</v>
      </c>
      <c r="D168" s="1" t="s">
        <v>266</v>
      </c>
      <c r="E168" s="1" t="s">
        <v>22</v>
      </c>
      <c r="F168" s="1">
        <v>28</v>
      </c>
      <c r="G168" s="1">
        <v>19</v>
      </c>
      <c r="H168" s="1">
        <v>6</v>
      </c>
      <c r="I168" s="1">
        <v>14</v>
      </c>
      <c r="J168" s="1">
        <v>6</v>
      </c>
      <c r="K168" s="1">
        <v>73</v>
      </c>
      <c r="L168" s="5">
        <f ca="1">K168-(ROUNDDOWN((($G$1-C168)/365),1))</f>
        <v>70.2</v>
      </c>
    </row>
    <row r="169" spans="1:12" x14ac:dyDescent="0.25">
      <c r="A169" s="2">
        <f ca="1">RANK(L169,$L$6:$L$475,0)</f>
        <v>163</v>
      </c>
      <c r="B169" s="29" t="s">
        <v>180</v>
      </c>
      <c r="C169" s="18">
        <v>44528</v>
      </c>
      <c r="D169" s="1" t="s">
        <v>71</v>
      </c>
      <c r="E169" s="1" t="s">
        <v>17</v>
      </c>
      <c r="F169" s="1">
        <v>29</v>
      </c>
      <c r="G169" s="1">
        <v>19</v>
      </c>
      <c r="H169" s="1">
        <v>6</v>
      </c>
      <c r="I169" s="1">
        <v>15</v>
      </c>
      <c r="J169" s="1">
        <v>6</v>
      </c>
      <c r="K169" s="1">
        <v>75</v>
      </c>
      <c r="L169" s="5">
        <f ca="1">K169-(ROUNDDOWN((($G$1-C169)/365),1))</f>
        <v>70.2</v>
      </c>
    </row>
    <row r="170" spans="1:12" x14ac:dyDescent="0.25">
      <c r="A170" s="2">
        <f ca="1">RANK(L170,$L$6:$L$475,0)</f>
        <v>165</v>
      </c>
      <c r="B170" s="1" t="s">
        <v>465</v>
      </c>
      <c r="C170" s="18">
        <v>45963</v>
      </c>
      <c r="D170" s="1" t="s">
        <v>74</v>
      </c>
      <c r="E170" s="1" t="s">
        <v>22</v>
      </c>
      <c r="F170" s="1">
        <v>28</v>
      </c>
      <c r="G170" s="1">
        <v>18</v>
      </c>
      <c r="H170" s="1">
        <v>6</v>
      </c>
      <c r="I170" s="1">
        <v>13</v>
      </c>
      <c r="J170" s="1">
        <v>6</v>
      </c>
      <c r="K170" s="1">
        <v>71</v>
      </c>
      <c r="L170" s="5">
        <f ca="1">K170-(ROUNDDOWN((($G$1-C170)/365),1))</f>
        <v>70.099999999999994</v>
      </c>
    </row>
    <row r="171" spans="1:12" x14ac:dyDescent="0.25">
      <c r="A171" s="2">
        <f ca="1">RANK(L171,$L$6:$L$475,0)</f>
        <v>166</v>
      </c>
      <c r="B171" s="29" t="s">
        <v>302</v>
      </c>
      <c r="C171" s="18">
        <v>45200</v>
      </c>
      <c r="D171" s="1" t="s">
        <v>149</v>
      </c>
      <c r="E171" s="1" t="s">
        <v>22</v>
      </c>
      <c r="F171" s="1">
        <v>26</v>
      </c>
      <c r="G171" s="1">
        <v>19</v>
      </c>
      <c r="H171" s="1">
        <v>5</v>
      </c>
      <c r="I171" s="1">
        <v>15</v>
      </c>
      <c r="J171" s="1">
        <v>8</v>
      </c>
      <c r="K171" s="1">
        <v>73</v>
      </c>
      <c r="L171" s="5">
        <f ca="1">K171-(ROUNDDOWN((($G$1-C171)/365),1))</f>
        <v>70</v>
      </c>
    </row>
    <row r="172" spans="1:12" x14ac:dyDescent="0.25">
      <c r="A172" s="2">
        <f ca="1">RANK(L172,$L$6:$L$475,0)</f>
        <v>166</v>
      </c>
      <c r="B172" s="29" t="s">
        <v>159</v>
      </c>
      <c r="C172" s="18">
        <v>44458</v>
      </c>
      <c r="D172" s="1" t="s">
        <v>154</v>
      </c>
      <c r="E172" s="1" t="s">
        <v>17</v>
      </c>
      <c r="F172" s="1">
        <v>30</v>
      </c>
      <c r="G172" s="1">
        <v>16</v>
      </c>
      <c r="H172" s="1">
        <v>7</v>
      </c>
      <c r="I172" s="1">
        <v>15</v>
      </c>
      <c r="J172" s="1">
        <v>7</v>
      </c>
      <c r="K172" s="1">
        <v>75</v>
      </c>
      <c r="L172" s="5">
        <f ca="1">K172-(ROUNDDOWN((($G$1-C172)/365),1))</f>
        <v>70</v>
      </c>
    </row>
    <row r="173" spans="1:12" x14ac:dyDescent="0.25">
      <c r="A173" s="2">
        <f ca="1">RANK(L173,$L$6:$L$475,0)</f>
        <v>166</v>
      </c>
      <c r="B173" s="1" t="s">
        <v>369</v>
      </c>
      <c r="C173" s="18">
        <v>45543</v>
      </c>
      <c r="D173" s="1" t="s">
        <v>71</v>
      </c>
      <c r="E173" s="1" t="s">
        <v>22</v>
      </c>
      <c r="F173" s="1">
        <v>28</v>
      </c>
      <c r="G173" s="1">
        <v>17</v>
      </c>
      <c r="H173" s="1">
        <v>5</v>
      </c>
      <c r="I173" s="1">
        <v>15</v>
      </c>
      <c r="J173" s="1">
        <v>7</v>
      </c>
      <c r="K173" s="1">
        <v>72</v>
      </c>
      <c r="L173" s="5">
        <f ca="1">K173-(ROUNDDOWN((($G$1-C173)/365),1))</f>
        <v>70</v>
      </c>
    </row>
    <row r="174" spans="1:12" x14ac:dyDescent="0.25">
      <c r="A174" s="2">
        <f ca="1">RANK(L174,$L$6:$L$475,0)</f>
        <v>166</v>
      </c>
      <c r="B174" s="1" t="s">
        <v>456</v>
      </c>
      <c r="C174" s="18">
        <v>45907</v>
      </c>
      <c r="D174" s="1" t="s">
        <v>377</v>
      </c>
      <c r="E174" s="1" t="s">
        <v>22</v>
      </c>
      <c r="F174" s="1">
        <v>29</v>
      </c>
      <c r="G174" s="1">
        <v>19</v>
      </c>
      <c r="H174" s="1">
        <v>6</v>
      </c>
      <c r="I174" s="1">
        <v>12</v>
      </c>
      <c r="J174" s="1">
        <v>5</v>
      </c>
      <c r="K174" s="1">
        <v>71</v>
      </c>
      <c r="L174" s="5">
        <f ca="1">K174-(ROUNDDOWN((($G$1-C174)/365),1))</f>
        <v>70</v>
      </c>
    </row>
    <row r="175" spans="1:12" x14ac:dyDescent="0.25">
      <c r="A175" s="2">
        <f ca="1">RANK(L175,$L$6:$L$475,0)</f>
        <v>166</v>
      </c>
      <c r="B175" s="1" t="s">
        <v>528</v>
      </c>
      <c r="C175" s="18">
        <v>46271</v>
      </c>
      <c r="D175" s="1" t="s">
        <v>483</v>
      </c>
      <c r="E175" s="1" t="s">
        <v>17</v>
      </c>
      <c r="F175" s="1">
        <v>27</v>
      </c>
      <c r="G175" s="1">
        <v>18</v>
      </c>
      <c r="H175" s="1">
        <v>5</v>
      </c>
      <c r="I175" s="1">
        <v>14</v>
      </c>
      <c r="J175" s="1">
        <v>6</v>
      </c>
      <c r="K175" s="1">
        <v>70</v>
      </c>
      <c r="L175" s="5">
        <f ca="1">K175-(ROUNDDOWN((($G$1-C175)/365),1))</f>
        <v>70</v>
      </c>
    </row>
    <row r="176" spans="1:12" x14ac:dyDescent="0.25">
      <c r="A176" s="2">
        <f ca="1">RANK(L176,$L$6:$L$475,0)</f>
        <v>171</v>
      </c>
      <c r="B176" s="1" t="s">
        <v>47</v>
      </c>
      <c r="C176" s="18">
        <v>44423</v>
      </c>
      <c r="D176" s="1" t="s">
        <v>69</v>
      </c>
      <c r="E176" s="1" t="s">
        <v>33</v>
      </c>
      <c r="F176" s="1">
        <v>29</v>
      </c>
      <c r="G176" s="1">
        <v>21</v>
      </c>
      <c r="H176" s="1">
        <v>7</v>
      </c>
      <c r="I176" s="1">
        <v>11</v>
      </c>
      <c r="J176" s="1">
        <v>7</v>
      </c>
      <c r="K176" s="1">
        <v>75</v>
      </c>
      <c r="L176" s="5">
        <f ca="1">K176-(ROUNDDOWN((($G$1-C176)/365),1))</f>
        <v>69.900000000000006</v>
      </c>
    </row>
    <row r="177" spans="1:12" x14ac:dyDescent="0.25">
      <c r="A177" s="2">
        <f ca="1">RANK(L177,$L$6:$L$475,0)</f>
        <v>171</v>
      </c>
      <c r="B177" s="1" t="s">
        <v>139</v>
      </c>
      <c r="C177" s="18">
        <v>44409</v>
      </c>
      <c r="D177" s="1" t="s">
        <v>69</v>
      </c>
      <c r="E177" s="1" t="s">
        <v>22</v>
      </c>
      <c r="F177" s="1">
        <v>30</v>
      </c>
      <c r="G177" s="1">
        <v>21</v>
      </c>
      <c r="H177" s="1">
        <v>5</v>
      </c>
      <c r="I177" s="1">
        <v>13</v>
      </c>
      <c r="J177" s="1">
        <v>6</v>
      </c>
      <c r="K177" s="1">
        <v>75</v>
      </c>
      <c r="L177" s="5">
        <f ca="1">K177-(ROUNDDOWN((($G$1-C177)/365),1))</f>
        <v>69.900000000000006</v>
      </c>
    </row>
    <row r="178" spans="1:12" x14ac:dyDescent="0.25">
      <c r="A178" s="2">
        <f ca="1">RANK(L178,$L$6:$L$475,0)</f>
        <v>173</v>
      </c>
      <c r="B178" s="29" t="s">
        <v>292</v>
      </c>
      <c r="C178" s="18">
        <v>45109</v>
      </c>
      <c r="D178" s="1" t="s">
        <v>154</v>
      </c>
      <c r="E178" s="1" t="s">
        <v>22</v>
      </c>
      <c r="F178" s="1">
        <v>28</v>
      </c>
      <c r="G178" s="1">
        <v>18</v>
      </c>
      <c r="H178" s="1">
        <v>6</v>
      </c>
      <c r="I178" s="1">
        <v>13</v>
      </c>
      <c r="J178" s="1">
        <v>8</v>
      </c>
      <c r="K178" s="1">
        <v>73</v>
      </c>
      <c r="L178" s="5">
        <f ca="1">K178-(ROUNDDOWN((($G$1-C178)/365),1))</f>
        <v>69.8</v>
      </c>
    </row>
    <row r="179" spans="1:12" x14ac:dyDescent="0.25">
      <c r="A179" s="2">
        <f ca="1">RANK(L179,$L$6:$L$475,0)</f>
        <v>174</v>
      </c>
      <c r="B179" s="1" t="s">
        <v>281</v>
      </c>
      <c r="C179" s="18">
        <v>45067</v>
      </c>
      <c r="D179" s="1" t="s">
        <v>69</v>
      </c>
      <c r="E179" s="1" t="s">
        <v>17</v>
      </c>
      <c r="F179" s="1">
        <v>25</v>
      </c>
      <c r="G179" s="1">
        <v>23</v>
      </c>
      <c r="H179" s="1">
        <v>5</v>
      </c>
      <c r="I179" s="1">
        <v>14</v>
      </c>
      <c r="J179" s="1">
        <v>6</v>
      </c>
      <c r="K179" s="1">
        <v>73</v>
      </c>
      <c r="L179" s="5">
        <f ca="1">K179-(ROUNDDOWN((($G$1-C179)/365),1))</f>
        <v>69.7</v>
      </c>
    </row>
    <row r="180" spans="1:12" x14ac:dyDescent="0.25">
      <c r="A180" s="2">
        <f ca="1">RANK(L180,$L$6:$L$475,0)</f>
        <v>175</v>
      </c>
      <c r="B180" s="29" t="s">
        <v>121</v>
      </c>
      <c r="C180" s="18">
        <v>44318</v>
      </c>
      <c r="D180" s="1" t="s">
        <v>72</v>
      </c>
      <c r="E180" s="1" t="s">
        <v>17</v>
      </c>
      <c r="F180" s="1">
        <v>30</v>
      </c>
      <c r="G180" s="1">
        <v>14</v>
      </c>
      <c r="H180" s="1">
        <v>7</v>
      </c>
      <c r="I180" s="1">
        <v>16</v>
      </c>
      <c r="J180" s="1">
        <v>8</v>
      </c>
      <c r="K180" s="1">
        <v>75</v>
      </c>
      <c r="L180" s="5">
        <f ca="1">K180-(ROUNDDOWN((($G$1-C180)/365),1))</f>
        <v>69.599999999999994</v>
      </c>
    </row>
    <row r="181" spans="1:12" x14ac:dyDescent="0.25">
      <c r="A181" s="2">
        <f ca="1">RANK(L181,$L$6:$L$475,0)</f>
        <v>175</v>
      </c>
      <c r="B181" s="1" t="s">
        <v>273</v>
      </c>
      <c r="C181" s="18">
        <v>45025</v>
      </c>
      <c r="D181" s="1" t="s">
        <v>68</v>
      </c>
      <c r="E181" s="1" t="s">
        <v>40</v>
      </c>
      <c r="F181" s="1">
        <v>28</v>
      </c>
      <c r="G181" s="1">
        <v>16</v>
      </c>
      <c r="H181" s="1">
        <v>8</v>
      </c>
      <c r="I181" s="1">
        <v>14</v>
      </c>
      <c r="J181" s="1">
        <v>7</v>
      </c>
      <c r="K181" s="1">
        <v>73</v>
      </c>
      <c r="L181" s="5">
        <f ca="1">K181-(ROUNDDOWN((($G$1-C181)/365),1))</f>
        <v>69.599999999999994</v>
      </c>
    </row>
    <row r="182" spans="1:12" x14ac:dyDescent="0.25">
      <c r="A182" s="2">
        <f ca="1">RANK(L182,$L$6:$L$475,0)</f>
        <v>177</v>
      </c>
      <c r="B182" s="29" t="s">
        <v>136</v>
      </c>
      <c r="C182" s="18">
        <v>45011</v>
      </c>
      <c r="D182" s="1" t="s">
        <v>72</v>
      </c>
      <c r="E182" s="1" t="s">
        <v>17</v>
      </c>
      <c r="F182" s="1">
        <v>30</v>
      </c>
      <c r="G182" s="1">
        <v>17</v>
      </c>
      <c r="H182" s="1">
        <v>7</v>
      </c>
      <c r="I182" s="1">
        <v>11</v>
      </c>
      <c r="J182" s="1">
        <v>8</v>
      </c>
      <c r="K182" s="1">
        <v>73</v>
      </c>
      <c r="L182" s="5">
        <f ca="1">K182-(ROUNDDOWN((($G$1-C182)/365),1))</f>
        <v>69.5</v>
      </c>
    </row>
    <row r="183" spans="1:12" x14ac:dyDescent="0.25">
      <c r="A183" s="2">
        <f ca="1">RANK(L183,$L$6:$L$475,0)</f>
        <v>177</v>
      </c>
      <c r="B183" s="1" t="s">
        <v>415</v>
      </c>
      <c r="C183" s="18">
        <v>45732</v>
      </c>
      <c r="D183" s="1" t="s">
        <v>73</v>
      </c>
      <c r="E183" s="1" t="s">
        <v>22</v>
      </c>
      <c r="F183" s="1">
        <v>28</v>
      </c>
      <c r="G183" s="1">
        <v>22</v>
      </c>
      <c r="H183" s="1">
        <v>5</v>
      </c>
      <c r="I183" s="1">
        <v>10</v>
      </c>
      <c r="J183" s="1">
        <v>6</v>
      </c>
      <c r="K183" s="1">
        <v>71</v>
      </c>
      <c r="L183" s="5">
        <f ca="1">K183-(ROUNDDOWN((($G$1-C183)/365),1))</f>
        <v>69.5</v>
      </c>
    </row>
    <row r="184" spans="1:12" x14ac:dyDescent="0.25">
      <c r="A184" s="2">
        <f ca="1">RANK(L184,$L$6:$L$475,0)</f>
        <v>179</v>
      </c>
      <c r="B184" s="29" t="s">
        <v>196</v>
      </c>
      <c r="C184" s="18">
        <v>44612</v>
      </c>
      <c r="D184" s="1" t="s">
        <v>69</v>
      </c>
      <c r="E184" s="1" t="s">
        <v>22</v>
      </c>
      <c r="F184" s="1">
        <v>30</v>
      </c>
      <c r="G184" s="1">
        <v>16</v>
      </c>
      <c r="H184" s="1">
        <v>7</v>
      </c>
      <c r="I184" s="1">
        <v>14</v>
      </c>
      <c r="J184" s="1">
        <v>7</v>
      </c>
      <c r="K184" s="1">
        <v>74</v>
      </c>
      <c r="L184" s="5">
        <f ca="1">K184-(ROUNDDOWN((($G$1-C184)/365),1))</f>
        <v>69.400000000000006</v>
      </c>
    </row>
    <row r="185" spans="1:12" x14ac:dyDescent="0.25">
      <c r="A185" s="2">
        <f ca="1">RANK(L185,$L$6:$L$475,0)</f>
        <v>179</v>
      </c>
      <c r="B185" s="29" t="s">
        <v>486</v>
      </c>
      <c r="C185" s="18">
        <v>46054</v>
      </c>
      <c r="D185" s="1" t="s">
        <v>71</v>
      </c>
      <c r="E185" s="1" t="s">
        <v>22</v>
      </c>
      <c r="F185" s="1">
        <v>30</v>
      </c>
      <c r="G185" s="1">
        <v>19</v>
      </c>
      <c r="H185" s="1">
        <v>8</v>
      </c>
      <c r="I185" s="1">
        <v>8</v>
      </c>
      <c r="J185" s="1">
        <v>5</v>
      </c>
      <c r="K185" s="1">
        <v>70</v>
      </c>
      <c r="L185" s="5">
        <f ca="1">K185-(ROUNDDOWN((($G$1-C185)/365),1))</f>
        <v>69.400000000000006</v>
      </c>
    </row>
    <row r="186" spans="1:12" x14ac:dyDescent="0.25">
      <c r="A186" s="2">
        <f ca="1">RANK(L186,$L$6:$L$475,0)</f>
        <v>181</v>
      </c>
      <c r="B186" s="1" t="s">
        <v>481</v>
      </c>
      <c r="C186" s="18">
        <v>46033</v>
      </c>
      <c r="D186" s="1" t="s">
        <v>378</v>
      </c>
      <c r="E186" s="1" t="s">
        <v>17</v>
      </c>
      <c r="F186" s="1">
        <v>25</v>
      </c>
      <c r="G186" s="1">
        <v>21</v>
      </c>
      <c r="H186" s="1">
        <v>5</v>
      </c>
      <c r="I186" s="1">
        <v>14</v>
      </c>
      <c r="J186" s="1">
        <v>5</v>
      </c>
      <c r="K186" s="1">
        <v>70</v>
      </c>
      <c r="L186" s="5">
        <f ca="1">K186-(ROUNDDOWN((($G$1-C186)/365),1))</f>
        <v>69.3</v>
      </c>
    </row>
    <row r="187" spans="1:12" x14ac:dyDescent="0.25">
      <c r="A187" s="2">
        <f ca="1">RANK(L187,$L$6:$L$475,0)</f>
        <v>181</v>
      </c>
      <c r="B187" s="29" t="s">
        <v>87</v>
      </c>
      <c r="C187" s="18">
        <v>43832</v>
      </c>
      <c r="D187" s="1" t="s">
        <v>69</v>
      </c>
      <c r="E187" s="1" t="s">
        <v>22</v>
      </c>
      <c r="F187" s="1">
        <v>29</v>
      </c>
      <c r="G187" s="1">
        <v>20</v>
      </c>
      <c r="H187" s="1">
        <v>7</v>
      </c>
      <c r="I187" s="1">
        <v>13</v>
      </c>
      <c r="J187" s="1">
        <v>7</v>
      </c>
      <c r="K187" s="1">
        <v>76</v>
      </c>
      <c r="L187" s="5">
        <f ca="1">K187-(ROUNDDOWN((($G$1-C187)/365),1))</f>
        <v>69.3</v>
      </c>
    </row>
    <row r="188" spans="1:12" x14ac:dyDescent="0.25">
      <c r="A188" s="2">
        <f ca="1">RANK(L188,$L$6:$L$475,0)</f>
        <v>181</v>
      </c>
      <c r="B188" s="29" t="s">
        <v>258</v>
      </c>
      <c r="C188" s="18">
        <v>44927</v>
      </c>
      <c r="D188" s="1" t="s">
        <v>68</v>
      </c>
      <c r="E188" s="1" t="s">
        <v>22</v>
      </c>
      <c r="F188" s="1">
        <v>26</v>
      </c>
      <c r="G188" s="1">
        <v>18</v>
      </c>
      <c r="H188" s="1">
        <v>6</v>
      </c>
      <c r="I188" s="1">
        <v>15</v>
      </c>
      <c r="J188" s="1">
        <v>8</v>
      </c>
      <c r="K188" s="1">
        <v>73</v>
      </c>
      <c r="L188" s="5">
        <f ca="1">K188-(ROUNDDOWN((($G$1-C188)/365),1))</f>
        <v>69.3</v>
      </c>
    </row>
    <row r="189" spans="1:12" x14ac:dyDescent="0.25">
      <c r="A189" s="2">
        <f ca="1">RANK(L189,$L$6:$L$475,0)</f>
        <v>181</v>
      </c>
      <c r="B189" s="1" t="s">
        <v>397</v>
      </c>
      <c r="C189" s="18">
        <v>45648</v>
      </c>
      <c r="D189" s="1" t="s">
        <v>149</v>
      </c>
      <c r="E189" s="1" t="s">
        <v>17</v>
      </c>
      <c r="F189" s="1">
        <v>26</v>
      </c>
      <c r="G189" s="1">
        <v>22</v>
      </c>
      <c r="H189" s="1">
        <v>3</v>
      </c>
      <c r="I189" s="1">
        <v>16</v>
      </c>
      <c r="J189" s="1">
        <v>4</v>
      </c>
      <c r="K189" s="1">
        <v>71</v>
      </c>
      <c r="L189" s="5">
        <f ca="1">K189-(ROUNDDOWN((($G$1-C189)/365),1))</f>
        <v>69.3</v>
      </c>
    </row>
    <row r="190" spans="1:12" x14ac:dyDescent="0.25">
      <c r="A190" s="2">
        <f ca="1">RANK(L190,$L$6:$L$475,0)</f>
        <v>185</v>
      </c>
      <c r="B190" s="29" t="s">
        <v>318</v>
      </c>
      <c r="C190" s="18">
        <v>45270</v>
      </c>
      <c r="D190" s="1" t="s">
        <v>72</v>
      </c>
      <c r="E190" s="1" t="s">
        <v>17</v>
      </c>
      <c r="F190" s="1">
        <v>28</v>
      </c>
      <c r="G190" s="1">
        <v>17</v>
      </c>
      <c r="H190" s="1">
        <v>6</v>
      </c>
      <c r="I190" s="1">
        <v>15</v>
      </c>
      <c r="J190" s="1">
        <v>6</v>
      </c>
      <c r="K190" s="1">
        <v>72</v>
      </c>
      <c r="L190" s="5">
        <f ca="1">K190-(ROUNDDOWN((($G$1-C190)/365),1))</f>
        <v>69.2</v>
      </c>
    </row>
    <row r="191" spans="1:12" x14ac:dyDescent="0.25">
      <c r="A191" s="2">
        <f ca="1">RANK(L191,$L$6:$L$475,0)</f>
        <v>185</v>
      </c>
      <c r="B191" s="1" t="s">
        <v>181</v>
      </c>
      <c r="C191" s="18">
        <v>44535</v>
      </c>
      <c r="D191" s="1" t="s">
        <v>71</v>
      </c>
      <c r="E191" s="1" t="s">
        <v>17</v>
      </c>
      <c r="F191" s="1">
        <v>29</v>
      </c>
      <c r="G191" s="1">
        <v>16</v>
      </c>
      <c r="H191" s="1">
        <v>5</v>
      </c>
      <c r="I191" s="1">
        <v>16</v>
      </c>
      <c r="J191" s="1">
        <v>8</v>
      </c>
      <c r="K191" s="1">
        <v>74</v>
      </c>
      <c r="L191" s="5">
        <f ca="1">K191-(ROUNDDOWN((($G$1-C191)/365),1))</f>
        <v>69.2</v>
      </c>
    </row>
    <row r="192" spans="1:12" x14ac:dyDescent="0.25">
      <c r="A192" s="2">
        <f ca="1">RANK(L192,$L$6:$L$475,0)</f>
        <v>187</v>
      </c>
      <c r="B192" s="1" t="s">
        <v>310</v>
      </c>
      <c r="C192" s="18">
        <v>45235</v>
      </c>
      <c r="D192" s="1" t="s">
        <v>184</v>
      </c>
      <c r="E192" s="1" t="s">
        <v>17</v>
      </c>
      <c r="F192" s="1">
        <v>27</v>
      </c>
      <c r="G192" s="1">
        <v>20</v>
      </c>
      <c r="H192" s="1">
        <v>6</v>
      </c>
      <c r="I192" s="1">
        <v>13</v>
      </c>
      <c r="J192" s="1">
        <v>6</v>
      </c>
      <c r="K192" s="1">
        <v>72</v>
      </c>
      <c r="L192" s="5">
        <f ca="1">K192-(ROUNDDOWN((($G$1-C192)/365),1))</f>
        <v>69.099999999999994</v>
      </c>
    </row>
    <row r="193" spans="1:12" x14ac:dyDescent="0.25">
      <c r="A193" s="2">
        <f ca="1">RANK(L193,$L$6:$L$475,0)</f>
        <v>188</v>
      </c>
      <c r="B193" s="1" t="s">
        <v>163</v>
      </c>
      <c r="C193" s="18">
        <v>44465</v>
      </c>
      <c r="D193" s="1" t="s">
        <v>154</v>
      </c>
      <c r="E193" s="1" t="s">
        <v>22</v>
      </c>
      <c r="F193" s="1">
        <v>29</v>
      </c>
      <c r="G193" s="1">
        <v>16</v>
      </c>
      <c r="H193" s="1">
        <v>7</v>
      </c>
      <c r="I193" s="1">
        <v>15</v>
      </c>
      <c r="J193" s="1">
        <v>7</v>
      </c>
      <c r="K193" s="1">
        <v>74</v>
      </c>
      <c r="L193" s="5">
        <f ca="1">K193-(ROUNDDOWN((($G$1-C193)/365),1))</f>
        <v>69</v>
      </c>
    </row>
    <row r="194" spans="1:12" x14ac:dyDescent="0.25">
      <c r="A194" s="2">
        <f ca="1">RANK(L194,$L$6:$L$475,0)</f>
        <v>188</v>
      </c>
      <c r="B194" s="1" t="s">
        <v>301</v>
      </c>
      <c r="C194" s="18">
        <v>45193</v>
      </c>
      <c r="D194" s="1" t="s">
        <v>266</v>
      </c>
      <c r="E194" s="1" t="s">
        <v>17</v>
      </c>
      <c r="F194" s="1">
        <v>28</v>
      </c>
      <c r="G194" s="1">
        <v>18</v>
      </c>
      <c r="H194" s="1">
        <v>7</v>
      </c>
      <c r="I194" s="1">
        <v>13</v>
      </c>
      <c r="J194" s="1">
        <v>6</v>
      </c>
      <c r="K194" s="1">
        <v>72</v>
      </c>
      <c r="L194" s="5">
        <f ca="1">K194-(ROUNDDOWN((($G$1-C194)/365),1))</f>
        <v>69</v>
      </c>
    </row>
    <row r="195" spans="1:12" x14ac:dyDescent="0.25">
      <c r="A195" s="2">
        <f ca="1">RANK(L195,$L$6:$L$475,0)</f>
        <v>188</v>
      </c>
      <c r="B195" s="1" t="s">
        <v>237</v>
      </c>
      <c r="C195" s="18">
        <v>44815</v>
      </c>
      <c r="D195" s="1" t="s">
        <v>236</v>
      </c>
      <c r="E195" s="1" t="s">
        <v>33</v>
      </c>
      <c r="F195" s="1">
        <v>27</v>
      </c>
      <c r="G195" s="1">
        <v>17</v>
      </c>
      <c r="H195" s="1">
        <v>7</v>
      </c>
      <c r="I195" s="1">
        <v>15</v>
      </c>
      <c r="J195" s="1">
        <v>7</v>
      </c>
      <c r="K195" s="1">
        <v>73</v>
      </c>
      <c r="L195" s="5">
        <f ca="1">K195-(ROUNDDOWN((($G$1-C195)/365),1))</f>
        <v>69</v>
      </c>
    </row>
    <row r="196" spans="1:12" x14ac:dyDescent="0.25">
      <c r="A196" s="2">
        <f ca="1">RANK(L196,$L$6:$L$475,0)</f>
        <v>188</v>
      </c>
      <c r="B196" s="29" t="s">
        <v>155</v>
      </c>
      <c r="C196" s="18">
        <v>44444</v>
      </c>
      <c r="D196" s="1" t="s">
        <v>73</v>
      </c>
      <c r="E196" s="1" t="s">
        <v>22</v>
      </c>
      <c r="F196" s="1">
        <v>29</v>
      </c>
      <c r="G196" s="1">
        <v>18</v>
      </c>
      <c r="H196" s="1">
        <v>5</v>
      </c>
      <c r="I196" s="1">
        <v>14</v>
      </c>
      <c r="J196" s="1">
        <v>8</v>
      </c>
      <c r="K196" s="1">
        <v>74</v>
      </c>
      <c r="L196" s="5">
        <f ca="1">K196-(ROUNDDOWN((($G$1-C196)/365),1))</f>
        <v>69</v>
      </c>
    </row>
    <row r="197" spans="1:12" x14ac:dyDescent="0.25">
      <c r="A197" s="2">
        <f ca="1">RANK(L197,$L$6:$L$475,0)</f>
        <v>188</v>
      </c>
      <c r="B197" s="1" t="s">
        <v>530</v>
      </c>
      <c r="C197" s="18">
        <v>46271</v>
      </c>
      <c r="D197" s="1" t="s">
        <v>236</v>
      </c>
      <c r="E197" s="1" t="s">
        <v>20</v>
      </c>
      <c r="F197" s="1">
        <v>27</v>
      </c>
      <c r="G197" s="1">
        <v>17</v>
      </c>
      <c r="H197" s="1">
        <v>6</v>
      </c>
      <c r="I197" s="1">
        <v>14</v>
      </c>
      <c r="J197" s="1">
        <v>5</v>
      </c>
      <c r="K197" s="1">
        <v>69</v>
      </c>
      <c r="L197" s="5">
        <f ca="1">K197-(ROUNDDOWN((($G$1-C197)/365),1))</f>
        <v>69</v>
      </c>
    </row>
    <row r="198" spans="1:12" x14ac:dyDescent="0.25">
      <c r="A198" s="2">
        <f ca="1">RANK(L198,$L$6:$L$475,0)</f>
        <v>188</v>
      </c>
      <c r="B198" s="1" t="s">
        <v>533</v>
      </c>
      <c r="C198" s="18">
        <v>46285</v>
      </c>
      <c r="D198" s="1" t="s">
        <v>483</v>
      </c>
      <c r="E198" s="1" t="s">
        <v>22</v>
      </c>
      <c r="F198" s="1">
        <v>28</v>
      </c>
      <c r="G198" s="1">
        <v>18</v>
      </c>
      <c r="H198" s="1">
        <v>5</v>
      </c>
      <c r="I198" s="1">
        <v>12</v>
      </c>
      <c r="J198" s="1">
        <v>6</v>
      </c>
      <c r="K198" s="1">
        <v>69</v>
      </c>
      <c r="L198" s="5">
        <f ca="1">K198-(ROUNDDOWN((($G$1-C198)/365),1))</f>
        <v>69</v>
      </c>
    </row>
    <row r="199" spans="1:12" x14ac:dyDescent="0.25">
      <c r="A199" s="2">
        <f ca="1">RANK(L199,$L$6:$L$475,0)</f>
        <v>194</v>
      </c>
      <c r="B199" s="1" t="s">
        <v>153</v>
      </c>
      <c r="C199" s="18">
        <v>44437</v>
      </c>
      <c r="D199" s="1" t="s">
        <v>74</v>
      </c>
      <c r="E199" s="1" t="s">
        <v>17</v>
      </c>
      <c r="F199" s="1">
        <v>30</v>
      </c>
      <c r="G199" s="1">
        <v>16</v>
      </c>
      <c r="H199" s="1">
        <v>6</v>
      </c>
      <c r="I199" s="1">
        <v>15</v>
      </c>
      <c r="J199" s="1">
        <v>7</v>
      </c>
      <c r="K199" s="1">
        <v>74</v>
      </c>
      <c r="L199" s="5">
        <f ca="1">K199-(ROUNDDOWN((($G$1-C199)/365),1))</f>
        <v>68.900000000000006</v>
      </c>
    </row>
    <row r="200" spans="1:12" x14ac:dyDescent="0.25">
      <c r="A200" s="2">
        <f ca="1">RANK(L200,$L$6:$L$475,0)</f>
        <v>194</v>
      </c>
      <c r="B200" s="1" t="s">
        <v>231</v>
      </c>
      <c r="C200" s="18">
        <v>44787</v>
      </c>
      <c r="D200" s="1" t="s">
        <v>69</v>
      </c>
      <c r="E200" s="1" t="s">
        <v>17</v>
      </c>
      <c r="F200" s="1">
        <v>26</v>
      </c>
      <c r="G200" s="1">
        <v>20</v>
      </c>
      <c r="H200" s="1">
        <v>5</v>
      </c>
      <c r="I200" s="1">
        <v>14</v>
      </c>
      <c r="J200" s="1">
        <v>8</v>
      </c>
      <c r="K200" s="1">
        <v>73</v>
      </c>
      <c r="L200" s="5">
        <f ca="1">K200-(ROUNDDOWN((($G$1-C200)/365),1))</f>
        <v>68.900000000000006</v>
      </c>
    </row>
    <row r="201" spans="1:12" x14ac:dyDescent="0.25">
      <c r="A201" s="2">
        <f ca="1">RANK(L201,$L$6:$L$475,0)</f>
        <v>196</v>
      </c>
      <c r="B201" s="1" t="s">
        <v>350</v>
      </c>
      <c r="C201" s="18">
        <v>45459</v>
      </c>
      <c r="D201" s="1" t="s">
        <v>66</v>
      </c>
      <c r="E201" s="1" t="s">
        <v>33</v>
      </c>
      <c r="F201" s="1">
        <v>29</v>
      </c>
      <c r="G201" s="1">
        <v>21</v>
      </c>
      <c r="H201" s="1">
        <v>7</v>
      </c>
      <c r="I201" s="1">
        <v>9</v>
      </c>
      <c r="J201" s="1">
        <v>5</v>
      </c>
      <c r="K201" s="1">
        <v>71</v>
      </c>
      <c r="L201" s="5">
        <f ca="1">K201-(ROUNDDOWN((($G$1-C201)/365),1))</f>
        <v>68.7</v>
      </c>
    </row>
    <row r="202" spans="1:12" x14ac:dyDescent="0.25">
      <c r="A202" s="2">
        <f ca="1">RANK(L202,$L$6:$L$475,0)</f>
        <v>197</v>
      </c>
      <c r="B202" s="29" t="s">
        <v>511</v>
      </c>
      <c r="C202" s="18">
        <v>46145</v>
      </c>
      <c r="D202" s="1" t="s">
        <v>378</v>
      </c>
      <c r="E202" s="1" t="s">
        <v>17</v>
      </c>
      <c r="F202" s="1">
        <v>26</v>
      </c>
      <c r="G202" s="1">
        <v>23</v>
      </c>
      <c r="H202" s="1">
        <v>4</v>
      </c>
      <c r="I202" s="1">
        <v>12</v>
      </c>
      <c r="J202" s="1">
        <v>4</v>
      </c>
      <c r="K202" s="1">
        <v>69</v>
      </c>
      <c r="L202" s="5">
        <f ca="1">K202-(ROUNDDOWN((($G$1-C202)/365),1))</f>
        <v>68.599999999999994</v>
      </c>
    </row>
    <row r="203" spans="1:12" x14ac:dyDescent="0.25">
      <c r="A203" s="2">
        <f ca="1">RANK(L203,$L$6:$L$475,0)</f>
        <v>197</v>
      </c>
      <c r="B203" s="1" t="s">
        <v>119</v>
      </c>
      <c r="C203" s="18">
        <v>44311</v>
      </c>
      <c r="D203" s="1" t="s">
        <v>72</v>
      </c>
      <c r="E203" s="1" t="s">
        <v>22</v>
      </c>
      <c r="F203" s="1">
        <v>27</v>
      </c>
      <c r="G203" s="1">
        <v>17</v>
      </c>
      <c r="H203" s="1">
        <v>7</v>
      </c>
      <c r="I203" s="1">
        <v>16</v>
      </c>
      <c r="J203" s="1">
        <v>7</v>
      </c>
      <c r="K203" s="1">
        <v>74</v>
      </c>
      <c r="L203" s="5">
        <f ca="1">K203-(ROUNDDOWN((($G$1-C203)/365),1))</f>
        <v>68.599999999999994</v>
      </c>
    </row>
    <row r="204" spans="1:12" x14ac:dyDescent="0.25">
      <c r="A204" s="2">
        <f ca="1">RANK(L204,$L$6:$L$475,0)</f>
        <v>199</v>
      </c>
      <c r="B204" s="1" t="s">
        <v>417</v>
      </c>
      <c r="C204" s="18">
        <v>45732</v>
      </c>
      <c r="D204" s="1" t="s">
        <v>308</v>
      </c>
      <c r="E204" s="1" t="s">
        <v>17</v>
      </c>
      <c r="F204" s="1">
        <v>26</v>
      </c>
      <c r="G204" s="1">
        <v>21</v>
      </c>
      <c r="H204" s="1">
        <v>6</v>
      </c>
      <c r="I204" s="1">
        <v>11</v>
      </c>
      <c r="J204" s="1">
        <v>6</v>
      </c>
      <c r="K204" s="1">
        <v>70</v>
      </c>
      <c r="L204" s="5">
        <f ca="1">K204-(ROUNDDOWN((($G$1-C204)/365),1))</f>
        <v>68.5</v>
      </c>
    </row>
    <row r="205" spans="1:12" x14ac:dyDescent="0.25">
      <c r="A205" s="2">
        <f ca="1">RANK(L205,$L$6:$L$475,0)</f>
        <v>200</v>
      </c>
      <c r="B205" s="29" t="s">
        <v>493</v>
      </c>
      <c r="C205" s="18">
        <v>46068</v>
      </c>
      <c r="D205" s="1" t="s">
        <v>377</v>
      </c>
      <c r="E205" s="1" t="s">
        <v>22</v>
      </c>
      <c r="F205" s="1">
        <v>26</v>
      </c>
      <c r="G205" s="1">
        <v>18</v>
      </c>
      <c r="H205" s="1">
        <v>6</v>
      </c>
      <c r="I205" s="1">
        <v>13</v>
      </c>
      <c r="J205" s="1">
        <v>6</v>
      </c>
      <c r="K205" s="1">
        <v>69</v>
      </c>
      <c r="L205" s="5">
        <f ca="1">K205-(ROUNDDOWN((($G$1-C205)/365),1))</f>
        <v>68.400000000000006</v>
      </c>
    </row>
    <row r="206" spans="1:12" x14ac:dyDescent="0.25">
      <c r="A206" s="2">
        <f ca="1">RANK(L206,$L$6:$L$475,0)</f>
        <v>200</v>
      </c>
      <c r="B206" s="1" t="s">
        <v>410</v>
      </c>
      <c r="C206" s="18">
        <v>45690</v>
      </c>
      <c r="D206" s="1" t="s">
        <v>309</v>
      </c>
      <c r="E206" s="1" t="s">
        <v>22</v>
      </c>
      <c r="F206" s="1">
        <v>28</v>
      </c>
      <c r="G206" s="1">
        <v>18</v>
      </c>
      <c r="H206" s="1">
        <v>6</v>
      </c>
      <c r="I206" s="1">
        <v>13</v>
      </c>
      <c r="J206" s="1">
        <v>5</v>
      </c>
      <c r="K206" s="1">
        <v>70</v>
      </c>
      <c r="L206" s="5">
        <f ca="1">K206-(ROUNDDOWN((($G$1-C206)/365),1))</f>
        <v>68.400000000000006</v>
      </c>
    </row>
    <row r="207" spans="1:12" x14ac:dyDescent="0.25">
      <c r="A207" s="2">
        <f ca="1">RANK(L207,$L$6:$L$475,0)</f>
        <v>200</v>
      </c>
      <c r="B207" s="1" t="s">
        <v>328</v>
      </c>
      <c r="C207" s="18">
        <v>45319</v>
      </c>
      <c r="D207" s="1" t="s">
        <v>66</v>
      </c>
      <c r="E207" s="1" t="s">
        <v>22</v>
      </c>
      <c r="F207" s="1">
        <v>29</v>
      </c>
      <c r="G207" s="1">
        <v>18</v>
      </c>
      <c r="H207" s="1">
        <v>5</v>
      </c>
      <c r="I207" s="1">
        <v>13</v>
      </c>
      <c r="J207" s="1">
        <v>6</v>
      </c>
      <c r="K207" s="1">
        <v>71</v>
      </c>
      <c r="L207" s="5">
        <f ca="1">K207-(ROUNDDOWN((($G$1-C207)/365),1))</f>
        <v>68.400000000000006</v>
      </c>
    </row>
    <row r="208" spans="1:12" x14ac:dyDescent="0.25">
      <c r="A208" s="2">
        <f ca="1">RANK(L208,$L$6:$L$475,0)</f>
        <v>200</v>
      </c>
      <c r="B208" s="1" t="s">
        <v>485</v>
      </c>
      <c r="C208" s="18">
        <v>46047</v>
      </c>
      <c r="D208" s="1" t="s">
        <v>68</v>
      </c>
      <c r="E208" s="1" t="s">
        <v>22</v>
      </c>
      <c r="F208" s="1">
        <v>27</v>
      </c>
      <c r="G208" s="1">
        <v>20</v>
      </c>
      <c r="H208" s="1">
        <v>4</v>
      </c>
      <c r="I208" s="1">
        <v>11</v>
      </c>
      <c r="J208" s="1">
        <v>7</v>
      </c>
      <c r="K208" s="1">
        <v>69</v>
      </c>
      <c r="L208" s="5">
        <f ca="1">K208-(ROUNDDOWN((($G$1-C208)/365),1))</f>
        <v>68.400000000000006</v>
      </c>
    </row>
    <row r="209" spans="1:12" x14ac:dyDescent="0.25">
      <c r="A209" s="2">
        <f ca="1">RANK(L209,$L$6:$L$475,0)</f>
        <v>204</v>
      </c>
      <c r="B209" s="1" t="s">
        <v>187</v>
      </c>
      <c r="C209" s="18">
        <v>44577</v>
      </c>
      <c r="D209" s="1" t="s">
        <v>73</v>
      </c>
      <c r="E209" s="1" t="s">
        <v>40</v>
      </c>
      <c r="F209" s="1">
        <v>27</v>
      </c>
      <c r="G209" s="1">
        <v>17</v>
      </c>
      <c r="H209" s="1">
        <v>7</v>
      </c>
      <c r="I209" s="1">
        <v>15</v>
      </c>
      <c r="J209" s="1">
        <v>7</v>
      </c>
      <c r="K209" s="1">
        <v>73</v>
      </c>
      <c r="L209" s="5">
        <f ca="1">K209-(ROUNDDOWN((($G$1-C209)/365),1))</f>
        <v>68.3</v>
      </c>
    </row>
    <row r="210" spans="1:12" x14ac:dyDescent="0.25">
      <c r="A210" s="2">
        <f ca="1">RANK(L210,$L$6:$L$475,0)</f>
        <v>204</v>
      </c>
      <c r="B210" s="29" t="s">
        <v>398</v>
      </c>
      <c r="C210" s="18">
        <v>45655</v>
      </c>
      <c r="D210" s="1" t="s">
        <v>149</v>
      </c>
      <c r="E210" s="1" t="s">
        <v>22</v>
      </c>
      <c r="F210" s="1">
        <v>29</v>
      </c>
      <c r="G210" s="1">
        <v>16</v>
      </c>
      <c r="H210" s="1">
        <v>6</v>
      </c>
      <c r="I210" s="1">
        <v>15</v>
      </c>
      <c r="J210" s="1">
        <v>4</v>
      </c>
      <c r="K210" s="1">
        <v>70</v>
      </c>
      <c r="L210" s="5">
        <f ca="1">K210-(ROUNDDOWN((($G$1-C210)/365),1))</f>
        <v>68.3</v>
      </c>
    </row>
    <row r="211" spans="1:12" x14ac:dyDescent="0.25">
      <c r="A211" s="2">
        <f ca="1">RANK(L211,$L$6:$L$475,0)</f>
        <v>206</v>
      </c>
      <c r="B211" s="1" t="s">
        <v>394</v>
      </c>
      <c r="C211" s="18">
        <v>45641</v>
      </c>
      <c r="D211" s="1" t="s">
        <v>266</v>
      </c>
      <c r="E211" s="1" t="s">
        <v>22</v>
      </c>
      <c r="F211" s="1">
        <v>28</v>
      </c>
      <c r="G211" s="1">
        <v>18</v>
      </c>
      <c r="H211" s="1">
        <v>7</v>
      </c>
      <c r="I211" s="1">
        <v>12</v>
      </c>
      <c r="J211" s="1">
        <v>5</v>
      </c>
      <c r="K211" s="1">
        <v>70</v>
      </c>
      <c r="L211" s="5">
        <f ca="1">K211-(ROUNDDOWN((($G$1-C211)/365),1))</f>
        <v>68.2</v>
      </c>
    </row>
    <row r="212" spans="1:12" x14ac:dyDescent="0.25">
      <c r="A212" s="2">
        <f ca="1">RANK(L212,$L$6:$L$475,0)</f>
        <v>206</v>
      </c>
      <c r="B212" s="1" t="s">
        <v>178</v>
      </c>
      <c r="C212" s="18">
        <v>44521</v>
      </c>
      <c r="D212" s="1" t="s">
        <v>74</v>
      </c>
      <c r="E212" s="1" t="s">
        <v>22</v>
      </c>
      <c r="F212" s="1">
        <v>29</v>
      </c>
      <c r="G212" s="1">
        <v>20</v>
      </c>
      <c r="H212" s="1">
        <v>5</v>
      </c>
      <c r="I212" s="1">
        <v>14</v>
      </c>
      <c r="J212" s="1">
        <v>5</v>
      </c>
      <c r="K212" s="1">
        <v>73</v>
      </c>
      <c r="L212" s="5">
        <f ca="1">K212-(ROUNDDOWN((($G$1-C212)/365),1))</f>
        <v>68.2</v>
      </c>
    </row>
    <row r="213" spans="1:12" x14ac:dyDescent="0.25">
      <c r="A213" s="2">
        <f ca="1">RANK(L213,$L$6:$L$475,0)</f>
        <v>208</v>
      </c>
      <c r="B213" s="29" t="s">
        <v>247</v>
      </c>
      <c r="C213" s="18">
        <v>44850</v>
      </c>
      <c r="D213" s="1" t="s">
        <v>68</v>
      </c>
      <c r="E213" s="1" t="s">
        <v>22</v>
      </c>
      <c r="F213" s="1">
        <v>27</v>
      </c>
      <c r="G213" s="1">
        <v>18</v>
      </c>
      <c r="H213" s="1">
        <v>6</v>
      </c>
      <c r="I213" s="1">
        <v>13</v>
      </c>
      <c r="J213" s="1">
        <v>8</v>
      </c>
      <c r="K213" s="1">
        <v>72</v>
      </c>
      <c r="L213" s="5">
        <f ca="1">K213-(ROUNDDOWN((($G$1-C213)/365),1))</f>
        <v>68.099999999999994</v>
      </c>
    </row>
    <row r="214" spans="1:12" x14ac:dyDescent="0.25">
      <c r="A214" s="2">
        <f ca="1">RANK(L214,$L$6:$L$475,0)</f>
        <v>208</v>
      </c>
      <c r="B214" s="29" t="s">
        <v>463</v>
      </c>
      <c r="C214" s="18">
        <v>45941</v>
      </c>
      <c r="D214" s="1" t="s">
        <v>71</v>
      </c>
      <c r="E214" s="1" t="s">
        <v>17</v>
      </c>
      <c r="F214" s="1">
        <v>27</v>
      </c>
      <c r="G214" s="1">
        <v>21</v>
      </c>
      <c r="H214" s="1">
        <v>5</v>
      </c>
      <c r="I214" s="1">
        <v>13</v>
      </c>
      <c r="J214" s="1">
        <v>3</v>
      </c>
      <c r="K214" s="1">
        <v>69</v>
      </c>
      <c r="L214" s="5">
        <f ca="1">K214-(ROUNDDOWN((($G$1-C214)/365),1))</f>
        <v>68.099999999999994</v>
      </c>
    </row>
    <row r="215" spans="1:12" x14ac:dyDescent="0.25">
      <c r="A215" s="2">
        <f ca="1">RANK(L215,$L$6:$L$475,0)</f>
        <v>210</v>
      </c>
      <c r="B215" s="29" t="s">
        <v>164</v>
      </c>
      <c r="C215" s="18">
        <v>44472</v>
      </c>
      <c r="D215" s="1" t="s">
        <v>71</v>
      </c>
      <c r="E215" s="1" t="s">
        <v>22</v>
      </c>
      <c r="F215" s="1">
        <v>29</v>
      </c>
      <c r="G215" s="1">
        <v>19</v>
      </c>
      <c r="H215" s="1">
        <v>5</v>
      </c>
      <c r="I215" s="1">
        <v>14</v>
      </c>
      <c r="J215" s="1">
        <v>6</v>
      </c>
      <c r="K215" s="1">
        <v>73</v>
      </c>
      <c r="L215" s="5">
        <f ca="1">K215-(ROUNDDOWN((($G$1-C215)/365),1))</f>
        <v>68</v>
      </c>
    </row>
    <row r="216" spans="1:12" x14ac:dyDescent="0.25">
      <c r="A216" s="2">
        <f ca="1">RANK(L216,$L$6:$L$475,0)</f>
        <v>210</v>
      </c>
      <c r="B216" s="29" t="s">
        <v>376</v>
      </c>
      <c r="C216" s="18">
        <v>45564</v>
      </c>
      <c r="D216" s="1" t="s">
        <v>71</v>
      </c>
      <c r="E216" s="1" t="s">
        <v>22</v>
      </c>
      <c r="F216" s="1">
        <v>29</v>
      </c>
      <c r="G216" s="1">
        <v>17</v>
      </c>
      <c r="H216" s="1">
        <v>7</v>
      </c>
      <c r="I216" s="1">
        <v>12</v>
      </c>
      <c r="J216" s="1">
        <v>5</v>
      </c>
      <c r="K216" s="1">
        <v>70</v>
      </c>
      <c r="L216" s="5">
        <f ca="1">K216-(ROUNDDOWN((($G$1-C216)/365),1))</f>
        <v>68</v>
      </c>
    </row>
    <row r="217" spans="1:12" x14ac:dyDescent="0.25">
      <c r="A217" s="2">
        <f ca="1">RANK(L217,$L$6:$L$475,0)</f>
        <v>210</v>
      </c>
      <c r="B217" s="1" t="s">
        <v>529</v>
      </c>
      <c r="C217" s="18">
        <v>46271</v>
      </c>
      <c r="D217" s="1" t="s">
        <v>74</v>
      </c>
      <c r="E217" s="1" t="s">
        <v>22</v>
      </c>
      <c r="F217" s="1">
        <v>28</v>
      </c>
      <c r="G217" s="1">
        <v>19</v>
      </c>
      <c r="H217" s="1">
        <v>6</v>
      </c>
      <c r="I217" s="1">
        <v>10</v>
      </c>
      <c r="J217" s="1">
        <v>5</v>
      </c>
      <c r="K217" s="1">
        <v>68</v>
      </c>
      <c r="L217" s="5">
        <f ca="1">K217-(ROUNDDOWN((($G$1-C217)/365),1))</f>
        <v>68</v>
      </c>
    </row>
    <row r="218" spans="1:12" x14ac:dyDescent="0.25">
      <c r="A218" s="2">
        <f ca="1">RANK(L218,$L$6:$L$475,0)</f>
        <v>213</v>
      </c>
      <c r="B218" s="1" t="s">
        <v>144</v>
      </c>
      <c r="C218" s="18">
        <v>44423</v>
      </c>
      <c r="D218" s="1" t="s">
        <v>69</v>
      </c>
      <c r="E218" s="1" t="s">
        <v>22</v>
      </c>
      <c r="F218" s="1">
        <v>26</v>
      </c>
      <c r="G218" s="1">
        <v>19</v>
      </c>
      <c r="H218" s="1">
        <v>5</v>
      </c>
      <c r="I218" s="1">
        <v>16</v>
      </c>
      <c r="J218" s="1">
        <v>7</v>
      </c>
      <c r="K218" s="1">
        <v>73</v>
      </c>
      <c r="L218" s="5">
        <f ca="1">K218-(ROUNDDOWN((($G$1-C218)/365),1))</f>
        <v>67.900000000000006</v>
      </c>
    </row>
    <row r="219" spans="1:12" x14ac:dyDescent="0.25">
      <c r="A219" s="2">
        <f ca="1">RANK(L219,$L$6:$L$475,0)</f>
        <v>213</v>
      </c>
      <c r="B219" s="1" t="s">
        <v>151</v>
      </c>
      <c r="C219" s="18">
        <v>44417</v>
      </c>
      <c r="D219" s="1" t="s">
        <v>72</v>
      </c>
      <c r="E219" s="1" t="s">
        <v>17</v>
      </c>
      <c r="F219" s="1">
        <v>28</v>
      </c>
      <c r="G219" s="1">
        <v>18</v>
      </c>
      <c r="H219" s="1">
        <v>7</v>
      </c>
      <c r="I219" s="1">
        <v>14</v>
      </c>
      <c r="J219" s="1">
        <v>6</v>
      </c>
      <c r="K219" s="1">
        <v>73</v>
      </c>
      <c r="L219" s="5">
        <f ca="1">K219-(ROUNDDOWN((($G$1-C219)/365),1))</f>
        <v>67.900000000000006</v>
      </c>
    </row>
    <row r="220" spans="1:12" x14ac:dyDescent="0.25">
      <c r="A220" s="2">
        <f ca="1">RANK(L220,$L$6:$L$475,0)</f>
        <v>215</v>
      </c>
      <c r="B220" s="1" t="s">
        <v>517</v>
      </c>
      <c r="C220" s="18">
        <v>46201</v>
      </c>
      <c r="D220" s="1" t="s">
        <v>266</v>
      </c>
      <c r="E220" s="1" t="s">
        <v>17</v>
      </c>
      <c r="F220" s="1">
        <v>28</v>
      </c>
      <c r="G220" s="1">
        <v>18</v>
      </c>
      <c r="H220" s="1">
        <v>5</v>
      </c>
      <c r="I220" s="1">
        <v>11</v>
      </c>
      <c r="J220" s="1">
        <v>6</v>
      </c>
      <c r="K220" s="1">
        <v>68</v>
      </c>
      <c r="L220" s="5">
        <f ca="1">K220-(ROUNDDOWN((($G$1-C220)/365),1))</f>
        <v>67.8</v>
      </c>
    </row>
    <row r="221" spans="1:12" x14ac:dyDescent="0.25">
      <c r="A221" s="2">
        <f ca="1">RANK(L221,$L$6:$L$475,0)</f>
        <v>215</v>
      </c>
      <c r="B221" s="1" t="s">
        <v>290</v>
      </c>
      <c r="C221" s="18">
        <v>45102</v>
      </c>
      <c r="D221" s="1" t="s">
        <v>68</v>
      </c>
      <c r="E221" s="1" t="s">
        <v>33</v>
      </c>
      <c r="F221" s="1">
        <v>29</v>
      </c>
      <c r="G221" s="1">
        <v>17</v>
      </c>
      <c r="H221" s="1">
        <v>6</v>
      </c>
      <c r="I221" s="1">
        <v>12</v>
      </c>
      <c r="J221" s="1">
        <v>7</v>
      </c>
      <c r="K221" s="1">
        <v>71</v>
      </c>
      <c r="L221" s="5">
        <f ca="1">K221-(ROUNDDOWN((($G$1-C221)/365),1))</f>
        <v>67.8</v>
      </c>
    </row>
    <row r="222" spans="1:12" x14ac:dyDescent="0.25">
      <c r="A222" s="2">
        <f ca="1">RANK(L222,$L$6:$L$475,0)</f>
        <v>215</v>
      </c>
      <c r="B222" s="1" t="s">
        <v>438</v>
      </c>
      <c r="C222" s="18">
        <v>45830</v>
      </c>
      <c r="D222" s="1" t="s">
        <v>69</v>
      </c>
      <c r="E222" s="1" t="s">
        <v>22</v>
      </c>
      <c r="F222" s="1">
        <v>27</v>
      </c>
      <c r="G222" s="1">
        <v>19</v>
      </c>
      <c r="H222" s="1">
        <v>5</v>
      </c>
      <c r="I222" s="1">
        <v>12</v>
      </c>
      <c r="J222" s="1">
        <v>6</v>
      </c>
      <c r="K222" s="1">
        <v>69</v>
      </c>
      <c r="L222" s="5">
        <f ca="1">K222-(ROUNDDOWN((($G$1-C222)/365),1))</f>
        <v>67.8</v>
      </c>
    </row>
    <row r="223" spans="1:12" x14ac:dyDescent="0.25">
      <c r="A223" s="2">
        <f ca="1">RANK(L223,$L$6:$L$475,0)</f>
        <v>218</v>
      </c>
      <c r="B223" s="29" t="s">
        <v>284</v>
      </c>
      <c r="C223" s="18">
        <v>45074</v>
      </c>
      <c r="D223" s="1" t="s">
        <v>154</v>
      </c>
      <c r="E223" s="1" t="s">
        <v>22</v>
      </c>
      <c r="F223" s="1">
        <v>28</v>
      </c>
      <c r="G223" s="1">
        <v>17</v>
      </c>
      <c r="H223" s="1">
        <v>7</v>
      </c>
      <c r="I223" s="1">
        <v>14</v>
      </c>
      <c r="J223" s="1">
        <v>5</v>
      </c>
      <c r="K223" s="1">
        <v>71</v>
      </c>
      <c r="L223" s="5">
        <f ca="1">K223-(ROUNDDOWN((($G$1-C223)/365),1))</f>
        <v>67.7</v>
      </c>
    </row>
    <row r="224" spans="1:12" x14ac:dyDescent="0.25">
      <c r="A224" s="2">
        <f ca="1">RANK(L224,$L$6:$L$475,0)</f>
        <v>219</v>
      </c>
      <c r="B224" s="1" t="s">
        <v>353</v>
      </c>
      <c r="C224" s="18">
        <v>45053</v>
      </c>
      <c r="D224" s="1" t="s">
        <v>67</v>
      </c>
      <c r="E224" s="1" t="s">
        <v>17</v>
      </c>
      <c r="F224" s="1">
        <v>28</v>
      </c>
      <c r="G224" s="1">
        <v>16</v>
      </c>
      <c r="H224" s="1">
        <v>5</v>
      </c>
      <c r="I224" s="1">
        <v>15</v>
      </c>
      <c r="J224" s="1">
        <v>7</v>
      </c>
      <c r="K224" s="1">
        <v>71</v>
      </c>
      <c r="L224" s="5">
        <f ca="1">K224-(ROUNDDOWN((($G$1-C224)/365),1))</f>
        <v>67.599999999999994</v>
      </c>
    </row>
    <row r="225" spans="1:12" x14ac:dyDescent="0.25">
      <c r="A225" s="2">
        <f ca="1">RANK(L225,$L$6:$L$475,0)</f>
        <v>219</v>
      </c>
      <c r="B225" s="1" t="s">
        <v>509</v>
      </c>
      <c r="C225" s="18">
        <v>46138</v>
      </c>
      <c r="D225" s="1" t="s">
        <v>483</v>
      </c>
      <c r="E225" s="1" t="s">
        <v>22</v>
      </c>
      <c r="F225" s="1">
        <v>28</v>
      </c>
      <c r="G225" s="1">
        <v>18</v>
      </c>
      <c r="H225" s="1">
        <v>6</v>
      </c>
      <c r="I225" s="1">
        <v>12</v>
      </c>
      <c r="J225" s="1">
        <v>4</v>
      </c>
      <c r="K225" s="1">
        <v>68</v>
      </c>
      <c r="L225" s="5">
        <f ca="1">K225-(ROUNDDOWN((($G$1-C225)/365),1))</f>
        <v>67.599999999999994</v>
      </c>
    </row>
    <row r="226" spans="1:12" x14ac:dyDescent="0.25">
      <c r="A226" s="2">
        <f ca="1">RANK(L226,$L$6:$L$475,0)</f>
        <v>219</v>
      </c>
      <c r="B226" s="29" t="s">
        <v>276</v>
      </c>
      <c r="C226" s="18">
        <v>45032</v>
      </c>
      <c r="D226" s="1" t="s">
        <v>71</v>
      </c>
      <c r="E226" s="1" t="s">
        <v>17</v>
      </c>
      <c r="F226" s="1">
        <v>28</v>
      </c>
      <c r="G226" s="1">
        <v>18</v>
      </c>
      <c r="H226" s="1">
        <v>5</v>
      </c>
      <c r="I226" s="1">
        <v>14</v>
      </c>
      <c r="J226" s="1">
        <v>6</v>
      </c>
      <c r="K226" s="1">
        <v>71</v>
      </c>
      <c r="L226" s="5">
        <f ca="1">K226-(ROUNDDOWN((($G$1-C226)/365),1))</f>
        <v>67.599999999999994</v>
      </c>
    </row>
    <row r="227" spans="1:12" x14ac:dyDescent="0.25">
      <c r="A227" s="2">
        <f ca="1">RANK(L227,$L$6:$L$475,0)</f>
        <v>219</v>
      </c>
      <c r="B227" s="1" t="s">
        <v>339</v>
      </c>
      <c r="C227" s="18">
        <v>45389</v>
      </c>
      <c r="D227" s="1" t="s">
        <v>266</v>
      </c>
      <c r="E227" s="1" t="s">
        <v>22</v>
      </c>
      <c r="F227" s="1">
        <v>27</v>
      </c>
      <c r="G227" s="1">
        <v>18</v>
      </c>
      <c r="H227" s="1">
        <v>5</v>
      </c>
      <c r="I227" s="1">
        <v>15</v>
      </c>
      <c r="J227" s="1">
        <v>5</v>
      </c>
      <c r="K227" s="1">
        <v>70</v>
      </c>
      <c r="L227" s="5">
        <f ca="1">K227-(ROUNDDOWN((($G$1-C227)/365),1))</f>
        <v>67.599999999999994</v>
      </c>
    </row>
    <row r="228" spans="1:12" x14ac:dyDescent="0.25">
      <c r="A228" s="2">
        <f ca="1">RANK(L228,$L$6:$L$475,0)</f>
        <v>223</v>
      </c>
      <c r="B228" s="29" t="s">
        <v>113</v>
      </c>
      <c r="C228" s="18">
        <v>44290</v>
      </c>
      <c r="D228" s="1" t="s">
        <v>71</v>
      </c>
      <c r="E228" s="1" t="s">
        <v>22</v>
      </c>
      <c r="F228" s="1">
        <v>28</v>
      </c>
      <c r="G228" s="1">
        <v>19</v>
      </c>
      <c r="H228" s="1">
        <v>5</v>
      </c>
      <c r="I228" s="1">
        <v>14</v>
      </c>
      <c r="J228" s="1">
        <v>7</v>
      </c>
      <c r="K228" s="1">
        <v>73</v>
      </c>
      <c r="L228" s="5">
        <f ca="1">K228-(ROUNDDOWN((($G$1-C228)/365),1))</f>
        <v>67.5</v>
      </c>
    </row>
    <row r="229" spans="1:12" x14ac:dyDescent="0.25">
      <c r="A229" s="2">
        <f ca="1">RANK(L229,$L$6:$L$475,0)</f>
        <v>224</v>
      </c>
      <c r="B229" s="29" t="s">
        <v>412</v>
      </c>
      <c r="C229" s="18">
        <v>45711</v>
      </c>
      <c r="D229" s="1" t="s">
        <v>236</v>
      </c>
      <c r="E229" s="1" t="s">
        <v>20</v>
      </c>
      <c r="F229" s="1">
        <v>27</v>
      </c>
      <c r="G229" s="1">
        <v>16</v>
      </c>
      <c r="H229" s="1">
        <v>5</v>
      </c>
      <c r="I229" s="1">
        <v>15</v>
      </c>
      <c r="J229" s="1">
        <v>6</v>
      </c>
      <c r="K229" s="1">
        <v>69</v>
      </c>
      <c r="L229" s="5">
        <f ca="1">K229-(ROUNDDOWN((($G$1-C229)/365),1))</f>
        <v>67.400000000000006</v>
      </c>
    </row>
    <row r="230" spans="1:12" x14ac:dyDescent="0.25">
      <c r="A230" s="2">
        <f ca="1">RANK(L230,$L$6:$L$475,0)</f>
        <v>225</v>
      </c>
      <c r="B230" s="29" t="s">
        <v>327</v>
      </c>
      <c r="C230" s="18">
        <v>45312</v>
      </c>
      <c r="D230" s="1" t="s">
        <v>149</v>
      </c>
      <c r="E230" s="1" t="s">
        <v>22</v>
      </c>
      <c r="F230" s="1">
        <v>28</v>
      </c>
      <c r="G230" s="1">
        <v>18</v>
      </c>
      <c r="H230" s="1">
        <v>7</v>
      </c>
      <c r="I230" s="1">
        <v>11</v>
      </c>
      <c r="J230" s="1">
        <v>6</v>
      </c>
      <c r="K230" s="1">
        <v>70</v>
      </c>
      <c r="L230" s="5">
        <f ca="1">K230-(ROUNDDOWN((($G$1-C230)/365),1))</f>
        <v>67.3</v>
      </c>
    </row>
    <row r="231" spans="1:12" x14ac:dyDescent="0.25">
      <c r="A231" s="2">
        <f ca="1">RANK(L231,$L$6:$L$475,0)</f>
        <v>226</v>
      </c>
      <c r="B231" s="29" t="s">
        <v>316</v>
      </c>
      <c r="C231" s="18">
        <v>45256</v>
      </c>
      <c r="D231" s="1" t="s">
        <v>307</v>
      </c>
      <c r="E231" s="1" t="s">
        <v>20</v>
      </c>
      <c r="F231" s="1">
        <v>26</v>
      </c>
      <c r="G231" s="1">
        <v>18</v>
      </c>
      <c r="H231" s="1">
        <v>7</v>
      </c>
      <c r="I231" s="1">
        <v>14</v>
      </c>
      <c r="J231" s="1">
        <v>5</v>
      </c>
      <c r="K231" s="1">
        <v>70</v>
      </c>
      <c r="L231" s="5">
        <f ca="1">K231-(ROUNDDOWN((($G$1-C231)/365),1))</f>
        <v>67.2</v>
      </c>
    </row>
    <row r="232" spans="1:12" x14ac:dyDescent="0.25">
      <c r="A232" s="2">
        <f ca="1">RANK(L232,$L$6:$L$475,0)</f>
        <v>226</v>
      </c>
      <c r="B232" s="1" t="s">
        <v>177</v>
      </c>
      <c r="C232" s="18">
        <v>44521</v>
      </c>
      <c r="D232" s="1" t="s">
        <v>74</v>
      </c>
      <c r="E232" s="1" t="s">
        <v>22</v>
      </c>
      <c r="F232" s="1">
        <v>27</v>
      </c>
      <c r="G232" s="1">
        <v>19</v>
      </c>
      <c r="H232" s="1">
        <v>6</v>
      </c>
      <c r="I232" s="1">
        <v>15</v>
      </c>
      <c r="J232" s="1">
        <v>5</v>
      </c>
      <c r="K232" s="1">
        <v>72</v>
      </c>
      <c r="L232" s="5">
        <f ca="1">K232-(ROUNDDOWN((($G$1-C232)/365),1))</f>
        <v>67.2</v>
      </c>
    </row>
    <row r="233" spans="1:12" x14ac:dyDescent="0.25">
      <c r="A233" s="2">
        <f ca="1">RANK(L233,$L$6:$L$475,0)</f>
        <v>226</v>
      </c>
      <c r="B233" s="1" t="s">
        <v>179</v>
      </c>
      <c r="C233" s="18">
        <v>44521</v>
      </c>
      <c r="D233" s="1" t="s">
        <v>74</v>
      </c>
      <c r="E233" s="1" t="s">
        <v>17</v>
      </c>
      <c r="F233" s="1">
        <v>27</v>
      </c>
      <c r="G233" s="1">
        <v>20</v>
      </c>
      <c r="H233" s="1">
        <v>6</v>
      </c>
      <c r="I233" s="1">
        <v>14</v>
      </c>
      <c r="J233" s="1">
        <v>5</v>
      </c>
      <c r="K233" s="1">
        <v>72</v>
      </c>
      <c r="L233" s="5">
        <f ca="1">K233-(ROUNDDOWN((($G$1-C233)/365),1))</f>
        <v>67.2</v>
      </c>
    </row>
    <row r="234" spans="1:12" x14ac:dyDescent="0.25">
      <c r="A234" s="2">
        <f ca="1">RANK(L234,$L$6:$L$475,0)</f>
        <v>226</v>
      </c>
      <c r="B234" s="1" t="s">
        <v>253</v>
      </c>
      <c r="C234" s="18">
        <v>44885</v>
      </c>
      <c r="D234" s="1" t="s">
        <v>74</v>
      </c>
      <c r="E234" s="1" t="s">
        <v>22</v>
      </c>
      <c r="F234" s="1">
        <v>27</v>
      </c>
      <c r="G234" s="1">
        <v>16</v>
      </c>
      <c r="H234" s="1">
        <v>6</v>
      </c>
      <c r="I234" s="1">
        <v>16</v>
      </c>
      <c r="J234" s="1">
        <v>6</v>
      </c>
      <c r="K234" s="1">
        <v>71</v>
      </c>
      <c r="L234" s="5">
        <f ca="1">K234-(ROUNDDOWN((($G$1-C234)/365),1))</f>
        <v>67.2</v>
      </c>
    </row>
    <row r="235" spans="1:12" x14ac:dyDescent="0.25">
      <c r="A235" s="2">
        <f ca="1">RANK(L235,$L$6:$L$475,0)</f>
        <v>226</v>
      </c>
      <c r="B235" s="1" t="s">
        <v>254</v>
      </c>
      <c r="C235" s="18">
        <v>44885</v>
      </c>
      <c r="D235" s="1" t="s">
        <v>74</v>
      </c>
      <c r="E235" s="1" t="s">
        <v>17</v>
      </c>
      <c r="F235" s="1">
        <v>26</v>
      </c>
      <c r="G235" s="1">
        <v>19</v>
      </c>
      <c r="H235" s="1">
        <v>5</v>
      </c>
      <c r="I235" s="1">
        <v>15</v>
      </c>
      <c r="J235" s="1">
        <v>6</v>
      </c>
      <c r="K235" s="1">
        <v>71</v>
      </c>
      <c r="L235" s="5">
        <f ca="1">K235-(ROUNDDOWN((($G$1-C235)/365),1))</f>
        <v>67.2</v>
      </c>
    </row>
    <row r="236" spans="1:12" x14ac:dyDescent="0.25">
      <c r="A236" s="2">
        <f ca="1">RANK(L236,$L$6:$L$475,0)</f>
        <v>226</v>
      </c>
      <c r="B236" s="1" t="s">
        <v>386</v>
      </c>
      <c r="C236" s="18">
        <v>45613</v>
      </c>
      <c r="D236" s="1" t="s">
        <v>307</v>
      </c>
      <c r="E236" s="1" t="s">
        <v>33</v>
      </c>
      <c r="F236" s="1">
        <v>28</v>
      </c>
      <c r="G236" s="1">
        <v>18</v>
      </c>
      <c r="H236" s="1">
        <v>7</v>
      </c>
      <c r="I236" s="1">
        <v>11</v>
      </c>
      <c r="J236" s="1">
        <v>5</v>
      </c>
      <c r="K236" s="1">
        <v>69</v>
      </c>
      <c r="L236" s="5">
        <f ca="1">K236-(ROUNDDOWN((($G$1-C236)/365),1))</f>
        <v>67.2</v>
      </c>
    </row>
    <row r="237" spans="1:12" x14ac:dyDescent="0.25">
      <c r="A237" s="2">
        <f ca="1">RANK(L237,$L$6:$L$475,0)</f>
        <v>232</v>
      </c>
      <c r="B237" s="1" t="s">
        <v>158</v>
      </c>
      <c r="C237" s="18">
        <v>44451</v>
      </c>
      <c r="D237" s="1" t="s">
        <v>154</v>
      </c>
      <c r="E237" s="1" t="s">
        <v>22</v>
      </c>
      <c r="F237" s="1">
        <v>27</v>
      </c>
      <c r="G237" s="1">
        <v>21</v>
      </c>
      <c r="H237" s="1">
        <v>6</v>
      </c>
      <c r="I237" s="1">
        <v>12</v>
      </c>
      <c r="J237" s="1">
        <v>6</v>
      </c>
      <c r="K237" s="1">
        <v>72</v>
      </c>
      <c r="L237" s="5">
        <f ca="1">K237-(ROUNDDOWN((($G$1-C237)/365),1))</f>
        <v>67</v>
      </c>
    </row>
    <row r="238" spans="1:12" x14ac:dyDescent="0.25">
      <c r="A238" s="2">
        <f ca="1">RANK(L238,$L$6:$L$475,0)</f>
        <v>233</v>
      </c>
      <c r="B238" s="29" t="s">
        <v>356</v>
      </c>
      <c r="C238" s="18">
        <v>45165</v>
      </c>
      <c r="D238" s="1" t="s">
        <v>67</v>
      </c>
      <c r="E238" s="1" t="s">
        <v>22</v>
      </c>
      <c r="F238" s="1">
        <v>26</v>
      </c>
      <c r="G238" s="1">
        <v>17</v>
      </c>
      <c r="H238" s="1">
        <v>5</v>
      </c>
      <c r="I238" s="1">
        <v>16</v>
      </c>
      <c r="J238" s="1">
        <v>6</v>
      </c>
      <c r="K238" s="1">
        <v>70</v>
      </c>
      <c r="L238" s="5">
        <f ca="1">K238-(ROUNDDOWN((($G$1-C238)/365),1))</f>
        <v>66.900000000000006</v>
      </c>
    </row>
    <row r="239" spans="1:12" x14ac:dyDescent="0.25">
      <c r="A239" s="2">
        <f ca="1">RANK(L239,$L$6:$L$475,0)</f>
        <v>233</v>
      </c>
      <c r="B239" s="1" t="s">
        <v>146</v>
      </c>
      <c r="C239" s="18">
        <v>44423</v>
      </c>
      <c r="D239" s="1" t="s">
        <v>71</v>
      </c>
      <c r="E239" s="1" t="s">
        <v>17</v>
      </c>
      <c r="F239" s="1">
        <v>29</v>
      </c>
      <c r="G239" s="1">
        <v>17</v>
      </c>
      <c r="H239" s="1">
        <v>6</v>
      </c>
      <c r="I239" s="1">
        <v>14</v>
      </c>
      <c r="J239" s="1">
        <v>6</v>
      </c>
      <c r="K239" s="1">
        <v>72</v>
      </c>
      <c r="L239" s="5">
        <f ca="1">K239-(ROUNDDOWN((($G$1-C239)/365),1))</f>
        <v>66.900000000000006</v>
      </c>
    </row>
    <row r="240" spans="1:12" x14ac:dyDescent="0.25">
      <c r="A240" s="2">
        <f ca="1">RANK(L240,$L$6:$L$475,0)</f>
        <v>233</v>
      </c>
      <c r="B240" s="29" t="s">
        <v>21</v>
      </c>
      <c r="C240" s="18">
        <v>44409</v>
      </c>
      <c r="D240" s="1" t="s">
        <v>71</v>
      </c>
      <c r="E240" s="1" t="s">
        <v>22</v>
      </c>
      <c r="F240" s="1">
        <v>27</v>
      </c>
      <c r="G240" s="1">
        <v>15</v>
      </c>
      <c r="H240" s="1">
        <v>6</v>
      </c>
      <c r="I240" s="1">
        <v>16</v>
      </c>
      <c r="J240" s="1">
        <v>8</v>
      </c>
      <c r="K240" s="1">
        <v>72</v>
      </c>
      <c r="L240" s="5">
        <f ca="1">K240-(ROUNDDOWN((($G$1-C240)/365),1))</f>
        <v>66.900000000000006</v>
      </c>
    </row>
    <row r="241" spans="1:12" x14ac:dyDescent="0.25">
      <c r="A241" s="2">
        <f ca="1">RANK(L241,$L$6:$L$475,0)</f>
        <v>233</v>
      </c>
      <c r="B241" s="29" t="s">
        <v>31</v>
      </c>
      <c r="C241" s="18">
        <v>44409</v>
      </c>
      <c r="D241" s="1" t="s">
        <v>72</v>
      </c>
      <c r="E241" s="1" t="s">
        <v>17</v>
      </c>
      <c r="F241" s="1">
        <v>30</v>
      </c>
      <c r="G241" s="1">
        <v>16</v>
      </c>
      <c r="H241" s="1">
        <v>5</v>
      </c>
      <c r="I241" s="1">
        <v>13</v>
      </c>
      <c r="J241" s="1">
        <v>8</v>
      </c>
      <c r="K241" s="1">
        <v>72</v>
      </c>
      <c r="L241" s="5">
        <f ca="1">K241-(ROUNDDOWN((($G$1-C241)/365),1))</f>
        <v>66.900000000000006</v>
      </c>
    </row>
    <row r="242" spans="1:12" x14ac:dyDescent="0.25">
      <c r="A242" s="2">
        <f ca="1">RANK(L242,$L$6:$L$475,0)</f>
        <v>237</v>
      </c>
      <c r="B242" s="1" t="s">
        <v>439</v>
      </c>
      <c r="C242" s="18">
        <v>45830</v>
      </c>
      <c r="D242" s="1" t="s">
        <v>69</v>
      </c>
      <c r="E242" s="1" t="s">
        <v>17</v>
      </c>
      <c r="F242" s="1">
        <v>26</v>
      </c>
      <c r="G242" s="1">
        <v>19</v>
      </c>
      <c r="H242" s="1">
        <v>5</v>
      </c>
      <c r="I242" s="1">
        <v>12</v>
      </c>
      <c r="J242" s="1">
        <v>6</v>
      </c>
      <c r="K242" s="1">
        <v>68</v>
      </c>
      <c r="L242" s="5">
        <f ca="1">K242-(ROUNDDOWN((($G$1-C242)/365),1))</f>
        <v>66.8</v>
      </c>
    </row>
    <row r="243" spans="1:12" x14ac:dyDescent="0.25">
      <c r="A243" s="2">
        <f ca="1">RANK(L243,$L$6:$L$475,0)</f>
        <v>238</v>
      </c>
      <c r="B243" s="1" t="s">
        <v>434</v>
      </c>
      <c r="C243" s="18">
        <v>45802</v>
      </c>
      <c r="D243" s="1" t="s">
        <v>149</v>
      </c>
      <c r="E243" s="1" t="s">
        <v>17</v>
      </c>
      <c r="F243" s="1">
        <v>27</v>
      </c>
      <c r="G243" s="1">
        <v>18</v>
      </c>
      <c r="H243" s="1">
        <v>5</v>
      </c>
      <c r="I243" s="1">
        <v>12</v>
      </c>
      <c r="J243" s="1">
        <v>6</v>
      </c>
      <c r="K243" s="1">
        <v>68</v>
      </c>
      <c r="L243" s="5">
        <f ca="1">K243-(ROUNDDOWN((($G$1-C243)/365),1))</f>
        <v>66.7</v>
      </c>
    </row>
    <row r="244" spans="1:12" x14ac:dyDescent="0.25">
      <c r="A244" s="2">
        <f ca="1">RANK(L244,$L$6:$L$475,0)</f>
        <v>239</v>
      </c>
      <c r="B244" s="1" t="s">
        <v>420</v>
      </c>
      <c r="C244" s="18">
        <v>45746</v>
      </c>
      <c r="D244" s="1" t="s">
        <v>74</v>
      </c>
      <c r="E244" s="1" t="s">
        <v>22</v>
      </c>
      <c r="F244" s="1">
        <v>27</v>
      </c>
      <c r="G244" s="1">
        <v>19</v>
      </c>
      <c r="H244" s="1">
        <v>5</v>
      </c>
      <c r="I244" s="1">
        <v>12</v>
      </c>
      <c r="J244" s="1">
        <v>5</v>
      </c>
      <c r="K244" s="1">
        <v>68</v>
      </c>
      <c r="L244" s="5">
        <f ca="1">K244-(ROUNDDOWN((($G$1-C244)/365),1))</f>
        <v>66.5</v>
      </c>
    </row>
    <row r="245" spans="1:12" x14ac:dyDescent="0.25">
      <c r="A245" s="2">
        <f ca="1">RANK(L245,$L$6:$L$475,0)</f>
        <v>239</v>
      </c>
      <c r="B245" s="29" t="s">
        <v>501</v>
      </c>
      <c r="C245" s="18">
        <v>46110</v>
      </c>
      <c r="D245" s="1" t="s">
        <v>73</v>
      </c>
      <c r="E245" s="1" t="s">
        <v>22</v>
      </c>
      <c r="F245" s="1">
        <v>27</v>
      </c>
      <c r="G245" s="1">
        <v>18</v>
      </c>
      <c r="H245" s="1">
        <v>4</v>
      </c>
      <c r="I245" s="1">
        <v>13</v>
      </c>
      <c r="J245" s="1">
        <v>5</v>
      </c>
      <c r="K245" s="1">
        <v>67</v>
      </c>
      <c r="L245" s="5">
        <f ca="1">K245-(ROUNDDOWN((($G$1-C245)/365),1))</f>
        <v>66.5</v>
      </c>
    </row>
    <row r="246" spans="1:12" x14ac:dyDescent="0.25">
      <c r="A246" s="2">
        <f ca="1">RANK(L246,$L$6:$L$475,0)</f>
        <v>239</v>
      </c>
      <c r="B246" s="1" t="s">
        <v>103</v>
      </c>
      <c r="C246" s="18">
        <v>45011</v>
      </c>
      <c r="D246" s="1" t="s">
        <v>66</v>
      </c>
      <c r="E246" s="1" t="s">
        <v>40</v>
      </c>
      <c r="F246" s="1">
        <v>24</v>
      </c>
      <c r="G246" s="1">
        <v>22</v>
      </c>
      <c r="H246" s="1">
        <v>5</v>
      </c>
      <c r="I246" s="1">
        <v>14</v>
      </c>
      <c r="J246" s="1">
        <v>5</v>
      </c>
      <c r="K246" s="1">
        <v>70</v>
      </c>
      <c r="L246" s="5">
        <f ca="1">K246-(ROUNDDOWN((($G$1-C246)/365),1))</f>
        <v>66.5</v>
      </c>
    </row>
    <row r="247" spans="1:12" x14ac:dyDescent="0.25">
      <c r="A247" s="2">
        <f ca="1">RANK(L247,$L$6:$L$475,0)</f>
        <v>239</v>
      </c>
      <c r="B247" s="1" t="s">
        <v>91</v>
      </c>
      <c r="C247" s="18">
        <v>45011</v>
      </c>
      <c r="D247" s="1" t="s">
        <v>73</v>
      </c>
      <c r="E247" s="1" t="s">
        <v>17</v>
      </c>
      <c r="F247" s="1">
        <v>28</v>
      </c>
      <c r="G247" s="1">
        <v>15</v>
      </c>
      <c r="H247" s="1">
        <v>6</v>
      </c>
      <c r="I247" s="1">
        <v>14</v>
      </c>
      <c r="J247" s="1">
        <v>7</v>
      </c>
      <c r="K247" s="1">
        <v>70</v>
      </c>
      <c r="L247" s="5">
        <f ca="1">K247-(ROUNDDOWN((($G$1-C247)/365),1))</f>
        <v>66.5</v>
      </c>
    </row>
    <row r="248" spans="1:12" x14ac:dyDescent="0.25">
      <c r="A248" s="2">
        <f ca="1">RANK(L248,$L$6:$L$475,0)</f>
        <v>239</v>
      </c>
      <c r="B248" s="29" t="s">
        <v>419</v>
      </c>
      <c r="C248" s="18">
        <v>45739</v>
      </c>
      <c r="D248" s="1" t="s">
        <v>68</v>
      </c>
      <c r="E248" s="1" t="s">
        <v>22</v>
      </c>
      <c r="F248" s="1">
        <v>28</v>
      </c>
      <c r="G248" s="1">
        <v>17</v>
      </c>
      <c r="H248" s="1">
        <v>7</v>
      </c>
      <c r="I248" s="1">
        <v>11</v>
      </c>
      <c r="J248" s="1">
        <v>5</v>
      </c>
      <c r="K248" s="1">
        <v>68</v>
      </c>
      <c r="L248" s="5">
        <f ca="1">K248-(ROUNDDOWN((($G$1-C248)/365),1))</f>
        <v>66.5</v>
      </c>
    </row>
    <row r="249" spans="1:12" x14ac:dyDescent="0.25">
      <c r="A249" s="2">
        <f ca="1">RANK(L249,$L$6:$L$475,0)</f>
        <v>239</v>
      </c>
      <c r="B249" s="1" t="s">
        <v>500</v>
      </c>
      <c r="C249" s="18">
        <v>46103</v>
      </c>
      <c r="D249" s="1" t="s">
        <v>74</v>
      </c>
      <c r="E249" s="1" t="s">
        <v>17</v>
      </c>
      <c r="F249" s="1">
        <v>26</v>
      </c>
      <c r="G249" s="1">
        <v>20</v>
      </c>
      <c r="H249" s="1">
        <v>5</v>
      </c>
      <c r="I249" s="1">
        <v>11</v>
      </c>
      <c r="J249" s="1">
        <v>5</v>
      </c>
      <c r="K249" s="1">
        <v>67</v>
      </c>
      <c r="L249" s="5">
        <f ca="1">K249-(ROUNDDOWN((($G$1-C249)/365),1))</f>
        <v>66.5</v>
      </c>
    </row>
    <row r="250" spans="1:12" x14ac:dyDescent="0.25">
      <c r="A250" s="2">
        <f ca="1">RANK(L250,$L$6:$L$475,0)</f>
        <v>239</v>
      </c>
      <c r="B250" s="1" t="s">
        <v>111</v>
      </c>
      <c r="C250" s="18">
        <v>44276</v>
      </c>
      <c r="D250" s="1" t="s">
        <v>74</v>
      </c>
      <c r="E250" s="1" t="s">
        <v>17</v>
      </c>
      <c r="F250" s="1">
        <v>28</v>
      </c>
      <c r="G250" s="1">
        <v>20</v>
      </c>
      <c r="H250" s="1">
        <v>5</v>
      </c>
      <c r="I250" s="1">
        <v>13</v>
      </c>
      <c r="J250" s="1">
        <v>6</v>
      </c>
      <c r="K250" s="1">
        <v>72</v>
      </c>
      <c r="L250" s="5">
        <f ca="1">K250-(ROUNDDOWN((($G$1-C250)/365),1))</f>
        <v>66.5</v>
      </c>
    </row>
    <row r="251" spans="1:12" x14ac:dyDescent="0.25">
      <c r="A251" s="2">
        <f ca="1">RANK(L251,$L$6:$L$475,0)</f>
        <v>246</v>
      </c>
      <c r="B251" s="1" t="s">
        <v>193</v>
      </c>
      <c r="C251" s="18">
        <v>44605</v>
      </c>
      <c r="D251" s="1" t="s">
        <v>68</v>
      </c>
      <c r="E251" s="1" t="s">
        <v>22</v>
      </c>
      <c r="F251" s="1">
        <v>30</v>
      </c>
      <c r="G251" s="1">
        <v>17</v>
      </c>
      <c r="H251" s="1">
        <v>4</v>
      </c>
      <c r="I251" s="1">
        <v>14</v>
      </c>
      <c r="J251" s="1">
        <v>6</v>
      </c>
      <c r="K251" s="1">
        <v>71</v>
      </c>
      <c r="L251" s="5">
        <f ca="1">K251-(ROUNDDOWN((($G$1-C251)/365),1))</f>
        <v>66.400000000000006</v>
      </c>
    </row>
    <row r="252" spans="1:12" x14ac:dyDescent="0.25">
      <c r="A252" s="2">
        <f ca="1">RANK(L252,$L$6:$L$475,0)</f>
        <v>246</v>
      </c>
      <c r="B252" s="1" t="s">
        <v>269</v>
      </c>
      <c r="C252" s="18">
        <v>44962</v>
      </c>
      <c r="D252" s="1" t="s">
        <v>154</v>
      </c>
      <c r="E252" s="1" t="s">
        <v>22</v>
      </c>
      <c r="F252" s="1">
        <v>28</v>
      </c>
      <c r="G252" s="1">
        <v>17</v>
      </c>
      <c r="H252" s="1">
        <v>6</v>
      </c>
      <c r="I252" s="1">
        <v>13</v>
      </c>
      <c r="J252" s="1">
        <v>6</v>
      </c>
      <c r="K252" s="1">
        <v>70</v>
      </c>
      <c r="L252" s="5">
        <f ca="1">K252-(ROUNDDOWN((($G$1-C252)/365),1))</f>
        <v>66.400000000000006</v>
      </c>
    </row>
    <row r="253" spans="1:12" x14ac:dyDescent="0.25">
      <c r="A253" s="2">
        <f ca="1">RANK(L253,$L$6:$L$475,0)</f>
        <v>248</v>
      </c>
      <c r="B253" s="1" t="s">
        <v>406</v>
      </c>
      <c r="C253" s="18">
        <v>45676</v>
      </c>
      <c r="D253" s="1" t="s">
        <v>68</v>
      </c>
      <c r="E253" s="1" t="s">
        <v>22</v>
      </c>
      <c r="F253" s="1">
        <v>28</v>
      </c>
      <c r="G253" s="1">
        <v>16</v>
      </c>
      <c r="H253" s="1">
        <v>6</v>
      </c>
      <c r="I253" s="1">
        <v>10</v>
      </c>
      <c r="J253" s="1">
        <v>8</v>
      </c>
      <c r="K253" s="1">
        <v>68</v>
      </c>
      <c r="L253" s="5">
        <f ca="1">K253-(ROUNDDOWN((($G$1-C253)/365),1))</f>
        <v>66.3</v>
      </c>
    </row>
    <row r="254" spans="1:12" x14ac:dyDescent="0.25">
      <c r="A254" s="2">
        <f ca="1">RANK(L254,$L$6:$L$475,0)</f>
        <v>248</v>
      </c>
      <c r="B254" s="1" t="s">
        <v>261</v>
      </c>
      <c r="C254" s="18">
        <v>44934</v>
      </c>
      <c r="D254" s="1" t="s">
        <v>72</v>
      </c>
      <c r="E254" s="1" t="s">
        <v>22</v>
      </c>
      <c r="F254" s="1">
        <v>27</v>
      </c>
      <c r="G254" s="1">
        <v>17</v>
      </c>
      <c r="H254" s="1">
        <v>6</v>
      </c>
      <c r="I254" s="1">
        <v>13</v>
      </c>
      <c r="J254" s="1">
        <v>7</v>
      </c>
      <c r="K254" s="1">
        <v>70</v>
      </c>
      <c r="L254" s="5">
        <f ca="1">K254-(ROUNDDOWN((($G$1-C254)/365),1))</f>
        <v>66.3</v>
      </c>
    </row>
    <row r="255" spans="1:12" x14ac:dyDescent="0.25">
      <c r="A255" s="2">
        <f ca="1">RANK(L255,$L$6:$L$475,0)</f>
        <v>250</v>
      </c>
      <c r="B255" s="1" t="s">
        <v>256</v>
      </c>
      <c r="C255" s="18">
        <v>44906</v>
      </c>
      <c r="D255" s="1" t="s">
        <v>71</v>
      </c>
      <c r="E255" s="1" t="s">
        <v>17</v>
      </c>
      <c r="F255" s="1">
        <v>27</v>
      </c>
      <c r="G255" s="1">
        <v>19</v>
      </c>
      <c r="H255" s="1">
        <v>5</v>
      </c>
      <c r="I255" s="1">
        <v>13</v>
      </c>
      <c r="J255" s="1">
        <v>6</v>
      </c>
      <c r="K255" s="1">
        <v>70</v>
      </c>
      <c r="L255" s="5">
        <f ca="1">K255-(ROUNDDOWN((($G$1-C255)/365),1))</f>
        <v>66.2</v>
      </c>
    </row>
    <row r="256" spans="1:12" x14ac:dyDescent="0.25">
      <c r="A256" s="2">
        <f ca="1">RANK(L256,$L$6:$L$475,0)</f>
        <v>250</v>
      </c>
      <c r="B256" s="1" t="s">
        <v>390</v>
      </c>
      <c r="C256" s="18">
        <v>45627</v>
      </c>
      <c r="D256" s="1" t="s">
        <v>66</v>
      </c>
      <c r="E256" s="1" t="s">
        <v>22</v>
      </c>
      <c r="F256" s="1">
        <v>28</v>
      </c>
      <c r="G256" s="1">
        <v>18</v>
      </c>
      <c r="H256" s="1">
        <v>5</v>
      </c>
      <c r="I256" s="1">
        <v>12</v>
      </c>
      <c r="J256" s="1">
        <v>5</v>
      </c>
      <c r="K256" s="1">
        <v>68</v>
      </c>
      <c r="L256" s="5">
        <f ca="1">K256-(ROUNDDOWN((($G$1-C256)/365),1))</f>
        <v>66.2</v>
      </c>
    </row>
    <row r="257" spans="1:12" x14ac:dyDescent="0.25">
      <c r="A257" s="2">
        <f ca="1">RANK(L257,$L$6:$L$475,0)</f>
        <v>250</v>
      </c>
      <c r="B257" s="1" t="s">
        <v>473</v>
      </c>
      <c r="C257" s="18">
        <v>45991</v>
      </c>
      <c r="D257" s="1" t="s">
        <v>71</v>
      </c>
      <c r="E257" s="1" t="s">
        <v>17</v>
      </c>
      <c r="F257" s="1">
        <v>27</v>
      </c>
      <c r="G257" s="1">
        <v>19</v>
      </c>
      <c r="H257" s="1">
        <v>4</v>
      </c>
      <c r="I257" s="1">
        <v>14</v>
      </c>
      <c r="J257" s="1">
        <v>3</v>
      </c>
      <c r="K257" s="1">
        <v>67</v>
      </c>
      <c r="L257" s="5">
        <f ca="1">K257-(ROUNDDOWN((($G$1-C257)/365),1))</f>
        <v>66.2</v>
      </c>
    </row>
    <row r="258" spans="1:12" x14ac:dyDescent="0.25">
      <c r="A258" s="2">
        <f ca="1">RANK(L258,$L$6:$L$475,0)</f>
        <v>250</v>
      </c>
      <c r="B258" s="29" t="s">
        <v>471</v>
      </c>
      <c r="C258" s="18">
        <v>45983</v>
      </c>
      <c r="D258" s="1" t="s">
        <v>378</v>
      </c>
      <c r="E258" s="1" t="s">
        <v>22</v>
      </c>
      <c r="F258" s="1">
        <v>28</v>
      </c>
      <c r="G258" s="1">
        <v>16</v>
      </c>
      <c r="H258" s="1">
        <v>6</v>
      </c>
      <c r="I258" s="1">
        <v>9</v>
      </c>
      <c r="J258" s="1">
        <v>8</v>
      </c>
      <c r="K258" s="1">
        <v>67</v>
      </c>
      <c r="L258" s="5">
        <f ca="1">K258-(ROUNDDOWN((($G$1-C258)/365),1))</f>
        <v>66.2</v>
      </c>
    </row>
    <row r="259" spans="1:12" x14ac:dyDescent="0.25">
      <c r="A259" s="2">
        <f ca="1">RANK(L259,$L$6:$L$475,0)</f>
        <v>254</v>
      </c>
      <c r="B259" s="29" t="s">
        <v>467</v>
      </c>
      <c r="C259" s="18">
        <v>45969</v>
      </c>
      <c r="D259" s="1" t="s">
        <v>67</v>
      </c>
      <c r="E259" s="1" t="s">
        <v>17</v>
      </c>
      <c r="F259" s="1">
        <v>27</v>
      </c>
      <c r="G259" s="1">
        <v>16</v>
      </c>
      <c r="H259" s="1">
        <v>5</v>
      </c>
      <c r="I259" s="1">
        <v>12</v>
      </c>
      <c r="J259" s="1">
        <v>7</v>
      </c>
      <c r="K259" s="1">
        <v>67</v>
      </c>
      <c r="L259" s="5">
        <f ca="1">K259-(ROUNDDOWN((($G$1-C259)/365),1))</f>
        <v>66.099999999999994</v>
      </c>
    </row>
    <row r="260" spans="1:12" x14ac:dyDescent="0.25">
      <c r="A260" s="2">
        <f ca="1">RANK(L260,$L$6:$L$475,0)</f>
        <v>254</v>
      </c>
      <c r="B260" s="1" t="s">
        <v>250</v>
      </c>
      <c r="C260" s="18">
        <v>44871</v>
      </c>
      <c r="D260" s="1" t="s">
        <v>236</v>
      </c>
      <c r="E260" s="1" t="s">
        <v>17</v>
      </c>
      <c r="F260" s="1">
        <v>27</v>
      </c>
      <c r="G260" s="1">
        <v>18</v>
      </c>
      <c r="H260" s="1">
        <v>6</v>
      </c>
      <c r="I260" s="1">
        <v>13</v>
      </c>
      <c r="J260" s="1">
        <v>6</v>
      </c>
      <c r="K260" s="1">
        <v>70</v>
      </c>
      <c r="L260" s="5">
        <f ca="1">K260-(ROUNDDOWN((($G$1-C260)/365),1))</f>
        <v>66.099999999999994</v>
      </c>
    </row>
    <row r="261" spans="1:12" x14ac:dyDescent="0.25">
      <c r="A261" s="2">
        <f ca="1">RANK(L261,$L$6:$L$475,0)</f>
        <v>256</v>
      </c>
      <c r="B261" s="1" t="s">
        <v>373</v>
      </c>
      <c r="C261" s="18">
        <v>45557</v>
      </c>
      <c r="D261" s="1" t="s">
        <v>73</v>
      </c>
      <c r="E261" s="1" t="s">
        <v>20</v>
      </c>
      <c r="F261" s="1">
        <v>27</v>
      </c>
      <c r="G261" s="1">
        <v>17</v>
      </c>
      <c r="H261" s="1">
        <v>6</v>
      </c>
      <c r="I261" s="1">
        <v>12</v>
      </c>
      <c r="J261" s="1">
        <v>6</v>
      </c>
      <c r="K261" s="1">
        <v>68</v>
      </c>
      <c r="L261" s="5">
        <f ca="1">K261-(ROUNDDOWN((($G$1-C261)/365),1))</f>
        <v>66</v>
      </c>
    </row>
    <row r="262" spans="1:12" x14ac:dyDescent="0.25">
      <c r="A262" s="2">
        <f ca="1">RANK(L262,$L$6:$L$475,0)</f>
        <v>257</v>
      </c>
      <c r="B262" s="1" t="s">
        <v>152</v>
      </c>
      <c r="C262" s="18">
        <v>44437</v>
      </c>
      <c r="D262" s="1" t="s">
        <v>72</v>
      </c>
      <c r="E262" s="1" t="s">
        <v>22</v>
      </c>
      <c r="F262" s="1">
        <v>27</v>
      </c>
      <c r="G262" s="1">
        <v>18</v>
      </c>
      <c r="H262" s="1">
        <v>6</v>
      </c>
      <c r="I262" s="1">
        <v>14</v>
      </c>
      <c r="J262" s="1">
        <v>6</v>
      </c>
      <c r="K262" s="1">
        <v>71</v>
      </c>
      <c r="L262" s="5">
        <f ca="1">K262-(ROUNDDOWN((($G$1-C262)/365),1))</f>
        <v>65.900000000000006</v>
      </c>
    </row>
    <row r="263" spans="1:12" x14ac:dyDescent="0.25">
      <c r="A263" s="2">
        <f ca="1">RANK(L263,$L$6:$L$475,0)</f>
        <v>257</v>
      </c>
      <c r="B263" s="1" t="s">
        <v>362</v>
      </c>
      <c r="C263" s="18">
        <v>45515</v>
      </c>
      <c r="D263" s="1" t="s">
        <v>266</v>
      </c>
      <c r="E263" s="1" t="s">
        <v>17</v>
      </c>
      <c r="F263" s="1">
        <v>29</v>
      </c>
      <c r="G263" s="1">
        <v>16</v>
      </c>
      <c r="H263" s="1">
        <v>5</v>
      </c>
      <c r="I263" s="1">
        <v>15</v>
      </c>
      <c r="J263" s="1">
        <v>3</v>
      </c>
      <c r="K263" s="1">
        <v>68</v>
      </c>
      <c r="L263" s="5">
        <f ca="1">K263-(ROUNDDOWN((($G$1-C263)/365),1))</f>
        <v>65.900000000000006</v>
      </c>
    </row>
    <row r="264" spans="1:12" x14ac:dyDescent="0.25">
      <c r="A264" s="2">
        <f ca="1">RANK(L264,$L$6:$L$475,0)</f>
        <v>257</v>
      </c>
      <c r="B264" s="1" t="s">
        <v>296</v>
      </c>
      <c r="C264" s="18">
        <v>45144</v>
      </c>
      <c r="D264" s="1" t="s">
        <v>154</v>
      </c>
      <c r="E264" s="1" t="s">
        <v>22</v>
      </c>
      <c r="F264" s="1">
        <v>26</v>
      </c>
      <c r="G264" s="1">
        <v>18</v>
      </c>
      <c r="H264" s="1">
        <v>5</v>
      </c>
      <c r="I264" s="1">
        <v>12</v>
      </c>
      <c r="J264" s="1">
        <v>8</v>
      </c>
      <c r="K264" s="1">
        <v>69</v>
      </c>
      <c r="L264" s="5">
        <f ca="1">K264-(ROUNDDOWN((($G$1-C264)/365),1))</f>
        <v>65.900000000000006</v>
      </c>
    </row>
    <row r="265" spans="1:12" x14ac:dyDescent="0.25">
      <c r="A265" s="2">
        <f ca="1">RANK(L265,$L$6:$L$475,0)</f>
        <v>257</v>
      </c>
      <c r="B265" s="1" t="s">
        <v>140</v>
      </c>
      <c r="C265" s="18">
        <v>44409</v>
      </c>
      <c r="D265" s="1" t="s">
        <v>69</v>
      </c>
      <c r="E265" s="1" t="s">
        <v>17</v>
      </c>
      <c r="F265" s="1">
        <v>29</v>
      </c>
      <c r="G265" s="1">
        <v>15</v>
      </c>
      <c r="H265" s="1">
        <v>7</v>
      </c>
      <c r="I265" s="1">
        <v>13</v>
      </c>
      <c r="J265" s="1">
        <v>7</v>
      </c>
      <c r="K265" s="1">
        <v>71</v>
      </c>
      <c r="L265" s="5">
        <f ca="1">K265-(ROUNDDOWN((($G$1-C265)/365),1))</f>
        <v>65.900000000000006</v>
      </c>
    </row>
    <row r="266" spans="1:12" x14ac:dyDescent="0.25">
      <c r="A266" s="2">
        <f ca="1">RANK(L266,$L$6:$L$475,0)</f>
        <v>257</v>
      </c>
      <c r="B266" s="1" t="s">
        <v>36</v>
      </c>
      <c r="C266" s="18">
        <v>44409</v>
      </c>
      <c r="D266" s="1" t="s">
        <v>70</v>
      </c>
      <c r="E266" s="1" t="s">
        <v>22</v>
      </c>
      <c r="F266" s="1">
        <v>28</v>
      </c>
      <c r="G266" s="1">
        <v>16</v>
      </c>
      <c r="H266" s="1">
        <v>7</v>
      </c>
      <c r="I266" s="1">
        <v>13</v>
      </c>
      <c r="J266" s="1">
        <v>7</v>
      </c>
      <c r="K266" s="1">
        <v>71</v>
      </c>
      <c r="L266" s="5">
        <f ca="1">K266-(ROUNDDOWN((($G$1-C266)/365),1))</f>
        <v>65.900000000000006</v>
      </c>
    </row>
    <row r="267" spans="1:12" x14ac:dyDescent="0.25">
      <c r="A267" s="2">
        <f ca="1">RANK(L267,$L$6:$L$475,0)</f>
        <v>257</v>
      </c>
      <c r="B267" s="1" t="s">
        <v>37</v>
      </c>
      <c r="C267" s="18">
        <v>44409</v>
      </c>
      <c r="D267" s="1" t="s">
        <v>70</v>
      </c>
      <c r="E267" s="1" t="s">
        <v>17</v>
      </c>
      <c r="F267" s="1">
        <v>29</v>
      </c>
      <c r="G267" s="1">
        <v>16</v>
      </c>
      <c r="H267" s="1">
        <v>6</v>
      </c>
      <c r="I267" s="1">
        <v>13</v>
      </c>
      <c r="J267" s="1">
        <v>7</v>
      </c>
      <c r="K267" s="1">
        <v>71</v>
      </c>
      <c r="L267" s="5">
        <f ca="1">K267-(ROUNDDOWN((($G$1-C267)/365),1))</f>
        <v>65.900000000000006</v>
      </c>
    </row>
    <row r="268" spans="1:12" x14ac:dyDescent="0.25">
      <c r="A268" s="2">
        <f ca="1">RANK(L268,$L$6:$L$475,0)</f>
        <v>263</v>
      </c>
      <c r="B268" s="1" t="s">
        <v>222</v>
      </c>
      <c r="C268" s="18">
        <v>44745</v>
      </c>
      <c r="D268" s="1" t="s">
        <v>71</v>
      </c>
      <c r="E268" s="1" t="s">
        <v>22</v>
      </c>
      <c r="F268" s="1">
        <v>29</v>
      </c>
      <c r="G268" s="1">
        <v>22</v>
      </c>
      <c r="H268" s="1">
        <v>6</v>
      </c>
      <c r="I268" s="1">
        <v>8</v>
      </c>
      <c r="J268" s="1">
        <v>5</v>
      </c>
      <c r="K268" s="1">
        <v>70</v>
      </c>
      <c r="L268" s="5">
        <f ca="1">K268-(ROUNDDOWN((($G$1-C268)/365),1))</f>
        <v>65.8</v>
      </c>
    </row>
    <row r="269" spans="1:12" x14ac:dyDescent="0.25">
      <c r="A269" s="2">
        <f ca="1">RANK(L269,$L$6:$L$475,0)</f>
        <v>263</v>
      </c>
      <c r="B269" s="1" t="s">
        <v>134</v>
      </c>
      <c r="C269" s="18">
        <v>44367</v>
      </c>
      <c r="D269" s="1" t="s">
        <v>74</v>
      </c>
      <c r="E269" s="1" t="s">
        <v>22</v>
      </c>
      <c r="F269" s="1">
        <v>28</v>
      </c>
      <c r="G269" s="1">
        <v>15</v>
      </c>
      <c r="H269" s="1">
        <v>7</v>
      </c>
      <c r="I269" s="1">
        <v>14</v>
      </c>
      <c r="J269" s="1">
        <v>7</v>
      </c>
      <c r="K269" s="1">
        <v>71</v>
      </c>
      <c r="L269" s="5">
        <f ca="1">K269-(ROUNDDOWN((($G$1-C269)/365),1))</f>
        <v>65.8</v>
      </c>
    </row>
    <row r="270" spans="1:12" x14ac:dyDescent="0.25">
      <c r="A270" s="2">
        <f ca="1">RANK(L270,$L$6:$L$475,0)</f>
        <v>265</v>
      </c>
      <c r="B270" s="29" t="s">
        <v>128</v>
      </c>
      <c r="C270" s="18">
        <v>44346</v>
      </c>
      <c r="D270" s="1" t="s">
        <v>72</v>
      </c>
      <c r="E270" s="1" t="s">
        <v>22</v>
      </c>
      <c r="F270" s="1">
        <v>28</v>
      </c>
      <c r="G270" s="1">
        <v>17</v>
      </c>
      <c r="H270" s="1">
        <v>6</v>
      </c>
      <c r="I270" s="1">
        <v>14</v>
      </c>
      <c r="J270" s="1">
        <v>6</v>
      </c>
      <c r="K270" s="1">
        <v>71</v>
      </c>
      <c r="L270" s="5">
        <f ca="1">K270-(ROUNDDOWN((($G$1-C270)/365),1))</f>
        <v>65.7</v>
      </c>
    </row>
    <row r="271" spans="1:12" x14ac:dyDescent="0.25">
      <c r="A271" s="2">
        <f ca="1">RANK(L271,$L$6:$L$475,0)</f>
        <v>265</v>
      </c>
      <c r="B271" s="29" t="s">
        <v>347</v>
      </c>
      <c r="C271" s="18">
        <v>45438</v>
      </c>
      <c r="D271" s="1" t="s">
        <v>71</v>
      </c>
      <c r="E271" s="1" t="s">
        <v>22</v>
      </c>
      <c r="F271" s="1">
        <v>30</v>
      </c>
      <c r="G271" s="1">
        <v>18</v>
      </c>
      <c r="H271" s="1">
        <v>7</v>
      </c>
      <c r="I271" s="1">
        <v>10</v>
      </c>
      <c r="J271" s="1">
        <v>3</v>
      </c>
      <c r="K271" s="1">
        <v>68</v>
      </c>
      <c r="L271" s="5">
        <f ca="1">K271-(ROUNDDOWN((($G$1-C271)/365),1))</f>
        <v>65.7</v>
      </c>
    </row>
    <row r="272" spans="1:12" x14ac:dyDescent="0.25">
      <c r="A272" s="2">
        <f ca="1">RANK(L272,$L$6:$L$475,0)</f>
        <v>265</v>
      </c>
      <c r="B272" s="1" t="s">
        <v>106</v>
      </c>
      <c r="C272" s="18">
        <v>44703</v>
      </c>
      <c r="D272" s="1" t="s">
        <v>69</v>
      </c>
      <c r="E272" s="1" t="s">
        <v>17</v>
      </c>
      <c r="F272" s="1">
        <v>28</v>
      </c>
      <c r="G272" s="1">
        <v>16</v>
      </c>
      <c r="H272" s="1">
        <v>4</v>
      </c>
      <c r="I272" s="1">
        <v>15</v>
      </c>
      <c r="J272" s="1">
        <v>7</v>
      </c>
      <c r="K272" s="1">
        <v>70</v>
      </c>
      <c r="L272" s="5">
        <f ca="1">K272-(ROUNDDOWN((($G$1-C272)/365),1))</f>
        <v>65.7</v>
      </c>
    </row>
    <row r="273" spans="1:12" x14ac:dyDescent="0.25">
      <c r="A273" s="2">
        <f ca="1">RANK(L273,$L$6:$L$475,0)</f>
        <v>268</v>
      </c>
      <c r="B273" s="1" t="s">
        <v>505</v>
      </c>
      <c r="C273" s="18">
        <v>46124</v>
      </c>
      <c r="D273" s="1" t="s">
        <v>378</v>
      </c>
      <c r="E273" s="1" t="s">
        <v>22</v>
      </c>
      <c r="F273" s="1">
        <v>26</v>
      </c>
      <c r="G273" s="1">
        <v>23</v>
      </c>
      <c r="H273" s="1">
        <v>3</v>
      </c>
      <c r="I273" s="1">
        <v>10</v>
      </c>
      <c r="J273" s="1">
        <v>4</v>
      </c>
      <c r="K273" s="1">
        <v>66</v>
      </c>
      <c r="L273" s="5">
        <f ca="1">K273-(ROUNDDOWN((($G$1-C273)/365),1))</f>
        <v>65.599999999999994</v>
      </c>
    </row>
    <row r="274" spans="1:12" x14ac:dyDescent="0.25">
      <c r="A274" s="2">
        <f ca="1">RANK(L274,$L$6:$L$475,0)</f>
        <v>269</v>
      </c>
      <c r="B274" s="1" t="s">
        <v>492</v>
      </c>
      <c r="C274" s="18">
        <v>46061</v>
      </c>
      <c r="D274" s="1" t="s">
        <v>71</v>
      </c>
      <c r="E274" s="1" t="s">
        <v>22</v>
      </c>
      <c r="F274" s="1">
        <v>28</v>
      </c>
      <c r="G274" s="1">
        <v>16</v>
      </c>
      <c r="H274" s="1">
        <v>6</v>
      </c>
      <c r="I274" s="1">
        <v>12</v>
      </c>
      <c r="J274" s="1">
        <v>4</v>
      </c>
      <c r="K274" s="1">
        <v>66</v>
      </c>
      <c r="L274" s="5">
        <f ca="1">K274-(ROUNDDOWN((($G$1-C274)/365),1))</f>
        <v>65.400000000000006</v>
      </c>
    </row>
    <row r="275" spans="1:12" x14ac:dyDescent="0.25">
      <c r="A275" s="2">
        <f ca="1">RANK(L275,$L$6:$L$475,0)</f>
        <v>269</v>
      </c>
      <c r="B275" s="1" t="s">
        <v>329</v>
      </c>
      <c r="C275" s="18">
        <v>45319</v>
      </c>
      <c r="D275" s="1" t="s">
        <v>66</v>
      </c>
      <c r="E275" s="1" t="s">
        <v>17</v>
      </c>
      <c r="F275" s="1">
        <v>26</v>
      </c>
      <c r="G275" s="1">
        <v>18</v>
      </c>
      <c r="H275" s="1">
        <v>5</v>
      </c>
      <c r="I275" s="1">
        <v>13</v>
      </c>
      <c r="J275" s="1">
        <v>6</v>
      </c>
      <c r="K275" s="1">
        <v>68</v>
      </c>
      <c r="L275" s="5">
        <f ca="1">K275-(ROUNDDOWN((($G$1-C275)/365),1))</f>
        <v>65.400000000000006</v>
      </c>
    </row>
    <row r="276" spans="1:12" x14ac:dyDescent="0.25">
      <c r="A276" s="2">
        <f ca="1">RANK(L276,$L$6:$L$475,0)</f>
        <v>269</v>
      </c>
      <c r="B276" s="29" t="s">
        <v>407</v>
      </c>
      <c r="C276" s="18">
        <v>45683</v>
      </c>
      <c r="D276" s="1" t="s">
        <v>71</v>
      </c>
      <c r="E276" s="1" t="s">
        <v>17</v>
      </c>
      <c r="F276" s="1">
        <v>28</v>
      </c>
      <c r="G276" s="1">
        <v>15</v>
      </c>
      <c r="H276" s="1">
        <v>6</v>
      </c>
      <c r="I276" s="1">
        <v>14</v>
      </c>
      <c r="J276" s="1">
        <v>4</v>
      </c>
      <c r="K276" s="1">
        <v>67</v>
      </c>
      <c r="L276" s="5">
        <f ca="1">K276-(ROUNDDOWN((($G$1-C276)/365),1))</f>
        <v>65.400000000000006</v>
      </c>
    </row>
    <row r="277" spans="1:12" x14ac:dyDescent="0.25">
      <c r="A277" s="2">
        <f ca="1">RANK(L277,$L$6:$L$475,0)</f>
        <v>272</v>
      </c>
      <c r="B277" s="1" t="s">
        <v>186</v>
      </c>
      <c r="C277" s="18">
        <v>44577</v>
      </c>
      <c r="D277" s="1" t="s">
        <v>70</v>
      </c>
      <c r="E277" s="1" t="s">
        <v>22</v>
      </c>
      <c r="F277" s="1">
        <v>27</v>
      </c>
      <c r="G277" s="1">
        <v>18</v>
      </c>
      <c r="H277" s="1">
        <v>6</v>
      </c>
      <c r="I277" s="1">
        <v>13</v>
      </c>
      <c r="J277" s="1">
        <v>6</v>
      </c>
      <c r="K277" s="1">
        <v>70</v>
      </c>
      <c r="L277" s="5">
        <f ca="1">K277-(ROUNDDOWN((($G$1-C277)/365),1))</f>
        <v>65.3</v>
      </c>
    </row>
    <row r="278" spans="1:12" x14ac:dyDescent="0.25">
      <c r="A278" s="2">
        <f ca="1">RANK(L278,$L$6:$L$475,0)</f>
        <v>272</v>
      </c>
      <c r="B278" s="29" t="s">
        <v>324</v>
      </c>
      <c r="C278" s="18">
        <v>45298</v>
      </c>
      <c r="D278" s="1" t="s">
        <v>67</v>
      </c>
      <c r="E278" s="1" t="s">
        <v>17</v>
      </c>
      <c r="F278" s="1">
        <v>28</v>
      </c>
      <c r="G278" s="1">
        <v>17</v>
      </c>
      <c r="H278" s="1">
        <v>6</v>
      </c>
      <c r="I278" s="1">
        <v>12</v>
      </c>
      <c r="J278" s="1">
        <v>5</v>
      </c>
      <c r="K278" s="1">
        <v>68</v>
      </c>
      <c r="L278" s="5">
        <f ca="1">K278-(ROUNDDOWN((($G$1-C278)/365),1))</f>
        <v>65.3</v>
      </c>
    </row>
    <row r="279" spans="1:12" x14ac:dyDescent="0.25">
      <c r="A279" s="2">
        <f ca="1">RANK(L279,$L$6:$L$475,0)</f>
        <v>274</v>
      </c>
      <c r="B279" s="1" t="s">
        <v>320</v>
      </c>
      <c r="C279" s="18">
        <v>45277</v>
      </c>
      <c r="D279" s="1" t="s">
        <v>266</v>
      </c>
      <c r="E279" s="1" t="s">
        <v>22</v>
      </c>
      <c r="F279" s="1">
        <v>28</v>
      </c>
      <c r="G279" s="1">
        <v>19</v>
      </c>
      <c r="H279" s="1">
        <v>6</v>
      </c>
      <c r="I279" s="1">
        <v>9</v>
      </c>
      <c r="J279" s="1">
        <v>6</v>
      </c>
      <c r="K279" s="1">
        <v>68</v>
      </c>
      <c r="L279" s="5">
        <f ca="1">K279-(ROUNDDOWN((($G$1-C279)/365),1))</f>
        <v>65.2</v>
      </c>
    </row>
    <row r="280" spans="1:12" x14ac:dyDescent="0.25">
      <c r="A280" s="2">
        <f ca="1">RANK(L280,$L$6:$L$475,0)</f>
        <v>274</v>
      </c>
      <c r="B280" s="1" t="s">
        <v>391</v>
      </c>
      <c r="C280" s="18">
        <v>45627</v>
      </c>
      <c r="D280" s="1" t="s">
        <v>74</v>
      </c>
      <c r="E280" s="1" t="s">
        <v>17</v>
      </c>
      <c r="F280" s="1">
        <v>27</v>
      </c>
      <c r="G280" s="1">
        <v>20</v>
      </c>
      <c r="H280" s="1">
        <v>4</v>
      </c>
      <c r="I280" s="1">
        <v>12</v>
      </c>
      <c r="J280" s="1">
        <v>4</v>
      </c>
      <c r="K280" s="1">
        <v>67</v>
      </c>
      <c r="L280" s="5">
        <f ca="1">K280-(ROUNDDOWN((($G$1-C280)/365),1))</f>
        <v>65.2</v>
      </c>
    </row>
    <row r="281" spans="1:12" x14ac:dyDescent="0.25">
      <c r="A281" s="2">
        <f ca="1">RANK(L281,$L$6:$L$475,0)</f>
        <v>276</v>
      </c>
      <c r="B281" s="1" t="s">
        <v>311</v>
      </c>
      <c r="C281" s="18">
        <v>45235</v>
      </c>
      <c r="D281" s="1" t="s">
        <v>307</v>
      </c>
      <c r="E281" s="1" t="s">
        <v>20</v>
      </c>
      <c r="F281" s="1">
        <v>26</v>
      </c>
      <c r="G281" s="1">
        <v>18</v>
      </c>
      <c r="H281" s="1">
        <v>7</v>
      </c>
      <c r="I281" s="1">
        <v>10</v>
      </c>
      <c r="J281" s="1">
        <v>7</v>
      </c>
      <c r="K281" s="1">
        <v>68</v>
      </c>
      <c r="L281" s="5">
        <f ca="1">K281-(ROUNDDOWN((($G$1-C281)/365),1))</f>
        <v>65.099999999999994</v>
      </c>
    </row>
    <row r="282" spans="1:12" x14ac:dyDescent="0.25">
      <c r="A282" s="2">
        <f ca="1">RANK(L282,$L$6:$L$475,0)</f>
        <v>276</v>
      </c>
      <c r="B282" s="1" t="s">
        <v>275</v>
      </c>
      <c r="C282" s="18">
        <v>45220</v>
      </c>
      <c r="D282" s="1" t="s">
        <v>309</v>
      </c>
      <c r="E282" s="1" t="s">
        <v>22</v>
      </c>
      <c r="F282" s="1">
        <v>27</v>
      </c>
      <c r="G282" s="1">
        <v>17</v>
      </c>
      <c r="H282" s="1">
        <v>7</v>
      </c>
      <c r="I282" s="1">
        <v>11</v>
      </c>
      <c r="J282" s="1">
        <v>6</v>
      </c>
      <c r="K282" s="1">
        <v>68</v>
      </c>
      <c r="L282" s="5">
        <f ca="1">K282-(ROUNDDOWN((($G$1-C282)/365),1))</f>
        <v>65.099999999999994</v>
      </c>
    </row>
    <row r="283" spans="1:12" x14ac:dyDescent="0.25">
      <c r="A283" s="2">
        <f ca="1">RANK(L283,$L$6:$L$475,0)</f>
        <v>278</v>
      </c>
      <c r="B283" s="1" t="s">
        <v>156</v>
      </c>
      <c r="C283" s="18">
        <v>44451</v>
      </c>
      <c r="D283" s="1" t="s">
        <v>72</v>
      </c>
      <c r="E283" s="1" t="s">
        <v>17</v>
      </c>
      <c r="F283" s="1">
        <v>30</v>
      </c>
      <c r="G283" s="1">
        <v>15</v>
      </c>
      <c r="H283" s="1">
        <v>8</v>
      </c>
      <c r="I283" s="1">
        <v>11</v>
      </c>
      <c r="J283" s="1">
        <v>6</v>
      </c>
      <c r="K283" s="1">
        <v>70</v>
      </c>
      <c r="L283" s="5">
        <f ca="1">K283-(ROUNDDOWN((($G$1-C283)/365),1))</f>
        <v>65</v>
      </c>
    </row>
    <row r="284" spans="1:12" x14ac:dyDescent="0.25">
      <c r="A284" s="2">
        <f ca="1">RANK(L284,$L$6:$L$475,0)</f>
        <v>278</v>
      </c>
      <c r="B284" s="1" t="s">
        <v>234</v>
      </c>
      <c r="C284" s="18">
        <v>44815</v>
      </c>
      <c r="D284" s="1" t="s">
        <v>184</v>
      </c>
      <c r="E284" s="1" t="s">
        <v>22</v>
      </c>
      <c r="F284" s="1">
        <v>27</v>
      </c>
      <c r="G284" s="1">
        <v>17</v>
      </c>
      <c r="H284" s="1">
        <v>5</v>
      </c>
      <c r="I284" s="1">
        <v>14</v>
      </c>
      <c r="J284" s="1">
        <v>6</v>
      </c>
      <c r="K284" s="1">
        <v>69</v>
      </c>
      <c r="L284" s="5">
        <f ca="1">K284-(ROUNDDOWN((($G$1-C284)/365),1))</f>
        <v>65</v>
      </c>
    </row>
    <row r="285" spans="1:12" x14ac:dyDescent="0.25">
      <c r="A285" s="2">
        <f ca="1">RANK(L285,$L$6:$L$475,0)</f>
        <v>280</v>
      </c>
      <c r="B285" s="29" t="s">
        <v>364</v>
      </c>
      <c r="C285" s="18">
        <v>45522</v>
      </c>
      <c r="D285" s="1" t="s">
        <v>71</v>
      </c>
      <c r="E285" s="1" t="s">
        <v>22</v>
      </c>
      <c r="F285" s="1">
        <v>29</v>
      </c>
      <c r="G285" s="1">
        <v>15</v>
      </c>
      <c r="H285" s="1">
        <v>6</v>
      </c>
      <c r="I285" s="1">
        <v>14</v>
      </c>
      <c r="J285" s="1">
        <v>3</v>
      </c>
      <c r="K285" s="1">
        <v>67</v>
      </c>
      <c r="L285" s="5">
        <f ca="1">K285-(ROUNDDOWN((($G$1-C285)/365),1))</f>
        <v>64.900000000000006</v>
      </c>
    </row>
    <row r="286" spans="1:12" x14ac:dyDescent="0.25">
      <c r="A286" s="2">
        <f ca="1">RANK(L286,$L$6:$L$475,0)</f>
        <v>281</v>
      </c>
      <c r="B286" s="1" t="s">
        <v>221</v>
      </c>
      <c r="C286" s="18">
        <v>44745</v>
      </c>
      <c r="D286" s="1" t="s">
        <v>71</v>
      </c>
      <c r="E286" s="1" t="s">
        <v>17</v>
      </c>
      <c r="F286" s="1">
        <v>28</v>
      </c>
      <c r="G286" s="1">
        <v>20</v>
      </c>
      <c r="H286" s="1">
        <v>5</v>
      </c>
      <c r="I286" s="1">
        <v>10</v>
      </c>
      <c r="J286" s="1">
        <v>6</v>
      </c>
      <c r="K286" s="1">
        <v>69</v>
      </c>
      <c r="L286" s="5">
        <f ca="1">K286-(ROUNDDOWN((($G$1-C286)/365),1))</f>
        <v>64.8</v>
      </c>
    </row>
    <row r="287" spans="1:12" x14ac:dyDescent="0.25">
      <c r="A287" s="2">
        <f ca="1">RANK(L287,$L$6:$L$475,0)</f>
        <v>281</v>
      </c>
      <c r="B287" s="1" t="s">
        <v>289</v>
      </c>
      <c r="C287" s="18">
        <v>45102</v>
      </c>
      <c r="D287" s="1" t="s">
        <v>68</v>
      </c>
      <c r="E287" s="1" t="s">
        <v>20</v>
      </c>
      <c r="F287" s="1">
        <v>27</v>
      </c>
      <c r="G287" s="1">
        <v>17</v>
      </c>
      <c r="H287" s="1">
        <v>5</v>
      </c>
      <c r="I287" s="1">
        <v>12</v>
      </c>
      <c r="J287" s="1">
        <v>7</v>
      </c>
      <c r="K287" s="1">
        <v>68</v>
      </c>
      <c r="L287" s="5">
        <f ca="1">K287-(ROUNDDOWN((($G$1-C287)/365),1))</f>
        <v>64.8</v>
      </c>
    </row>
    <row r="288" spans="1:12" x14ac:dyDescent="0.25">
      <c r="A288" s="2">
        <f ca="1">RANK(L288,$L$6:$L$475,0)</f>
        <v>283</v>
      </c>
      <c r="B288" s="29" t="s">
        <v>213</v>
      </c>
      <c r="C288" s="18">
        <v>44710</v>
      </c>
      <c r="D288" s="1" t="s">
        <v>68</v>
      </c>
      <c r="E288" s="1" t="s">
        <v>22</v>
      </c>
      <c r="F288" s="1">
        <v>28</v>
      </c>
      <c r="G288" s="1">
        <v>18</v>
      </c>
      <c r="H288" s="1">
        <v>5</v>
      </c>
      <c r="I288" s="1">
        <v>12</v>
      </c>
      <c r="J288" s="1">
        <v>6</v>
      </c>
      <c r="K288" s="1">
        <v>69</v>
      </c>
      <c r="L288" s="5">
        <f ca="1">K288-(ROUNDDOWN((($G$1-C288)/365),1))</f>
        <v>64.7</v>
      </c>
    </row>
    <row r="289" spans="1:12" x14ac:dyDescent="0.25">
      <c r="A289" s="2">
        <f ca="1">RANK(L289,$L$6:$L$475,0)</f>
        <v>283</v>
      </c>
      <c r="B289" s="1" t="s">
        <v>116</v>
      </c>
      <c r="C289" s="18">
        <v>44703</v>
      </c>
      <c r="D289" s="1" t="s">
        <v>72</v>
      </c>
      <c r="E289" s="1" t="s">
        <v>22</v>
      </c>
      <c r="F289" s="1">
        <v>28</v>
      </c>
      <c r="G289" s="1">
        <v>18</v>
      </c>
      <c r="H289" s="1">
        <v>7</v>
      </c>
      <c r="I289" s="1">
        <v>10</v>
      </c>
      <c r="J289" s="1">
        <v>6</v>
      </c>
      <c r="K289" s="1">
        <v>69</v>
      </c>
      <c r="L289" s="5">
        <f ca="1">K289-(ROUNDDOWN((($G$1-C289)/365),1))</f>
        <v>64.7</v>
      </c>
    </row>
    <row r="290" spans="1:12" x14ac:dyDescent="0.25">
      <c r="A290" s="2">
        <f ca="1">RANK(L290,$L$6:$L$475,0)</f>
        <v>285</v>
      </c>
      <c r="B290" s="29" t="s">
        <v>279</v>
      </c>
      <c r="C290" s="18">
        <v>45046</v>
      </c>
      <c r="D290" s="1" t="s">
        <v>71</v>
      </c>
      <c r="E290" s="1" t="s">
        <v>22</v>
      </c>
      <c r="F290" s="1">
        <v>28</v>
      </c>
      <c r="G290" s="1">
        <v>16</v>
      </c>
      <c r="H290" s="1">
        <v>6</v>
      </c>
      <c r="I290" s="1">
        <v>12</v>
      </c>
      <c r="J290" s="1">
        <v>6</v>
      </c>
      <c r="K290" s="1">
        <v>68</v>
      </c>
      <c r="L290" s="5">
        <f ca="1">K290-(ROUNDDOWN((($G$1-C290)/365),1))</f>
        <v>64.599999999999994</v>
      </c>
    </row>
    <row r="291" spans="1:12" x14ac:dyDescent="0.25">
      <c r="A291" s="2">
        <f ca="1">RANK(L291,$L$6:$L$475,0)</f>
        <v>285</v>
      </c>
      <c r="B291" s="1" t="s">
        <v>115</v>
      </c>
      <c r="C291" s="18">
        <v>44297</v>
      </c>
      <c r="D291" s="1" t="s">
        <v>71</v>
      </c>
      <c r="E291" s="1" t="s">
        <v>17</v>
      </c>
      <c r="F291" s="1">
        <v>28</v>
      </c>
      <c r="G291" s="1">
        <v>15</v>
      </c>
      <c r="H291" s="1">
        <v>7</v>
      </c>
      <c r="I291" s="1">
        <v>14</v>
      </c>
      <c r="J291" s="1">
        <v>6</v>
      </c>
      <c r="K291" s="1">
        <v>70</v>
      </c>
      <c r="L291" s="5">
        <f ca="1">K291-(ROUNDDOWN((($G$1-C291)/365),1))</f>
        <v>64.599999999999994</v>
      </c>
    </row>
    <row r="292" spans="1:12" x14ac:dyDescent="0.25">
      <c r="A292" s="2">
        <f ca="1">RANK(L292,$L$6:$L$475,0)</f>
        <v>287</v>
      </c>
      <c r="B292" s="29" t="s">
        <v>205</v>
      </c>
      <c r="C292" s="18">
        <v>44654</v>
      </c>
      <c r="D292" s="1" t="s">
        <v>71</v>
      </c>
      <c r="E292" s="1" t="s">
        <v>22</v>
      </c>
      <c r="F292" s="1">
        <v>27</v>
      </c>
      <c r="G292" s="1">
        <v>15</v>
      </c>
      <c r="H292" s="1">
        <v>6</v>
      </c>
      <c r="I292" s="1">
        <v>14</v>
      </c>
      <c r="J292" s="1">
        <v>7</v>
      </c>
      <c r="K292" s="1">
        <v>69</v>
      </c>
      <c r="L292" s="5">
        <f ca="1">K292-(ROUNDDOWN((($G$1-C292)/365),1))</f>
        <v>64.5</v>
      </c>
    </row>
    <row r="293" spans="1:12" x14ac:dyDescent="0.25">
      <c r="A293" s="2">
        <f ca="1">RANK(L293,$L$6:$L$475,0)</f>
        <v>288</v>
      </c>
      <c r="B293" s="1" t="s">
        <v>332</v>
      </c>
      <c r="C293" s="18">
        <v>45347</v>
      </c>
      <c r="D293" s="1" t="s">
        <v>67</v>
      </c>
      <c r="E293" s="1" t="s">
        <v>22</v>
      </c>
      <c r="F293" s="1">
        <v>27</v>
      </c>
      <c r="G293" s="1">
        <v>16</v>
      </c>
      <c r="H293" s="1">
        <v>5</v>
      </c>
      <c r="I293" s="1">
        <v>12</v>
      </c>
      <c r="J293" s="1">
        <v>7</v>
      </c>
      <c r="K293" s="1">
        <v>67</v>
      </c>
      <c r="L293" s="5">
        <f ca="1">K293-(ROUNDDOWN((($G$1-C293)/365),1))</f>
        <v>64.400000000000006</v>
      </c>
    </row>
    <row r="294" spans="1:12" x14ac:dyDescent="0.25">
      <c r="A294" s="2">
        <f ca="1">RANK(L294,$L$6:$L$475,0)</f>
        <v>288</v>
      </c>
      <c r="B294" s="29" t="s">
        <v>192</v>
      </c>
      <c r="C294" s="18">
        <v>44598</v>
      </c>
      <c r="D294" s="1" t="s">
        <v>68</v>
      </c>
      <c r="E294" s="1" t="s">
        <v>40</v>
      </c>
      <c r="F294" s="1">
        <v>26</v>
      </c>
      <c r="G294" s="1">
        <v>17</v>
      </c>
      <c r="H294" s="1">
        <v>4</v>
      </c>
      <c r="I294" s="1">
        <v>15</v>
      </c>
      <c r="J294" s="1">
        <v>7</v>
      </c>
      <c r="K294" s="1">
        <v>69</v>
      </c>
      <c r="L294" s="5">
        <f ca="1">K294-(ROUNDDOWN((($G$1-C294)/365),1))</f>
        <v>64.400000000000006</v>
      </c>
    </row>
    <row r="295" spans="1:12" x14ac:dyDescent="0.25">
      <c r="A295" s="2">
        <f ca="1">RANK(L295,$L$6:$L$475,0)</f>
        <v>290</v>
      </c>
      <c r="B295" s="29" t="s">
        <v>479</v>
      </c>
      <c r="C295" s="18">
        <v>46026</v>
      </c>
      <c r="D295" s="1" t="s">
        <v>67</v>
      </c>
      <c r="E295" s="1" t="s">
        <v>22</v>
      </c>
      <c r="F295" s="1">
        <v>28</v>
      </c>
      <c r="G295" s="1">
        <v>17</v>
      </c>
      <c r="H295" s="1">
        <v>5</v>
      </c>
      <c r="I295" s="1">
        <v>10</v>
      </c>
      <c r="J295" s="1">
        <v>5</v>
      </c>
      <c r="K295" s="1">
        <v>65</v>
      </c>
      <c r="L295" s="5">
        <f ca="1">K295-(ROUNDDOWN((($G$1-C295)/365),1))</f>
        <v>64.3</v>
      </c>
    </row>
    <row r="296" spans="1:12" x14ac:dyDescent="0.25">
      <c r="A296" s="2">
        <f ca="1">RANK(L296,$L$6:$L$475,0)</f>
        <v>290</v>
      </c>
      <c r="B296" s="29" t="s">
        <v>183</v>
      </c>
      <c r="C296" s="18">
        <v>44556</v>
      </c>
      <c r="D296" s="1" t="s">
        <v>70</v>
      </c>
      <c r="E296" s="1" t="s">
        <v>22</v>
      </c>
      <c r="F296" s="1">
        <v>26</v>
      </c>
      <c r="G296" s="1">
        <v>17</v>
      </c>
      <c r="H296" s="1">
        <v>6</v>
      </c>
      <c r="I296" s="1">
        <v>13</v>
      </c>
      <c r="J296" s="1">
        <v>7</v>
      </c>
      <c r="K296" s="1">
        <v>69</v>
      </c>
      <c r="L296" s="5">
        <f ca="1">K296-(ROUNDDOWN((($G$1-C296)/365),1))</f>
        <v>64.3</v>
      </c>
    </row>
    <row r="297" spans="1:12" x14ac:dyDescent="0.25">
      <c r="A297" s="2">
        <f ca="1">RANK(L297,$L$6:$L$475,0)</f>
        <v>292</v>
      </c>
      <c r="B297" s="1" t="s">
        <v>206</v>
      </c>
      <c r="C297" s="18">
        <v>45220</v>
      </c>
      <c r="D297" s="1" t="s">
        <v>308</v>
      </c>
      <c r="E297" s="1" t="s">
        <v>22</v>
      </c>
      <c r="F297" s="1">
        <v>28</v>
      </c>
      <c r="G297" s="1">
        <v>16</v>
      </c>
      <c r="H297" s="1">
        <v>7</v>
      </c>
      <c r="I297" s="1">
        <v>10</v>
      </c>
      <c r="J297" s="1">
        <v>6</v>
      </c>
      <c r="K297" s="1">
        <v>67</v>
      </c>
      <c r="L297" s="5">
        <f ca="1">K297-(ROUNDDOWN((($G$1-C297)/365),1))</f>
        <v>64.099999999999994</v>
      </c>
    </row>
    <row r="298" spans="1:12" x14ac:dyDescent="0.25">
      <c r="A298" s="2">
        <f ca="1">RANK(L298,$L$6:$L$475,0)</f>
        <v>292</v>
      </c>
      <c r="B298" s="29" t="s">
        <v>306</v>
      </c>
      <c r="C298" s="18">
        <v>45214</v>
      </c>
      <c r="D298" s="1" t="s">
        <v>72</v>
      </c>
      <c r="E298" s="1" t="s">
        <v>17</v>
      </c>
      <c r="F298" s="1">
        <v>26</v>
      </c>
      <c r="G298" s="1">
        <v>16</v>
      </c>
      <c r="H298" s="1">
        <v>4</v>
      </c>
      <c r="I298" s="1">
        <v>14</v>
      </c>
      <c r="J298" s="1">
        <v>7</v>
      </c>
      <c r="K298" s="1">
        <f>SUM(F298:J298)</f>
        <v>67</v>
      </c>
      <c r="L298" s="5">
        <f ca="1">K298-(ROUNDDOWN((($G$1-C298)/365),1))</f>
        <v>64.099999999999994</v>
      </c>
    </row>
    <row r="299" spans="1:12" x14ac:dyDescent="0.25">
      <c r="A299" s="2">
        <f ca="1">RANK(L299,$L$6:$L$475,0)</f>
        <v>294</v>
      </c>
      <c r="B299" s="29" t="s">
        <v>461</v>
      </c>
      <c r="C299" s="18">
        <v>45925</v>
      </c>
      <c r="D299" s="1" t="s">
        <v>67</v>
      </c>
      <c r="E299" s="1" t="s">
        <v>20</v>
      </c>
      <c r="F299" s="1">
        <v>25</v>
      </c>
      <c r="G299" s="1">
        <v>18</v>
      </c>
      <c r="H299" s="1">
        <v>3</v>
      </c>
      <c r="I299" s="1">
        <v>13</v>
      </c>
      <c r="J299" s="1">
        <v>6</v>
      </c>
      <c r="K299" s="1">
        <v>65</v>
      </c>
      <c r="L299" s="5">
        <f ca="1">K299-(ROUNDDOWN((($G$1-C299)/365),1))</f>
        <v>64</v>
      </c>
    </row>
    <row r="300" spans="1:12" x14ac:dyDescent="0.25">
      <c r="A300" s="2">
        <f ca="1">RANK(L300,$L$6:$L$475,0)</f>
        <v>294</v>
      </c>
      <c r="B300" s="1" t="s">
        <v>458</v>
      </c>
      <c r="C300" s="18">
        <v>45921</v>
      </c>
      <c r="D300" s="1" t="s">
        <v>266</v>
      </c>
      <c r="E300" s="1" t="s">
        <v>17</v>
      </c>
      <c r="F300" s="1">
        <v>27</v>
      </c>
      <c r="G300" s="1">
        <v>17</v>
      </c>
      <c r="H300" s="1">
        <v>5</v>
      </c>
      <c r="I300" s="1">
        <v>11</v>
      </c>
      <c r="J300" s="1">
        <v>5</v>
      </c>
      <c r="K300" s="1">
        <v>65</v>
      </c>
      <c r="L300" s="5">
        <f ca="1">K300-(ROUNDDOWN((($G$1-C300)/365),1))</f>
        <v>64</v>
      </c>
    </row>
    <row r="301" spans="1:12" x14ac:dyDescent="0.25">
      <c r="A301" s="2">
        <f ca="1">RANK(L301,$L$6:$L$475,0)</f>
        <v>296</v>
      </c>
      <c r="B301" s="29" t="s">
        <v>229</v>
      </c>
      <c r="C301" s="18">
        <v>44780</v>
      </c>
      <c r="D301" s="1" t="s">
        <v>72</v>
      </c>
      <c r="E301" s="1" t="s">
        <v>22</v>
      </c>
      <c r="F301" s="1">
        <v>27</v>
      </c>
      <c r="G301" s="1">
        <v>16</v>
      </c>
      <c r="H301" s="1">
        <v>6</v>
      </c>
      <c r="I301" s="1">
        <v>14</v>
      </c>
      <c r="J301" s="1">
        <v>5</v>
      </c>
      <c r="K301" s="1">
        <v>68</v>
      </c>
      <c r="L301" s="5">
        <f ca="1">K301-(ROUNDDOWN((($G$1-C301)/365),1))</f>
        <v>63.9</v>
      </c>
    </row>
    <row r="302" spans="1:12" x14ac:dyDescent="0.25">
      <c r="A302" s="2">
        <f ca="1">RANK(L302,$L$6:$L$475,0)</f>
        <v>297</v>
      </c>
      <c r="B302" s="29" t="s">
        <v>225</v>
      </c>
      <c r="C302" s="18">
        <v>44752</v>
      </c>
      <c r="D302" s="1" t="s">
        <v>71</v>
      </c>
      <c r="E302" s="1" t="s">
        <v>22</v>
      </c>
      <c r="F302" s="1">
        <v>27</v>
      </c>
      <c r="G302" s="1">
        <v>18</v>
      </c>
      <c r="H302" s="1">
        <v>5</v>
      </c>
      <c r="I302" s="1">
        <v>13</v>
      </c>
      <c r="J302" s="1">
        <v>5</v>
      </c>
      <c r="K302" s="1">
        <v>68</v>
      </c>
      <c r="L302" s="5">
        <f ca="1">K302-(ROUNDDOWN((($G$1-C302)/365),1))</f>
        <v>63.8</v>
      </c>
    </row>
    <row r="303" spans="1:12" x14ac:dyDescent="0.25">
      <c r="A303" s="2">
        <f ca="1">RANK(L303,$L$6:$L$475,0)</f>
        <v>297</v>
      </c>
      <c r="B303" s="1" t="s">
        <v>440</v>
      </c>
      <c r="C303" s="18">
        <v>45830</v>
      </c>
      <c r="D303" s="1" t="s">
        <v>72</v>
      </c>
      <c r="E303" s="1" t="s">
        <v>17</v>
      </c>
      <c r="F303" s="1">
        <v>28</v>
      </c>
      <c r="G303" s="1">
        <v>17</v>
      </c>
      <c r="H303" s="1">
        <v>5</v>
      </c>
      <c r="I303" s="1">
        <v>10</v>
      </c>
      <c r="J303" s="1">
        <v>5</v>
      </c>
      <c r="K303" s="1">
        <v>65</v>
      </c>
      <c r="L303" s="5">
        <f ca="1">K303-(ROUNDDOWN((($G$1-C303)/365),1))</f>
        <v>63.8</v>
      </c>
    </row>
    <row r="304" spans="1:12" x14ac:dyDescent="0.25">
      <c r="A304" s="2">
        <f ca="1">RANK(L304,$L$6:$L$475,0)</f>
        <v>299</v>
      </c>
      <c r="B304" s="29" t="s">
        <v>348</v>
      </c>
      <c r="C304" s="18">
        <v>45452</v>
      </c>
      <c r="D304" s="1" t="s">
        <v>71</v>
      </c>
      <c r="E304" s="1" t="s">
        <v>22</v>
      </c>
      <c r="F304" s="1">
        <v>27</v>
      </c>
      <c r="G304" s="1">
        <v>18</v>
      </c>
      <c r="H304" s="1">
        <v>4</v>
      </c>
      <c r="I304" s="1">
        <v>10</v>
      </c>
      <c r="J304" s="1">
        <v>7</v>
      </c>
      <c r="K304" s="1">
        <v>66</v>
      </c>
      <c r="L304" s="5">
        <f ca="1">K304-(ROUNDDOWN((($G$1-C304)/365),1))</f>
        <v>63.7</v>
      </c>
    </row>
    <row r="305" spans="1:12" x14ac:dyDescent="0.25">
      <c r="A305" s="2">
        <f ca="1">RANK(L305,$L$6:$L$475,0)</f>
        <v>299</v>
      </c>
      <c r="B305" s="1" t="s">
        <v>435</v>
      </c>
      <c r="C305" s="18">
        <v>45802</v>
      </c>
      <c r="D305" s="1" t="s">
        <v>307</v>
      </c>
      <c r="E305" s="1" t="s">
        <v>17</v>
      </c>
      <c r="F305" s="1">
        <v>26</v>
      </c>
      <c r="G305" s="1">
        <v>19</v>
      </c>
      <c r="H305" s="1">
        <v>4</v>
      </c>
      <c r="I305" s="1">
        <v>10</v>
      </c>
      <c r="J305" s="1">
        <v>6</v>
      </c>
      <c r="K305" s="1">
        <v>65</v>
      </c>
      <c r="L305" s="5">
        <f ca="1">K305-(ROUNDDOWN((($G$1-C305)/365),1))</f>
        <v>63.7</v>
      </c>
    </row>
    <row r="306" spans="1:12" x14ac:dyDescent="0.25">
      <c r="A306" s="2">
        <f ca="1">RANK(L306,$L$6:$L$475,0)</f>
        <v>299</v>
      </c>
      <c r="B306" s="1" t="s">
        <v>107</v>
      </c>
      <c r="C306" s="18">
        <v>44703</v>
      </c>
      <c r="D306" s="1" t="s">
        <v>69</v>
      </c>
      <c r="E306" s="1" t="s">
        <v>22</v>
      </c>
      <c r="F306" s="1">
        <v>27</v>
      </c>
      <c r="G306" s="1">
        <v>16</v>
      </c>
      <c r="H306" s="1">
        <v>4</v>
      </c>
      <c r="I306" s="1">
        <v>15</v>
      </c>
      <c r="J306" s="1">
        <v>6</v>
      </c>
      <c r="K306" s="1">
        <v>68</v>
      </c>
      <c r="L306" s="5">
        <f ca="1">K306-(ROUNDDOWN((($G$1-C306)/365),1))</f>
        <v>63.7</v>
      </c>
    </row>
    <row r="307" spans="1:12" x14ac:dyDescent="0.25">
      <c r="A307" s="2">
        <f ca="1">RANK(L307,$L$6:$L$475,0)</f>
        <v>302</v>
      </c>
      <c r="B307" s="1" t="s">
        <v>203</v>
      </c>
      <c r="C307" s="18">
        <v>44640</v>
      </c>
      <c r="D307" s="1" t="s">
        <v>149</v>
      </c>
      <c r="E307" s="1" t="s">
        <v>22</v>
      </c>
      <c r="F307" s="1">
        <v>26</v>
      </c>
      <c r="G307" s="1">
        <v>17</v>
      </c>
      <c r="H307" s="1">
        <v>7</v>
      </c>
      <c r="I307" s="1">
        <v>11</v>
      </c>
      <c r="J307" s="1">
        <v>7</v>
      </c>
      <c r="K307" s="1">
        <v>68</v>
      </c>
      <c r="L307" s="5">
        <f ca="1">K307-(ROUNDDOWN((($G$1-C307)/365),1))</f>
        <v>63.5</v>
      </c>
    </row>
    <row r="308" spans="1:12" x14ac:dyDescent="0.25">
      <c r="A308" s="2">
        <f ca="1">RANK(L308,$L$6:$L$475,0)</f>
        <v>302</v>
      </c>
      <c r="B308" s="1" t="s">
        <v>335</v>
      </c>
      <c r="C308" s="18">
        <v>45368</v>
      </c>
      <c r="D308" s="1" t="s">
        <v>68</v>
      </c>
      <c r="E308" s="1" t="s">
        <v>22</v>
      </c>
      <c r="F308" s="1">
        <v>28</v>
      </c>
      <c r="G308" s="1">
        <v>17</v>
      </c>
      <c r="H308" s="1">
        <v>6</v>
      </c>
      <c r="I308" s="1">
        <v>10</v>
      </c>
      <c r="J308" s="1">
        <v>5</v>
      </c>
      <c r="K308" s="1">
        <v>66</v>
      </c>
      <c r="L308" s="5">
        <f ca="1">K308-(ROUNDDOWN((($G$1-C308)/365),1))</f>
        <v>63.5</v>
      </c>
    </row>
    <row r="309" spans="1:12" x14ac:dyDescent="0.25">
      <c r="A309" s="2">
        <f ca="1">RANK(L309,$L$6:$L$475,0)</f>
        <v>304</v>
      </c>
      <c r="B309" s="1" t="s">
        <v>267</v>
      </c>
      <c r="C309" s="18">
        <v>44962</v>
      </c>
      <c r="D309" s="1" t="s">
        <v>266</v>
      </c>
      <c r="E309" s="1" t="s">
        <v>17</v>
      </c>
      <c r="F309" s="1">
        <v>27</v>
      </c>
      <c r="G309" s="1">
        <v>18</v>
      </c>
      <c r="H309" s="1">
        <v>5</v>
      </c>
      <c r="I309" s="1">
        <v>12</v>
      </c>
      <c r="J309" s="1">
        <v>5</v>
      </c>
      <c r="K309" s="1">
        <v>67</v>
      </c>
      <c r="L309" s="5">
        <f ca="1">K309-(ROUNDDOWN((($G$1-C309)/365),1))</f>
        <v>63.4</v>
      </c>
    </row>
    <row r="310" spans="1:12" x14ac:dyDescent="0.25">
      <c r="A310" s="2">
        <f ca="1">RANK(L310,$L$6:$L$475,0)</f>
        <v>304</v>
      </c>
      <c r="B310" s="1" t="s">
        <v>408</v>
      </c>
      <c r="C310" s="18">
        <v>45690</v>
      </c>
      <c r="D310" s="1" t="s">
        <v>309</v>
      </c>
      <c r="E310" s="1" t="s">
        <v>33</v>
      </c>
      <c r="F310" s="1">
        <v>28</v>
      </c>
      <c r="G310" s="1">
        <v>16</v>
      </c>
      <c r="H310" s="1">
        <v>6</v>
      </c>
      <c r="I310" s="1">
        <v>10</v>
      </c>
      <c r="J310" s="1">
        <v>5</v>
      </c>
      <c r="K310" s="1">
        <v>65</v>
      </c>
      <c r="L310" s="5">
        <f ca="1">K310-(ROUNDDOWN((($G$1-C310)/365),1))</f>
        <v>63.4</v>
      </c>
    </row>
    <row r="311" spans="1:12" x14ac:dyDescent="0.25">
      <c r="A311" s="2">
        <f ca="1">RANK(L311,$L$6:$L$475,0)</f>
        <v>304</v>
      </c>
      <c r="B311" s="1" t="s">
        <v>191</v>
      </c>
      <c r="C311" s="18">
        <v>44591</v>
      </c>
      <c r="D311" s="1" t="s">
        <v>69</v>
      </c>
      <c r="E311" s="1" t="s">
        <v>22</v>
      </c>
      <c r="F311" s="1">
        <v>27</v>
      </c>
      <c r="G311" s="1">
        <v>17</v>
      </c>
      <c r="H311" s="1">
        <v>6</v>
      </c>
      <c r="I311" s="1">
        <v>12</v>
      </c>
      <c r="J311" s="1">
        <v>6</v>
      </c>
      <c r="K311" s="1">
        <v>68</v>
      </c>
      <c r="L311" s="5">
        <f ca="1">K311-(ROUNDDOWN((($G$1-C311)/365),1))</f>
        <v>63.4</v>
      </c>
    </row>
    <row r="312" spans="1:12" x14ac:dyDescent="0.25">
      <c r="A312" s="2">
        <f ca="1">RANK(L312,$L$6:$L$475,0)</f>
        <v>307</v>
      </c>
      <c r="B312" s="1" t="s">
        <v>401</v>
      </c>
      <c r="C312" s="18">
        <v>45662</v>
      </c>
      <c r="D312" s="1" t="s">
        <v>68</v>
      </c>
      <c r="E312" s="1" t="s">
        <v>17</v>
      </c>
      <c r="F312" s="1">
        <v>26</v>
      </c>
      <c r="G312" s="1">
        <v>15</v>
      </c>
      <c r="H312" s="1">
        <v>6</v>
      </c>
      <c r="I312" s="1">
        <v>10</v>
      </c>
      <c r="J312" s="1">
        <v>8</v>
      </c>
      <c r="K312" s="1">
        <v>65</v>
      </c>
      <c r="L312" s="5">
        <f ca="1">K312-(ROUNDDOWN((($G$1-C312)/365),1))</f>
        <v>63.3</v>
      </c>
    </row>
    <row r="313" spans="1:12" x14ac:dyDescent="0.25">
      <c r="A313" s="2">
        <f ca="1">RANK(L313,$L$6:$L$475,0)</f>
        <v>308</v>
      </c>
      <c r="B313" s="29" t="s">
        <v>60</v>
      </c>
      <c r="C313" s="18">
        <v>44156</v>
      </c>
      <c r="D313" s="1" t="s">
        <v>71</v>
      </c>
      <c r="E313" s="1" t="s">
        <v>17</v>
      </c>
      <c r="F313" s="1">
        <v>28</v>
      </c>
      <c r="G313" s="1">
        <v>16</v>
      </c>
      <c r="H313" s="1">
        <v>7</v>
      </c>
      <c r="I313" s="1">
        <v>11</v>
      </c>
      <c r="J313" s="1">
        <v>7</v>
      </c>
      <c r="K313" s="1">
        <v>69</v>
      </c>
      <c r="L313" s="5">
        <f ca="1">K313-(ROUNDDOWN((($G$1-C313)/365),1))</f>
        <v>63.2</v>
      </c>
    </row>
    <row r="314" spans="1:12" x14ac:dyDescent="0.25">
      <c r="A314" s="2">
        <f ca="1">RANK(L314,$L$6:$L$475,0)</f>
        <v>308</v>
      </c>
      <c r="B314" s="1" t="s">
        <v>387</v>
      </c>
      <c r="C314" s="18">
        <v>45613</v>
      </c>
      <c r="D314" s="1" t="s">
        <v>154</v>
      </c>
      <c r="E314" s="1" t="s">
        <v>22</v>
      </c>
      <c r="F314" s="1">
        <v>27</v>
      </c>
      <c r="G314" s="1">
        <v>16</v>
      </c>
      <c r="H314" s="1">
        <v>6</v>
      </c>
      <c r="I314" s="1">
        <v>11</v>
      </c>
      <c r="J314" s="1">
        <v>5</v>
      </c>
      <c r="K314" s="1">
        <v>65</v>
      </c>
      <c r="L314" s="5">
        <f ca="1">K314-(ROUNDDOWN((($G$1-C314)/365),1))</f>
        <v>63.2</v>
      </c>
    </row>
    <row r="315" spans="1:12" x14ac:dyDescent="0.25">
      <c r="A315" s="2">
        <f ca="1">RANK(L315,$L$6:$L$475,0)</f>
        <v>308</v>
      </c>
      <c r="B315" s="29" t="s">
        <v>312</v>
      </c>
      <c r="C315" s="18">
        <v>45242</v>
      </c>
      <c r="D315" s="1" t="s">
        <v>266</v>
      </c>
      <c r="E315" s="1" t="s">
        <v>22</v>
      </c>
      <c r="F315" s="1">
        <v>27</v>
      </c>
      <c r="G315" s="1">
        <v>17</v>
      </c>
      <c r="H315" s="1">
        <v>6</v>
      </c>
      <c r="I315" s="1">
        <v>13</v>
      </c>
      <c r="J315" s="1">
        <v>3</v>
      </c>
      <c r="K315" s="1">
        <v>66</v>
      </c>
      <c r="L315" s="5">
        <f ca="1">K315-(ROUNDDOWN((($G$1-C315)/365),1))</f>
        <v>63.2</v>
      </c>
    </row>
    <row r="316" spans="1:12" x14ac:dyDescent="0.25">
      <c r="A316" s="2">
        <f ca="1">RANK(L316,$L$6:$L$475,0)</f>
        <v>311</v>
      </c>
      <c r="B316" s="1" t="s">
        <v>195</v>
      </c>
      <c r="C316" s="18">
        <v>45220</v>
      </c>
      <c r="D316" s="1" t="s">
        <v>308</v>
      </c>
      <c r="E316" s="1" t="s">
        <v>17</v>
      </c>
      <c r="F316" s="1">
        <v>25</v>
      </c>
      <c r="G316" s="1">
        <v>22</v>
      </c>
      <c r="H316" s="1">
        <v>3</v>
      </c>
      <c r="I316" s="1">
        <v>12</v>
      </c>
      <c r="J316" s="1">
        <v>4</v>
      </c>
      <c r="K316" s="1">
        <v>66</v>
      </c>
      <c r="L316" s="5">
        <f ca="1">K316-(ROUNDDOWN((($G$1-C316)/365),1))</f>
        <v>63.1</v>
      </c>
    </row>
    <row r="317" spans="1:12" x14ac:dyDescent="0.25">
      <c r="A317" s="2">
        <f ca="1">RANK(L317,$L$6:$L$475,0)</f>
        <v>311</v>
      </c>
      <c r="B317" s="1" t="s">
        <v>167</v>
      </c>
      <c r="C317" s="18">
        <v>44479</v>
      </c>
      <c r="D317" s="1" t="s">
        <v>72</v>
      </c>
      <c r="E317" s="1" t="s">
        <v>22</v>
      </c>
      <c r="F317" s="1">
        <v>25</v>
      </c>
      <c r="G317" s="1">
        <v>18</v>
      </c>
      <c r="H317" s="1">
        <v>6</v>
      </c>
      <c r="I317" s="1">
        <v>13</v>
      </c>
      <c r="J317" s="1">
        <v>6</v>
      </c>
      <c r="K317" s="1">
        <v>68</v>
      </c>
      <c r="L317" s="5">
        <f ca="1">K317-(ROUNDDOWN((($G$1-C317)/365),1))</f>
        <v>63.1</v>
      </c>
    </row>
    <row r="318" spans="1:12" x14ac:dyDescent="0.25">
      <c r="A318" s="2">
        <f ca="1">RANK(L318,$L$6:$L$475,0)</f>
        <v>313</v>
      </c>
      <c r="B318" s="1" t="s">
        <v>45</v>
      </c>
      <c r="C318" s="18">
        <v>44409</v>
      </c>
      <c r="D318" s="1" t="s">
        <v>73</v>
      </c>
      <c r="E318" s="1" t="s">
        <v>22</v>
      </c>
      <c r="F318" s="1">
        <v>27</v>
      </c>
      <c r="G318" s="1">
        <v>15</v>
      </c>
      <c r="H318" s="1">
        <v>6</v>
      </c>
      <c r="I318" s="1">
        <v>14</v>
      </c>
      <c r="J318" s="1">
        <v>6</v>
      </c>
      <c r="K318" s="1">
        <v>68</v>
      </c>
      <c r="L318" s="5">
        <f ca="1">K318-(ROUNDDOWN((($G$1-C318)/365),1))</f>
        <v>62.9</v>
      </c>
    </row>
    <row r="319" spans="1:12" x14ac:dyDescent="0.25">
      <c r="A319" s="2">
        <f ca="1">RANK(L319,$L$6:$L$475,0)</f>
        <v>314</v>
      </c>
      <c r="B319" s="29" t="s">
        <v>357</v>
      </c>
      <c r="C319" s="18">
        <v>45494</v>
      </c>
      <c r="D319" s="1" t="s">
        <v>67</v>
      </c>
      <c r="E319" s="1" t="s">
        <v>22</v>
      </c>
      <c r="F319" s="1">
        <v>25</v>
      </c>
      <c r="G319" s="1">
        <v>17</v>
      </c>
      <c r="H319" s="1">
        <v>5</v>
      </c>
      <c r="I319" s="1">
        <v>13</v>
      </c>
      <c r="J319" s="1">
        <v>5</v>
      </c>
      <c r="K319" s="1">
        <v>65</v>
      </c>
      <c r="L319" s="5">
        <f ca="1">K319-(ROUNDDOWN((($G$1-C319)/365),1))</f>
        <v>62.8</v>
      </c>
    </row>
    <row r="320" spans="1:12" x14ac:dyDescent="0.25">
      <c r="A320" s="2">
        <f ca="1">RANK(L320,$L$6:$L$475,0)</f>
        <v>314</v>
      </c>
      <c r="B320" s="29" t="s">
        <v>220</v>
      </c>
      <c r="C320" s="18">
        <v>44738</v>
      </c>
      <c r="D320" s="1" t="s">
        <v>69</v>
      </c>
      <c r="E320" s="1" t="s">
        <v>22</v>
      </c>
      <c r="F320" s="1">
        <v>27</v>
      </c>
      <c r="G320" s="1">
        <v>16</v>
      </c>
      <c r="H320" s="1">
        <v>6</v>
      </c>
      <c r="I320" s="1">
        <v>11</v>
      </c>
      <c r="J320" s="1">
        <v>7</v>
      </c>
      <c r="K320" s="1">
        <v>67</v>
      </c>
      <c r="L320" s="5">
        <f ca="1">K320-(ROUNDDOWN((($G$1-C320)/365),1))</f>
        <v>62.8</v>
      </c>
    </row>
    <row r="321" spans="1:12" x14ac:dyDescent="0.25">
      <c r="A321" s="2">
        <f ca="1">RANK(L321,$L$6:$L$475,0)</f>
        <v>316</v>
      </c>
      <c r="B321" s="29" t="s">
        <v>288</v>
      </c>
      <c r="C321" s="18">
        <v>45088</v>
      </c>
      <c r="D321" s="1" t="s">
        <v>74</v>
      </c>
      <c r="E321" s="1" t="s">
        <v>40</v>
      </c>
      <c r="F321" s="1">
        <v>27</v>
      </c>
      <c r="G321" s="1">
        <v>16</v>
      </c>
      <c r="H321" s="1">
        <v>5</v>
      </c>
      <c r="I321" s="1">
        <v>13</v>
      </c>
      <c r="J321" s="1">
        <v>5</v>
      </c>
      <c r="K321" s="1">
        <v>66</v>
      </c>
      <c r="L321" s="5">
        <f ca="1">K321-(ROUNDDOWN((($G$1-C321)/365),1))</f>
        <v>62.7</v>
      </c>
    </row>
    <row r="322" spans="1:12" x14ac:dyDescent="0.25">
      <c r="A322" s="2">
        <f ca="1">RANK(L322,$L$6:$L$475,0)</f>
        <v>316</v>
      </c>
      <c r="B322" s="1" t="s">
        <v>287</v>
      </c>
      <c r="C322" s="18">
        <v>45081</v>
      </c>
      <c r="D322" s="1" t="s">
        <v>236</v>
      </c>
      <c r="E322" s="1" t="s">
        <v>33</v>
      </c>
      <c r="F322" s="1">
        <v>26</v>
      </c>
      <c r="G322" s="1">
        <v>16</v>
      </c>
      <c r="H322" s="1">
        <v>6</v>
      </c>
      <c r="I322" s="1">
        <v>12</v>
      </c>
      <c r="J322" s="1">
        <v>6</v>
      </c>
      <c r="K322" s="1">
        <v>66</v>
      </c>
      <c r="L322" s="5">
        <f ca="1">K322-(ROUNDDOWN((($G$1-C322)/365),1))</f>
        <v>62.7</v>
      </c>
    </row>
    <row r="323" spans="1:12" x14ac:dyDescent="0.25">
      <c r="A323" s="2">
        <f ca="1">RANK(L323,$L$6:$L$475,0)</f>
        <v>318</v>
      </c>
      <c r="B323" s="1" t="s">
        <v>423</v>
      </c>
      <c r="C323" s="18">
        <v>45753</v>
      </c>
      <c r="D323" s="1" t="s">
        <v>66</v>
      </c>
      <c r="E323" s="1" t="s">
        <v>40</v>
      </c>
      <c r="F323" s="1">
        <v>25</v>
      </c>
      <c r="G323" s="1">
        <v>21</v>
      </c>
      <c r="H323" s="1">
        <v>4</v>
      </c>
      <c r="I323" s="1">
        <v>10</v>
      </c>
      <c r="J323" s="1">
        <v>4</v>
      </c>
      <c r="K323" s="1">
        <v>64</v>
      </c>
      <c r="L323" s="5">
        <f ca="1">K323-(ROUNDDOWN((($G$1-C323)/365),1))</f>
        <v>62.6</v>
      </c>
    </row>
    <row r="324" spans="1:12" x14ac:dyDescent="0.25">
      <c r="A324" s="2">
        <f ca="1">RANK(L324,$L$6:$L$475,0)</f>
        <v>319</v>
      </c>
      <c r="B324" s="1" t="s">
        <v>498</v>
      </c>
      <c r="C324" s="18">
        <v>46103</v>
      </c>
      <c r="D324" s="1" t="s">
        <v>74</v>
      </c>
      <c r="E324" s="1" t="s">
        <v>20</v>
      </c>
      <c r="F324" s="1">
        <v>25</v>
      </c>
      <c r="G324" s="1">
        <v>22</v>
      </c>
      <c r="H324" s="1">
        <v>4</v>
      </c>
      <c r="I324" s="1">
        <v>8</v>
      </c>
      <c r="J324" s="1">
        <v>4</v>
      </c>
      <c r="K324" s="1">
        <v>63</v>
      </c>
      <c r="L324" s="5">
        <f ca="1">K324-(ROUNDDOWN((($G$1-C324)/365),1))</f>
        <v>62.5</v>
      </c>
    </row>
    <row r="325" spans="1:12" x14ac:dyDescent="0.25">
      <c r="A325" s="2">
        <f ca="1">RANK(L325,$L$6:$L$475,0)</f>
        <v>319</v>
      </c>
      <c r="B325" s="1" t="s">
        <v>499</v>
      </c>
      <c r="C325" s="18">
        <v>46103</v>
      </c>
      <c r="D325" s="1" t="s">
        <v>74</v>
      </c>
      <c r="E325" s="1" t="s">
        <v>33</v>
      </c>
      <c r="F325" s="1">
        <v>26</v>
      </c>
      <c r="G325" s="1">
        <v>18</v>
      </c>
      <c r="H325" s="1">
        <v>5</v>
      </c>
      <c r="I325" s="1">
        <v>10</v>
      </c>
      <c r="J325" s="1">
        <v>4</v>
      </c>
      <c r="K325" s="1">
        <v>63</v>
      </c>
      <c r="L325" s="5">
        <f ca="1">K325-(ROUNDDOWN((($G$1-C325)/365),1))</f>
        <v>62.5</v>
      </c>
    </row>
    <row r="326" spans="1:12" x14ac:dyDescent="0.25">
      <c r="A326" s="2">
        <f ca="1">RANK(L326,$L$6:$L$475,0)</f>
        <v>321</v>
      </c>
      <c r="B326" s="1" t="s">
        <v>96</v>
      </c>
      <c r="C326" s="18">
        <v>44250</v>
      </c>
      <c r="D326" s="1" t="s">
        <v>266</v>
      </c>
      <c r="E326" s="1" t="s">
        <v>22</v>
      </c>
      <c r="F326" s="1">
        <v>29</v>
      </c>
      <c r="G326" s="1">
        <v>15</v>
      </c>
      <c r="H326" s="1">
        <v>6</v>
      </c>
      <c r="I326" s="1">
        <v>13</v>
      </c>
      <c r="J326" s="1">
        <v>5</v>
      </c>
      <c r="K326" s="1">
        <v>68</v>
      </c>
      <c r="L326" s="5">
        <f ca="1">K326-(ROUNDDOWN((($G$1-C326)/365),1))</f>
        <v>62.4</v>
      </c>
    </row>
    <row r="327" spans="1:12" x14ac:dyDescent="0.25">
      <c r="A327" s="2">
        <f ca="1">RANK(L327,$L$6:$L$475,0)</f>
        <v>321</v>
      </c>
      <c r="B327" s="29" t="s">
        <v>105</v>
      </c>
      <c r="C327" s="18">
        <v>43874</v>
      </c>
      <c r="D327" s="1" t="s">
        <v>69</v>
      </c>
      <c r="E327" s="1" t="s">
        <v>22</v>
      </c>
      <c r="F327" s="1">
        <v>28</v>
      </c>
      <c r="G327" s="1">
        <v>15</v>
      </c>
      <c r="H327" s="1">
        <v>6</v>
      </c>
      <c r="I327" s="1">
        <v>14</v>
      </c>
      <c r="J327" s="1">
        <v>6</v>
      </c>
      <c r="K327" s="1">
        <v>69</v>
      </c>
      <c r="L327" s="5">
        <f ca="1">K327-(ROUNDDOWN((($G$1-C327)/365),1))</f>
        <v>62.4</v>
      </c>
    </row>
    <row r="328" spans="1:12" x14ac:dyDescent="0.25">
      <c r="A328" s="2">
        <f ca="1">RANK(L328,$L$6:$L$475,0)</f>
        <v>323</v>
      </c>
      <c r="B328" s="1" t="s">
        <v>382</v>
      </c>
      <c r="C328" s="18">
        <v>45648</v>
      </c>
      <c r="D328" s="1" t="s">
        <v>307</v>
      </c>
      <c r="E328" s="1" t="s">
        <v>40</v>
      </c>
      <c r="F328" s="1">
        <v>27</v>
      </c>
      <c r="G328" s="1">
        <v>16</v>
      </c>
      <c r="H328" s="1">
        <v>5</v>
      </c>
      <c r="I328" s="1">
        <v>12</v>
      </c>
      <c r="J328" s="1">
        <v>4</v>
      </c>
      <c r="K328" s="1">
        <v>64</v>
      </c>
      <c r="L328" s="5">
        <f ca="1">K328-(ROUNDDOWN((($G$1-C328)/365),1))</f>
        <v>62.3</v>
      </c>
    </row>
    <row r="329" spans="1:12" x14ac:dyDescent="0.25">
      <c r="A329" s="2">
        <f ca="1">RANK(L329,$L$6:$L$475,0)</f>
        <v>324</v>
      </c>
      <c r="B329" s="1" t="s">
        <v>174</v>
      </c>
      <c r="C329" s="18">
        <v>44507</v>
      </c>
      <c r="D329" s="1" t="s">
        <v>71</v>
      </c>
      <c r="E329" s="1" t="s">
        <v>22</v>
      </c>
      <c r="F329" s="1">
        <v>27</v>
      </c>
      <c r="G329" s="1">
        <v>16</v>
      </c>
      <c r="H329" s="1">
        <v>5</v>
      </c>
      <c r="I329" s="1">
        <v>14</v>
      </c>
      <c r="J329" s="1">
        <v>5</v>
      </c>
      <c r="K329" s="1">
        <v>67</v>
      </c>
      <c r="L329" s="5">
        <f ca="1">K329-(ROUNDDOWN((($G$1-C329)/365),1))</f>
        <v>62.1</v>
      </c>
    </row>
    <row r="330" spans="1:12" x14ac:dyDescent="0.25">
      <c r="A330" s="2">
        <f ca="1">RANK(L330,$L$6:$L$475,0)</f>
        <v>324</v>
      </c>
      <c r="B330" s="1" t="s">
        <v>175</v>
      </c>
      <c r="C330" s="18">
        <v>44507</v>
      </c>
      <c r="D330" s="1" t="s">
        <v>71</v>
      </c>
      <c r="E330" s="1" t="s">
        <v>22</v>
      </c>
      <c r="F330" s="1">
        <v>24</v>
      </c>
      <c r="G330" s="1">
        <v>15</v>
      </c>
      <c r="H330" s="1">
        <v>5</v>
      </c>
      <c r="I330" s="1">
        <v>15</v>
      </c>
      <c r="J330" s="1">
        <v>8</v>
      </c>
      <c r="K330" s="1">
        <v>67</v>
      </c>
      <c r="L330" s="5">
        <f ca="1">K330-(ROUNDDOWN((($G$1-C330)/365),1))</f>
        <v>62.1</v>
      </c>
    </row>
    <row r="331" spans="1:12" x14ac:dyDescent="0.25">
      <c r="A331" s="2">
        <f ca="1">RANK(L331,$L$6:$L$475,0)</f>
        <v>326</v>
      </c>
      <c r="B331" s="1" t="s">
        <v>55</v>
      </c>
      <c r="C331" s="18">
        <v>44451</v>
      </c>
      <c r="D331" s="1" t="s">
        <v>74</v>
      </c>
      <c r="E331" s="1" t="s">
        <v>22</v>
      </c>
      <c r="F331" s="1">
        <v>27</v>
      </c>
      <c r="G331" s="1">
        <v>14</v>
      </c>
      <c r="H331" s="1">
        <v>7</v>
      </c>
      <c r="I331" s="1">
        <v>13</v>
      </c>
      <c r="J331" s="1">
        <v>6</v>
      </c>
      <c r="K331" s="1">
        <v>67</v>
      </c>
      <c r="L331" s="5">
        <f ca="1">K331-(ROUNDDOWN((($G$1-C331)/365),1))</f>
        <v>62</v>
      </c>
    </row>
    <row r="332" spans="1:12" x14ac:dyDescent="0.25">
      <c r="A332" s="2">
        <f ca="1">RANK(L332,$L$6:$L$475,0)</f>
        <v>327</v>
      </c>
      <c r="B332" s="1" t="s">
        <v>451</v>
      </c>
      <c r="C332" s="18">
        <v>45872</v>
      </c>
      <c r="D332" s="1" t="s">
        <v>73</v>
      </c>
      <c r="E332" s="1" t="s">
        <v>22</v>
      </c>
      <c r="F332" s="1">
        <v>28</v>
      </c>
      <c r="G332" s="1">
        <v>18</v>
      </c>
      <c r="H332" s="1">
        <v>5</v>
      </c>
      <c r="I332" s="1">
        <v>9</v>
      </c>
      <c r="J332" s="1">
        <v>3</v>
      </c>
      <c r="K332" s="1">
        <v>63</v>
      </c>
      <c r="L332" s="5">
        <f ca="1">K332-(ROUNDDOWN((($G$1-C332)/365),1))</f>
        <v>61.9</v>
      </c>
    </row>
    <row r="333" spans="1:12" x14ac:dyDescent="0.25">
      <c r="A333" s="2">
        <f ca="1">RANK(L333,$L$6:$L$475,0)</f>
        <v>327</v>
      </c>
      <c r="B333" s="1" t="s">
        <v>18</v>
      </c>
      <c r="C333" s="18">
        <v>44409</v>
      </c>
      <c r="D333" s="1" t="s">
        <v>69</v>
      </c>
      <c r="E333" s="1" t="s">
        <v>17</v>
      </c>
      <c r="F333" s="1">
        <v>27</v>
      </c>
      <c r="G333" s="1">
        <v>16</v>
      </c>
      <c r="H333" s="1">
        <v>7</v>
      </c>
      <c r="I333" s="1">
        <v>12</v>
      </c>
      <c r="J333" s="1">
        <v>5</v>
      </c>
      <c r="K333" s="1">
        <v>67</v>
      </c>
      <c r="L333" s="5">
        <f ca="1">K333-(ROUNDDOWN((($G$1-C333)/365),1))</f>
        <v>61.9</v>
      </c>
    </row>
    <row r="334" spans="1:12" x14ac:dyDescent="0.25">
      <c r="A334" s="2">
        <f ca="1">RANK(L334,$L$6:$L$475,0)</f>
        <v>329</v>
      </c>
      <c r="B334" s="1" t="s">
        <v>133</v>
      </c>
      <c r="C334" s="18">
        <v>44367</v>
      </c>
      <c r="D334" s="1" t="s">
        <v>74</v>
      </c>
      <c r="E334" s="1" t="s">
        <v>22</v>
      </c>
      <c r="F334" s="1">
        <v>27</v>
      </c>
      <c r="G334" s="1">
        <v>14</v>
      </c>
      <c r="H334" s="1">
        <v>7</v>
      </c>
      <c r="I334" s="1">
        <v>13</v>
      </c>
      <c r="J334" s="1">
        <v>6</v>
      </c>
      <c r="K334" s="1">
        <v>67</v>
      </c>
      <c r="L334" s="5">
        <f ca="1">K334-(ROUNDDOWN((($G$1-C334)/365),1))</f>
        <v>61.8</v>
      </c>
    </row>
    <row r="335" spans="1:12" x14ac:dyDescent="0.25">
      <c r="A335" s="2">
        <f ca="1">RANK(L335,$L$6:$L$475,0)</f>
        <v>329</v>
      </c>
      <c r="B335" s="1" t="s">
        <v>219</v>
      </c>
      <c r="C335" s="18">
        <v>44731</v>
      </c>
      <c r="D335" s="1" t="s">
        <v>69</v>
      </c>
      <c r="E335" s="1" t="s">
        <v>17</v>
      </c>
      <c r="F335" s="1">
        <v>27</v>
      </c>
      <c r="G335" s="1">
        <v>16</v>
      </c>
      <c r="H335" s="1">
        <v>5</v>
      </c>
      <c r="I335" s="1">
        <v>13</v>
      </c>
      <c r="J335" s="1">
        <v>5</v>
      </c>
      <c r="K335" s="1">
        <v>66</v>
      </c>
      <c r="L335" s="5">
        <f ca="1">K335-(ROUNDDOWN((($G$1-C335)/365),1))</f>
        <v>61.8</v>
      </c>
    </row>
    <row r="336" spans="1:12" x14ac:dyDescent="0.25">
      <c r="A336" s="2">
        <f ca="1">RANK(L336,$L$6:$L$475,0)</f>
        <v>331</v>
      </c>
      <c r="B336" s="19" t="s">
        <v>142</v>
      </c>
      <c r="C336" s="20">
        <v>44353</v>
      </c>
      <c r="D336" s="1" t="s">
        <v>72</v>
      </c>
      <c r="E336" s="1" t="s">
        <v>17</v>
      </c>
      <c r="F336" s="1">
        <v>26</v>
      </c>
      <c r="G336" s="1">
        <v>18</v>
      </c>
      <c r="H336" s="1">
        <v>5</v>
      </c>
      <c r="I336" s="1">
        <v>13</v>
      </c>
      <c r="J336" s="1">
        <v>5</v>
      </c>
      <c r="K336" s="1">
        <v>67</v>
      </c>
      <c r="L336" s="5">
        <f ca="1">K336-(ROUNDDOWN((($G$1-C336)/365),1))</f>
        <v>61.7</v>
      </c>
    </row>
    <row r="337" spans="1:12" x14ac:dyDescent="0.25">
      <c r="A337" s="2">
        <f ca="1">RANK(L337,$L$6:$L$475,0)</f>
        <v>331</v>
      </c>
      <c r="B337" s="1" t="s">
        <v>212</v>
      </c>
      <c r="C337" s="18">
        <v>44703</v>
      </c>
      <c r="D337" s="1" t="s">
        <v>69</v>
      </c>
      <c r="E337" s="1" t="s">
        <v>17</v>
      </c>
      <c r="F337" s="1">
        <v>25</v>
      </c>
      <c r="G337" s="1">
        <v>19</v>
      </c>
      <c r="H337" s="1">
        <v>4</v>
      </c>
      <c r="I337" s="1">
        <v>13</v>
      </c>
      <c r="J337" s="1">
        <v>5</v>
      </c>
      <c r="K337" s="1">
        <v>66</v>
      </c>
      <c r="L337" s="5">
        <f ca="1">K337-(ROUNDDOWN((($G$1-C337)/365),1))</f>
        <v>61.7</v>
      </c>
    </row>
    <row r="338" spans="1:12" x14ac:dyDescent="0.25">
      <c r="A338" s="2">
        <f ca="1">RANK(L338,$L$6:$L$475,0)</f>
        <v>333</v>
      </c>
      <c r="B338" s="1" t="s">
        <v>340</v>
      </c>
      <c r="C338" s="18">
        <v>45389</v>
      </c>
      <c r="D338" s="1" t="s">
        <v>69</v>
      </c>
      <c r="E338" s="1" t="s">
        <v>22</v>
      </c>
      <c r="F338" s="1">
        <v>26</v>
      </c>
      <c r="G338" s="1">
        <v>20</v>
      </c>
      <c r="H338" s="1">
        <v>5</v>
      </c>
      <c r="I338" s="1">
        <v>9</v>
      </c>
      <c r="J338" s="1">
        <v>4</v>
      </c>
      <c r="K338" s="1">
        <v>64</v>
      </c>
      <c r="L338" s="5">
        <f ca="1">K338-(ROUNDDOWN((($G$1-C338)/365),1))</f>
        <v>61.6</v>
      </c>
    </row>
    <row r="339" spans="1:12" x14ac:dyDescent="0.25">
      <c r="A339" s="2">
        <f ca="1">RANK(L339,$L$6:$L$475,0)</f>
        <v>333</v>
      </c>
      <c r="B339" s="1" t="s">
        <v>341</v>
      </c>
      <c r="C339" s="18">
        <v>45389</v>
      </c>
      <c r="D339" s="1" t="s">
        <v>149</v>
      </c>
      <c r="E339" s="1" t="s">
        <v>17</v>
      </c>
      <c r="F339" s="1">
        <v>27</v>
      </c>
      <c r="G339" s="1">
        <v>14</v>
      </c>
      <c r="H339" s="1">
        <v>5</v>
      </c>
      <c r="I339" s="1">
        <v>12</v>
      </c>
      <c r="J339" s="1">
        <v>6</v>
      </c>
      <c r="K339" s="1">
        <v>64</v>
      </c>
      <c r="L339" s="5">
        <f ca="1">K339-(ROUNDDOWN((($G$1-C339)/365),1))</f>
        <v>61.6</v>
      </c>
    </row>
    <row r="340" spans="1:12" x14ac:dyDescent="0.25">
      <c r="A340" s="2">
        <f ca="1">RANK(L340,$L$6:$L$475,0)</f>
        <v>335</v>
      </c>
      <c r="B340" s="1" t="s">
        <v>59</v>
      </c>
      <c r="C340" s="18">
        <v>45011</v>
      </c>
      <c r="D340" s="1" t="s">
        <v>68</v>
      </c>
      <c r="E340" s="1" t="s">
        <v>40</v>
      </c>
      <c r="F340" s="1">
        <v>27</v>
      </c>
      <c r="G340" s="1">
        <v>15</v>
      </c>
      <c r="H340" s="1">
        <v>7</v>
      </c>
      <c r="I340" s="1">
        <v>10</v>
      </c>
      <c r="J340" s="1">
        <v>6</v>
      </c>
      <c r="K340" s="1">
        <v>65</v>
      </c>
      <c r="L340" s="5">
        <f ca="1">K340-(ROUNDDOWN((($G$1-C340)/365),1))</f>
        <v>61.5</v>
      </c>
    </row>
    <row r="341" spans="1:12" x14ac:dyDescent="0.25">
      <c r="A341" s="2">
        <f ca="1">RANK(L341,$L$6:$L$475,0)</f>
        <v>335</v>
      </c>
      <c r="B341" s="1" t="s">
        <v>58</v>
      </c>
      <c r="C341" s="18">
        <v>45011</v>
      </c>
      <c r="D341" s="1" t="s">
        <v>68</v>
      </c>
      <c r="E341" s="1" t="s">
        <v>22</v>
      </c>
      <c r="F341" s="1">
        <v>26</v>
      </c>
      <c r="G341" s="1">
        <v>15</v>
      </c>
      <c r="H341" s="1">
        <v>7</v>
      </c>
      <c r="I341" s="1">
        <v>10</v>
      </c>
      <c r="J341" s="1">
        <v>7</v>
      </c>
      <c r="K341" s="1">
        <v>65</v>
      </c>
      <c r="L341" s="5">
        <f ca="1">K341-(ROUNDDOWN((($G$1-C341)/365),1))</f>
        <v>61.5</v>
      </c>
    </row>
    <row r="342" spans="1:12" x14ac:dyDescent="0.25">
      <c r="A342" s="2">
        <f ca="1">RANK(L342,$L$6:$L$475,0)</f>
        <v>335</v>
      </c>
      <c r="B342" s="1" t="s">
        <v>202</v>
      </c>
      <c r="C342" s="18">
        <v>44640</v>
      </c>
      <c r="D342" s="1" t="s">
        <v>71</v>
      </c>
      <c r="E342" s="1" t="s">
        <v>17</v>
      </c>
      <c r="F342" s="1">
        <v>23</v>
      </c>
      <c r="G342" s="1">
        <v>19</v>
      </c>
      <c r="H342" s="1">
        <v>4</v>
      </c>
      <c r="I342" s="1">
        <v>15</v>
      </c>
      <c r="J342" s="1">
        <v>5</v>
      </c>
      <c r="K342" s="1">
        <v>66</v>
      </c>
      <c r="L342" s="5">
        <f ca="1">K342-(ROUNDDOWN((($G$1-C342)/365),1))</f>
        <v>61.5</v>
      </c>
    </row>
    <row r="343" spans="1:12" x14ac:dyDescent="0.25">
      <c r="A343" s="2">
        <f ca="1">RANK(L343,$L$6:$L$475,0)</f>
        <v>338</v>
      </c>
      <c r="B343" s="1" t="s">
        <v>334</v>
      </c>
      <c r="C343" s="18">
        <v>45347</v>
      </c>
      <c r="D343" s="1" t="s">
        <v>73</v>
      </c>
      <c r="E343" s="1" t="s">
        <v>40</v>
      </c>
      <c r="F343" s="1">
        <v>24</v>
      </c>
      <c r="G343" s="1">
        <v>18</v>
      </c>
      <c r="H343" s="1">
        <v>5</v>
      </c>
      <c r="I343" s="1">
        <v>12</v>
      </c>
      <c r="J343" s="1">
        <v>5</v>
      </c>
      <c r="K343" s="1">
        <v>64</v>
      </c>
      <c r="L343" s="5">
        <f ca="1">K343-(ROUNDDOWN((($G$1-C343)/365),1))</f>
        <v>61.4</v>
      </c>
    </row>
    <row r="344" spans="1:12" x14ac:dyDescent="0.25">
      <c r="A344" s="2">
        <f ca="1">RANK(L344,$L$6:$L$475,0)</f>
        <v>339</v>
      </c>
      <c r="B344" s="1" t="s">
        <v>402</v>
      </c>
      <c r="C344" s="18">
        <v>45662</v>
      </c>
      <c r="D344" s="1" t="s">
        <v>74</v>
      </c>
      <c r="E344" s="1" t="s">
        <v>33</v>
      </c>
      <c r="F344" s="1">
        <v>26</v>
      </c>
      <c r="G344" s="1">
        <v>18</v>
      </c>
      <c r="H344" s="1">
        <v>5</v>
      </c>
      <c r="I344" s="1">
        <v>9</v>
      </c>
      <c r="J344" s="1">
        <v>5</v>
      </c>
      <c r="K344" s="1">
        <v>63</v>
      </c>
      <c r="L344" s="5">
        <f ca="1">K344-(ROUNDDOWN((($G$1-C344)/365),1))</f>
        <v>61.3</v>
      </c>
    </row>
    <row r="345" spans="1:12" x14ac:dyDescent="0.25">
      <c r="A345" s="2">
        <f ca="1">RANK(L345,$L$6:$L$475,0)</f>
        <v>339</v>
      </c>
      <c r="B345" s="1" t="s">
        <v>396</v>
      </c>
      <c r="C345" s="18">
        <v>45648</v>
      </c>
      <c r="D345" s="1" t="s">
        <v>68</v>
      </c>
      <c r="E345" s="1" t="s">
        <v>22</v>
      </c>
      <c r="F345" s="1">
        <v>27</v>
      </c>
      <c r="G345" s="1">
        <v>17</v>
      </c>
      <c r="H345" s="1">
        <v>5</v>
      </c>
      <c r="I345" s="1">
        <v>8</v>
      </c>
      <c r="J345" s="1">
        <v>6</v>
      </c>
      <c r="K345" s="1">
        <v>63</v>
      </c>
      <c r="L345" s="5">
        <f ca="1">K345-(ROUNDDOWN((($G$1-C345)/365),1))</f>
        <v>61.3</v>
      </c>
    </row>
    <row r="346" spans="1:12" x14ac:dyDescent="0.25">
      <c r="A346" s="2">
        <f ca="1">RANK(L346,$L$6:$L$475,0)</f>
        <v>341</v>
      </c>
      <c r="B346" s="1" t="s">
        <v>147</v>
      </c>
      <c r="C346" s="18">
        <v>44423</v>
      </c>
      <c r="D346" s="1" t="s">
        <v>72</v>
      </c>
      <c r="E346" s="1" t="s">
        <v>17</v>
      </c>
      <c r="F346" s="1">
        <v>28</v>
      </c>
      <c r="G346" s="1">
        <v>14</v>
      </c>
      <c r="H346" s="1">
        <v>7</v>
      </c>
      <c r="I346" s="1">
        <v>12</v>
      </c>
      <c r="J346" s="1">
        <v>5</v>
      </c>
      <c r="K346" s="1">
        <v>66</v>
      </c>
      <c r="L346" s="5">
        <f ca="1">K346-(ROUNDDOWN((($G$1-C346)/365),1))</f>
        <v>60.9</v>
      </c>
    </row>
    <row r="347" spans="1:12" x14ac:dyDescent="0.25">
      <c r="A347" s="2">
        <f ca="1">RANK(L347,$L$6:$L$475,0)</f>
        <v>342</v>
      </c>
      <c r="B347" s="29" t="s">
        <v>226</v>
      </c>
      <c r="C347" s="18">
        <v>44766</v>
      </c>
      <c r="D347" s="1" t="s">
        <v>71</v>
      </c>
      <c r="E347" s="1" t="s">
        <v>22</v>
      </c>
      <c r="F347" s="1">
        <v>29</v>
      </c>
      <c r="G347" s="1">
        <v>20</v>
      </c>
      <c r="H347" s="1">
        <v>6</v>
      </c>
      <c r="I347" s="1">
        <v>5</v>
      </c>
      <c r="J347" s="1">
        <v>5</v>
      </c>
      <c r="K347" s="1">
        <v>65</v>
      </c>
      <c r="L347" s="5">
        <f ca="1">K347-(ROUNDDOWN((($G$1-C347)/365),1))</f>
        <v>60.8</v>
      </c>
    </row>
    <row r="348" spans="1:12" x14ac:dyDescent="0.25">
      <c r="A348" s="2">
        <f ca="1">RANK(L348,$L$6:$L$475,0)</f>
        <v>342</v>
      </c>
      <c r="B348" s="1" t="s">
        <v>295</v>
      </c>
      <c r="C348" s="18">
        <v>45130</v>
      </c>
      <c r="D348" s="1" t="s">
        <v>69</v>
      </c>
      <c r="E348" s="1" t="s">
        <v>22</v>
      </c>
      <c r="F348" s="1">
        <v>25</v>
      </c>
      <c r="G348" s="1">
        <v>17</v>
      </c>
      <c r="H348" s="1">
        <v>5</v>
      </c>
      <c r="I348" s="1">
        <v>13</v>
      </c>
      <c r="J348" s="1">
        <v>4</v>
      </c>
      <c r="K348" s="1">
        <v>64</v>
      </c>
      <c r="L348" s="5">
        <f ca="1">K348-(ROUNDDOWN((($G$1-C348)/365),1))</f>
        <v>60.8</v>
      </c>
    </row>
    <row r="349" spans="1:12" x14ac:dyDescent="0.25">
      <c r="A349" s="2">
        <f ca="1">RANK(L349,$L$6:$L$475,0)</f>
        <v>342</v>
      </c>
      <c r="B349" s="29" t="s">
        <v>515</v>
      </c>
      <c r="C349" s="18">
        <v>46194</v>
      </c>
      <c r="D349" s="1" t="s">
        <v>71</v>
      </c>
      <c r="E349" s="1" t="s">
        <v>20</v>
      </c>
      <c r="F349" s="1">
        <v>26</v>
      </c>
      <c r="G349" s="1">
        <v>20</v>
      </c>
      <c r="H349" s="1">
        <v>4</v>
      </c>
      <c r="I349" s="1">
        <v>9</v>
      </c>
      <c r="J349" s="1">
        <v>2</v>
      </c>
      <c r="K349" s="1">
        <v>61</v>
      </c>
      <c r="L349" s="5">
        <f ca="1">K349-(ROUNDDOWN((($G$1-C349)/365),1))</f>
        <v>60.8</v>
      </c>
    </row>
    <row r="350" spans="1:12" x14ac:dyDescent="0.25">
      <c r="A350" s="2">
        <f ca="1">RANK(L350,$L$6:$L$475,0)</f>
        <v>345</v>
      </c>
      <c r="B350" s="1" t="s">
        <v>286</v>
      </c>
      <c r="C350" s="18">
        <v>45081</v>
      </c>
      <c r="D350" s="1" t="s">
        <v>71</v>
      </c>
      <c r="E350" s="1" t="s">
        <v>22</v>
      </c>
      <c r="F350" s="1">
        <v>26</v>
      </c>
      <c r="G350" s="1">
        <v>18</v>
      </c>
      <c r="H350" s="1">
        <v>4</v>
      </c>
      <c r="I350" s="1">
        <v>11</v>
      </c>
      <c r="J350" s="1">
        <v>5</v>
      </c>
      <c r="K350" s="1">
        <v>64</v>
      </c>
      <c r="L350" s="5">
        <f ca="1">K350-(ROUNDDOWN((($G$1-C350)/365),1))</f>
        <v>60.7</v>
      </c>
    </row>
    <row r="351" spans="1:12" x14ac:dyDescent="0.25">
      <c r="A351" s="2">
        <f ca="1">RANK(L351,$L$6:$L$475,0)</f>
        <v>345</v>
      </c>
      <c r="B351" s="1" t="s">
        <v>282</v>
      </c>
      <c r="C351" s="18">
        <v>45067</v>
      </c>
      <c r="D351" s="1" t="s">
        <v>69</v>
      </c>
      <c r="E351" s="1" t="s">
        <v>22</v>
      </c>
      <c r="F351" s="1">
        <v>25</v>
      </c>
      <c r="G351" s="1">
        <v>17</v>
      </c>
      <c r="H351" s="1">
        <v>4</v>
      </c>
      <c r="I351" s="1">
        <v>12</v>
      </c>
      <c r="J351" s="1">
        <v>6</v>
      </c>
      <c r="K351" s="1">
        <v>64</v>
      </c>
      <c r="L351" s="5">
        <f ca="1">K351-(ROUNDDOWN((($G$1-C351)/365),1))</f>
        <v>60.7</v>
      </c>
    </row>
    <row r="352" spans="1:12" x14ac:dyDescent="0.25">
      <c r="A352" s="2">
        <f ca="1">RANK(L352,$L$6:$L$475,0)</f>
        <v>347</v>
      </c>
      <c r="B352" s="1" t="s">
        <v>122</v>
      </c>
      <c r="C352" s="18">
        <v>44325</v>
      </c>
      <c r="D352" s="1" t="s">
        <v>68</v>
      </c>
      <c r="E352" s="1" t="s">
        <v>22</v>
      </c>
      <c r="F352" s="1">
        <v>25</v>
      </c>
      <c r="G352" s="1">
        <v>16</v>
      </c>
      <c r="H352" s="1">
        <v>5</v>
      </c>
      <c r="I352" s="1">
        <v>14</v>
      </c>
      <c r="J352" s="1">
        <v>6</v>
      </c>
      <c r="K352" s="1">
        <v>66</v>
      </c>
      <c r="L352" s="5">
        <f ca="1">K352-(ROUNDDOWN((($G$1-C352)/365),1))</f>
        <v>60.6</v>
      </c>
    </row>
    <row r="353" spans="1:12" x14ac:dyDescent="0.25">
      <c r="A353" s="2">
        <f ca="1">RANK(L353,$L$6:$L$475,0)</f>
        <v>347</v>
      </c>
      <c r="B353" s="1" t="s">
        <v>421</v>
      </c>
      <c r="C353" s="18">
        <v>45753</v>
      </c>
      <c r="D353" s="1" t="s">
        <v>72</v>
      </c>
      <c r="E353" s="1" t="s">
        <v>22</v>
      </c>
      <c r="F353" s="1">
        <v>27</v>
      </c>
      <c r="G353" s="1">
        <v>15</v>
      </c>
      <c r="H353" s="1">
        <v>6</v>
      </c>
      <c r="I353" s="1">
        <v>10</v>
      </c>
      <c r="J353" s="1">
        <v>4</v>
      </c>
      <c r="K353" s="1">
        <v>62</v>
      </c>
      <c r="L353" s="5">
        <f ca="1">K353-(ROUNDDOWN((($G$1-C353)/365),1))</f>
        <v>60.6</v>
      </c>
    </row>
    <row r="354" spans="1:12" x14ac:dyDescent="0.25">
      <c r="A354" s="2">
        <f ca="1">RANK(L354,$L$6:$L$475,0)</f>
        <v>349</v>
      </c>
      <c r="B354" s="1" t="s">
        <v>268</v>
      </c>
      <c r="C354" s="18">
        <v>44962</v>
      </c>
      <c r="D354" s="1" t="s">
        <v>266</v>
      </c>
      <c r="E354" s="1" t="s">
        <v>22</v>
      </c>
      <c r="F354" s="1">
        <v>27</v>
      </c>
      <c r="G354" s="1">
        <v>16</v>
      </c>
      <c r="H354" s="1">
        <v>5</v>
      </c>
      <c r="I354" s="1">
        <v>11</v>
      </c>
      <c r="J354" s="1">
        <v>5</v>
      </c>
      <c r="K354" s="1">
        <v>64</v>
      </c>
      <c r="L354" s="5">
        <f ca="1">K354-(ROUNDDOWN((($G$1-C354)/365),1))</f>
        <v>60.4</v>
      </c>
    </row>
    <row r="355" spans="1:12" x14ac:dyDescent="0.25">
      <c r="A355" s="2">
        <f ca="1">RANK(L355,$L$6:$L$475,0)</f>
        <v>349</v>
      </c>
      <c r="B355" s="1" t="s">
        <v>409</v>
      </c>
      <c r="C355" s="18">
        <v>45690</v>
      </c>
      <c r="D355" s="1" t="s">
        <v>149</v>
      </c>
      <c r="E355" s="1" t="s">
        <v>22</v>
      </c>
      <c r="F355" s="1">
        <v>26</v>
      </c>
      <c r="G355" s="1">
        <v>15</v>
      </c>
      <c r="H355" s="1">
        <v>5</v>
      </c>
      <c r="I355" s="1">
        <v>10</v>
      </c>
      <c r="J355" s="1">
        <v>6</v>
      </c>
      <c r="K355" s="1">
        <v>62</v>
      </c>
      <c r="L355" s="5">
        <f ca="1">K355-(ROUNDDOWN((($G$1-C355)/365),1))</f>
        <v>60.4</v>
      </c>
    </row>
    <row r="356" spans="1:12" x14ac:dyDescent="0.25">
      <c r="A356" s="2">
        <f ca="1">RANK(L356,$L$6:$L$475,0)</f>
        <v>351</v>
      </c>
      <c r="B356" s="1" t="s">
        <v>83</v>
      </c>
      <c r="C356" s="18">
        <v>44577</v>
      </c>
      <c r="D356" s="1" t="s">
        <v>68</v>
      </c>
      <c r="E356" s="1" t="s">
        <v>17</v>
      </c>
      <c r="F356" s="1">
        <v>24</v>
      </c>
      <c r="G356" s="1">
        <v>14</v>
      </c>
      <c r="H356" s="1">
        <v>6</v>
      </c>
      <c r="I356" s="1">
        <v>14</v>
      </c>
      <c r="J356" s="1">
        <v>7</v>
      </c>
      <c r="K356" s="1">
        <v>65</v>
      </c>
      <c r="L356" s="5">
        <f ca="1">K356-(ROUNDDOWN((($G$1-C356)/365),1))</f>
        <v>60.3</v>
      </c>
    </row>
    <row r="357" spans="1:12" x14ac:dyDescent="0.25">
      <c r="A357" s="2">
        <f ca="1">RANK(L357,$L$6:$L$475,0)</f>
        <v>352</v>
      </c>
      <c r="B357" s="1" t="s">
        <v>393</v>
      </c>
      <c r="C357" s="18">
        <v>45641</v>
      </c>
      <c r="D357" s="1" t="s">
        <v>236</v>
      </c>
      <c r="E357" s="1" t="s">
        <v>17</v>
      </c>
      <c r="F357" s="1">
        <v>26</v>
      </c>
      <c r="G357" s="1">
        <v>16</v>
      </c>
      <c r="H357" s="1">
        <v>5</v>
      </c>
      <c r="I357" s="1">
        <v>12</v>
      </c>
      <c r="J357" s="1">
        <v>3</v>
      </c>
      <c r="K357" s="1">
        <v>62</v>
      </c>
      <c r="L357" s="5">
        <f ca="1">K357-(ROUNDDOWN((($G$1-C357)/365),1))</f>
        <v>60.2</v>
      </c>
    </row>
    <row r="358" spans="1:12" x14ac:dyDescent="0.25">
      <c r="A358" s="2">
        <f ca="1">RANK(L358,$L$6:$L$475,0)</f>
        <v>352</v>
      </c>
      <c r="B358" s="1" t="s">
        <v>315</v>
      </c>
      <c r="C358" s="18">
        <v>45249</v>
      </c>
      <c r="D358" s="1" t="s">
        <v>308</v>
      </c>
      <c r="E358" s="1" t="s">
        <v>40</v>
      </c>
      <c r="F358" s="1">
        <v>23</v>
      </c>
      <c r="G358" s="1">
        <v>23</v>
      </c>
      <c r="H358" s="1">
        <v>3</v>
      </c>
      <c r="I358" s="1">
        <v>9</v>
      </c>
      <c r="J358" s="1">
        <v>5</v>
      </c>
      <c r="K358" s="1">
        <v>63</v>
      </c>
      <c r="L358" s="5">
        <f ca="1">K358-(ROUNDDOWN((($G$1-C358)/365),1))</f>
        <v>60.2</v>
      </c>
    </row>
    <row r="359" spans="1:12" x14ac:dyDescent="0.25">
      <c r="A359" s="2">
        <f ca="1">RANK(L359,$L$6:$L$475,0)</f>
        <v>352</v>
      </c>
      <c r="B359" s="1" t="s">
        <v>388</v>
      </c>
      <c r="C359" s="18">
        <v>45613</v>
      </c>
      <c r="D359" s="1" t="s">
        <v>66</v>
      </c>
      <c r="E359" s="1" t="s">
        <v>20</v>
      </c>
      <c r="F359" s="1">
        <v>26</v>
      </c>
      <c r="G359" s="1">
        <v>17</v>
      </c>
      <c r="H359" s="1">
        <v>6</v>
      </c>
      <c r="I359" s="1">
        <v>9</v>
      </c>
      <c r="J359" s="1">
        <v>4</v>
      </c>
      <c r="K359" s="1">
        <v>62</v>
      </c>
      <c r="L359" s="5">
        <f ca="1">K359-(ROUNDDOWN((($G$1-C359)/365),1))</f>
        <v>60.2</v>
      </c>
    </row>
    <row r="360" spans="1:12" x14ac:dyDescent="0.25">
      <c r="A360" s="2">
        <f ca="1">RANK(L360,$L$6:$L$475,0)</f>
        <v>355</v>
      </c>
      <c r="B360" s="1" t="s">
        <v>251</v>
      </c>
      <c r="C360" s="18">
        <v>44871</v>
      </c>
      <c r="D360" s="1" t="s">
        <v>236</v>
      </c>
      <c r="E360" s="1" t="s">
        <v>17</v>
      </c>
      <c r="F360" s="1">
        <v>25</v>
      </c>
      <c r="G360" s="1">
        <v>16</v>
      </c>
      <c r="H360" s="1">
        <v>4</v>
      </c>
      <c r="I360" s="1">
        <v>14</v>
      </c>
      <c r="J360" s="1">
        <v>5</v>
      </c>
      <c r="K360" s="1">
        <v>64</v>
      </c>
      <c r="L360" s="5">
        <f ca="1">K360-(ROUNDDOWN((($G$1-C360)/365),1))</f>
        <v>60.1</v>
      </c>
    </row>
    <row r="361" spans="1:12" x14ac:dyDescent="0.25">
      <c r="A361" s="2">
        <f ca="1">RANK(L361,$L$6:$L$475,0)</f>
        <v>355</v>
      </c>
      <c r="B361" s="29" t="s">
        <v>293</v>
      </c>
      <c r="C361" s="18">
        <v>45220</v>
      </c>
      <c r="D361" s="1" t="s">
        <v>309</v>
      </c>
      <c r="E361" s="1" t="s">
        <v>40</v>
      </c>
      <c r="F361" s="1">
        <v>25</v>
      </c>
      <c r="G361" s="1">
        <v>16</v>
      </c>
      <c r="H361" s="1">
        <v>5</v>
      </c>
      <c r="I361" s="1">
        <v>12</v>
      </c>
      <c r="J361" s="1">
        <v>5</v>
      </c>
      <c r="K361" s="1">
        <v>63</v>
      </c>
      <c r="L361" s="5">
        <f ca="1">K361-(ROUNDDOWN((($G$1-C361)/365),1))</f>
        <v>60.1</v>
      </c>
    </row>
    <row r="362" spans="1:12" x14ac:dyDescent="0.25">
      <c r="A362" s="2">
        <f ca="1">RANK(L362,$L$6:$L$475,0)</f>
        <v>355</v>
      </c>
      <c r="B362" s="1" t="s">
        <v>208</v>
      </c>
      <c r="C362" s="18">
        <v>45220</v>
      </c>
      <c r="D362" s="1" t="s">
        <v>308</v>
      </c>
      <c r="E362" s="1" t="s">
        <v>22</v>
      </c>
      <c r="F362" s="1">
        <v>26</v>
      </c>
      <c r="G362" s="1">
        <v>17</v>
      </c>
      <c r="H362" s="1">
        <v>5</v>
      </c>
      <c r="I362" s="1">
        <v>10</v>
      </c>
      <c r="J362" s="1">
        <v>5</v>
      </c>
      <c r="K362" s="1">
        <v>63</v>
      </c>
      <c r="L362" s="5">
        <f ca="1">K362-(ROUNDDOWN((($G$1-C362)/365),1))</f>
        <v>60.1</v>
      </c>
    </row>
    <row r="363" spans="1:12" x14ac:dyDescent="0.25">
      <c r="A363" s="2">
        <f ca="1">RANK(L363,$L$6:$L$475,0)</f>
        <v>358</v>
      </c>
      <c r="B363" s="1" t="s">
        <v>355</v>
      </c>
      <c r="C363" s="18">
        <v>45172</v>
      </c>
      <c r="D363" s="1" t="s">
        <v>67</v>
      </c>
      <c r="E363" s="1" t="s">
        <v>40</v>
      </c>
      <c r="F363" s="1">
        <v>22</v>
      </c>
      <c r="G363" s="1">
        <v>17</v>
      </c>
      <c r="H363" s="1">
        <v>4</v>
      </c>
      <c r="I363" s="1">
        <v>15</v>
      </c>
      <c r="J363" s="1">
        <v>5</v>
      </c>
      <c r="K363" s="1">
        <v>63</v>
      </c>
      <c r="L363" s="5">
        <f ca="1">K363-(ROUNDDOWN((($G$1-C363)/365),1))</f>
        <v>60</v>
      </c>
    </row>
    <row r="364" spans="1:12" x14ac:dyDescent="0.25">
      <c r="A364" s="2">
        <f ca="1">RANK(L364,$L$6:$L$475,0)</f>
        <v>359</v>
      </c>
      <c r="B364" s="1" t="s">
        <v>30</v>
      </c>
      <c r="C364" s="18">
        <v>44423</v>
      </c>
      <c r="D364" s="1" t="s">
        <v>68</v>
      </c>
      <c r="E364" s="1" t="s">
        <v>20</v>
      </c>
      <c r="F364" s="1">
        <v>24</v>
      </c>
      <c r="G364" s="1">
        <v>17</v>
      </c>
      <c r="H364" s="1">
        <v>6</v>
      </c>
      <c r="I364" s="1">
        <v>13</v>
      </c>
      <c r="J364" s="1">
        <v>5</v>
      </c>
      <c r="K364" s="1">
        <v>65</v>
      </c>
      <c r="L364" s="5">
        <f ca="1">K364-(ROUNDDOWN((($G$1-C364)/365),1))</f>
        <v>59.9</v>
      </c>
    </row>
    <row r="365" spans="1:12" x14ac:dyDescent="0.25">
      <c r="A365" s="2">
        <f ca="1">RANK(L365,$L$6:$L$475,0)</f>
        <v>360</v>
      </c>
      <c r="B365" s="1" t="s">
        <v>216</v>
      </c>
      <c r="C365" s="18">
        <v>44717</v>
      </c>
      <c r="D365" s="1" t="s">
        <v>184</v>
      </c>
      <c r="E365" s="1" t="s">
        <v>17</v>
      </c>
      <c r="F365" s="1">
        <v>26</v>
      </c>
      <c r="G365" s="1">
        <v>15</v>
      </c>
      <c r="H365" s="1">
        <v>5</v>
      </c>
      <c r="I365" s="1">
        <v>12</v>
      </c>
      <c r="J365" s="1">
        <v>6</v>
      </c>
      <c r="K365" s="1">
        <v>64</v>
      </c>
      <c r="L365" s="5">
        <f ca="1">K365-(ROUNDDOWN((($G$1-C365)/365),1))</f>
        <v>59.7</v>
      </c>
    </row>
    <row r="366" spans="1:12" x14ac:dyDescent="0.25">
      <c r="A366" s="2">
        <f ca="1">RANK(L366,$L$6:$L$475,0)</f>
        <v>360</v>
      </c>
      <c r="B366" s="1" t="s">
        <v>214</v>
      </c>
      <c r="C366" s="18">
        <v>44717</v>
      </c>
      <c r="D366" s="1" t="s">
        <v>154</v>
      </c>
      <c r="E366" s="1" t="s">
        <v>22</v>
      </c>
      <c r="F366" s="1">
        <v>24</v>
      </c>
      <c r="G366" s="1">
        <v>21</v>
      </c>
      <c r="H366" s="1">
        <v>4</v>
      </c>
      <c r="I366" s="1">
        <v>11</v>
      </c>
      <c r="J366" s="1">
        <v>4</v>
      </c>
      <c r="K366" s="1">
        <v>64</v>
      </c>
      <c r="L366" s="5">
        <f ca="1">K366-(ROUNDDOWN((($G$1-C366)/365),1))</f>
        <v>59.7</v>
      </c>
    </row>
    <row r="367" spans="1:12" x14ac:dyDescent="0.25">
      <c r="A367" s="2">
        <f ca="1">RANK(L367,$L$6:$L$475,0)</f>
        <v>360</v>
      </c>
      <c r="B367" s="1" t="s">
        <v>112</v>
      </c>
      <c r="C367" s="18">
        <v>44703</v>
      </c>
      <c r="D367" s="1" t="s">
        <v>74</v>
      </c>
      <c r="E367" s="1" t="s">
        <v>40</v>
      </c>
      <c r="F367" s="1">
        <v>24</v>
      </c>
      <c r="G367" s="1">
        <v>14</v>
      </c>
      <c r="H367" s="1">
        <v>6</v>
      </c>
      <c r="I367" s="1">
        <v>13</v>
      </c>
      <c r="J367" s="1">
        <v>7</v>
      </c>
      <c r="K367" s="1">
        <v>64</v>
      </c>
      <c r="L367" s="5">
        <f ca="1">K367-(ROUNDDOWN((($G$1-C367)/365),1))</f>
        <v>59.7</v>
      </c>
    </row>
    <row r="368" spans="1:12" x14ac:dyDescent="0.25">
      <c r="A368" s="2">
        <f ca="1">RANK(L368,$L$6:$L$475,0)</f>
        <v>363</v>
      </c>
      <c r="B368" s="1" t="s">
        <v>431</v>
      </c>
      <c r="C368" s="18">
        <v>45781</v>
      </c>
      <c r="D368" s="1" t="s">
        <v>71</v>
      </c>
      <c r="E368" s="1" t="s">
        <v>33</v>
      </c>
      <c r="F368" s="1">
        <v>27</v>
      </c>
      <c r="G368" s="1">
        <v>21</v>
      </c>
      <c r="H368" s="1">
        <v>2</v>
      </c>
      <c r="I368" s="1">
        <v>8</v>
      </c>
      <c r="J368" s="1">
        <v>3</v>
      </c>
      <c r="K368" s="1">
        <v>61</v>
      </c>
      <c r="L368" s="5">
        <f ca="1">K368-(ROUNDDOWN((($G$1-C368)/365),1))</f>
        <v>59.6</v>
      </c>
    </row>
    <row r="369" spans="1:12" x14ac:dyDescent="0.25">
      <c r="A369" s="2">
        <f ca="1">RANK(L369,$L$6:$L$475,0)</f>
        <v>363</v>
      </c>
      <c r="B369" s="1" t="s">
        <v>120</v>
      </c>
      <c r="C369" s="18">
        <v>44311</v>
      </c>
      <c r="D369" s="1" t="s">
        <v>69</v>
      </c>
      <c r="E369" s="1" t="s">
        <v>17</v>
      </c>
      <c r="F369" s="1">
        <v>26</v>
      </c>
      <c r="G369" s="1">
        <v>14</v>
      </c>
      <c r="H369" s="1">
        <v>6</v>
      </c>
      <c r="I369" s="1">
        <v>13</v>
      </c>
      <c r="J369" s="1">
        <v>6</v>
      </c>
      <c r="K369" s="1">
        <v>65</v>
      </c>
      <c r="L369" s="5">
        <f ca="1">K369-(ROUNDDOWN((($G$1-C369)/365),1))</f>
        <v>59.6</v>
      </c>
    </row>
    <row r="370" spans="1:12" x14ac:dyDescent="0.25">
      <c r="A370" s="2">
        <f ca="1">RANK(L370,$L$6:$L$475,0)</f>
        <v>365</v>
      </c>
      <c r="B370" s="1" t="s">
        <v>110</v>
      </c>
      <c r="C370" s="18">
        <v>44276</v>
      </c>
      <c r="D370" s="1" t="s">
        <v>74</v>
      </c>
      <c r="E370" s="1" t="s">
        <v>17</v>
      </c>
      <c r="F370" s="1">
        <v>23</v>
      </c>
      <c r="G370" s="1">
        <v>19</v>
      </c>
      <c r="H370" s="1">
        <v>4</v>
      </c>
      <c r="I370" s="1">
        <v>13</v>
      </c>
      <c r="J370" s="1">
        <v>6</v>
      </c>
      <c r="K370" s="1">
        <v>65</v>
      </c>
      <c r="L370" s="5">
        <f ca="1">K370-(ROUNDDOWN((($G$1-C370)/365),1))</f>
        <v>59.5</v>
      </c>
    </row>
    <row r="371" spans="1:12" x14ac:dyDescent="0.25">
      <c r="A371" s="2">
        <f ca="1">RANK(L371,$L$6:$L$475,0)</f>
        <v>366</v>
      </c>
      <c r="B371" s="1" t="s">
        <v>97</v>
      </c>
      <c r="C371" s="18">
        <v>44230</v>
      </c>
      <c r="D371" s="1" t="s">
        <v>69</v>
      </c>
      <c r="E371" s="1" t="s">
        <v>22</v>
      </c>
      <c r="F371" s="1">
        <v>27</v>
      </c>
      <c r="G371" s="1">
        <v>18</v>
      </c>
      <c r="H371" s="1">
        <v>3</v>
      </c>
      <c r="I371" s="1">
        <v>12</v>
      </c>
      <c r="J371" s="1">
        <v>5</v>
      </c>
      <c r="K371" s="1">
        <v>65</v>
      </c>
      <c r="L371" s="5">
        <f ca="1">K371-(ROUNDDOWN((($G$1-C371)/365),1))</f>
        <v>59.4</v>
      </c>
    </row>
    <row r="372" spans="1:12" x14ac:dyDescent="0.25">
      <c r="A372" s="2">
        <f ca="1">RANK(L372,$L$6:$L$475,0)</f>
        <v>366</v>
      </c>
      <c r="B372" s="1" t="s">
        <v>189</v>
      </c>
      <c r="C372" s="18">
        <v>44591</v>
      </c>
      <c r="D372" s="1" t="s">
        <v>70</v>
      </c>
      <c r="E372" s="1" t="s">
        <v>22</v>
      </c>
      <c r="F372" s="1">
        <v>26</v>
      </c>
      <c r="G372" s="1">
        <v>16</v>
      </c>
      <c r="H372" s="1">
        <v>6</v>
      </c>
      <c r="I372" s="1">
        <v>11</v>
      </c>
      <c r="J372" s="1">
        <v>5</v>
      </c>
      <c r="K372" s="1">
        <v>64</v>
      </c>
      <c r="L372" s="5">
        <f ca="1">K372-(ROUNDDOWN((($G$1-C372)/365),1))</f>
        <v>59.4</v>
      </c>
    </row>
    <row r="373" spans="1:12" x14ac:dyDescent="0.25">
      <c r="A373" s="2">
        <f ca="1">RANK(L373,$L$6:$L$475,0)</f>
        <v>368</v>
      </c>
      <c r="B373" s="1" t="s">
        <v>82</v>
      </c>
      <c r="C373" s="18">
        <v>44577</v>
      </c>
      <c r="D373" s="1" t="s">
        <v>68</v>
      </c>
      <c r="E373" s="1" t="s">
        <v>22</v>
      </c>
      <c r="F373" s="1">
        <v>25</v>
      </c>
      <c r="G373" s="1">
        <v>14</v>
      </c>
      <c r="H373" s="1">
        <v>5</v>
      </c>
      <c r="I373" s="1">
        <v>13</v>
      </c>
      <c r="J373" s="1">
        <v>7</v>
      </c>
      <c r="K373" s="1">
        <v>64</v>
      </c>
      <c r="L373" s="5">
        <f ca="1">K373-(ROUNDDOWN((($G$1-C373)/365),1))</f>
        <v>59.3</v>
      </c>
    </row>
    <row r="374" spans="1:12" x14ac:dyDescent="0.25">
      <c r="A374" s="2">
        <f ca="1">RANK(L374,$L$6:$L$475,0)</f>
        <v>369</v>
      </c>
      <c r="B374" s="1" t="s">
        <v>314</v>
      </c>
      <c r="C374" s="18">
        <v>45249</v>
      </c>
      <c r="D374" s="1" t="s">
        <v>68</v>
      </c>
      <c r="E374" s="1" t="s">
        <v>22</v>
      </c>
      <c r="F374" s="1">
        <v>27</v>
      </c>
      <c r="G374" s="1">
        <v>18</v>
      </c>
      <c r="H374" s="1">
        <v>4</v>
      </c>
      <c r="I374" s="1">
        <v>9</v>
      </c>
      <c r="J374" s="1">
        <v>4</v>
      </c>
      <c r="K374" s="1">
        <v>62</v>
      </c>
      <c r="L374" s="5">
        <f ca="1">K374-(ROUNDDOWN((($G$1-C374)/365),1))</f>
        <v>59.2</v>
      </c>
    </row>
    <row r="375" spans="1:12" x14ac:dyDescent="0.25">
      <c r="A375" s="2">
        <f ca="1">RANK(L375,$L$6:$L$475,0)</f>
        <v>370</v>
      </c>
      <c r="B375" s="29" t="s">
        <v>172</v>
      </c>
      <c r="C375" s="18">
        <v>44500</v>
      </c>
      <c r="D375" s="1" t="s">
        <v>68</v>
      </c>
      <c r="E375" s="1" t="s">
        <v>17</v>
      </c>
      <c r="F375" s="1">
        <v>25</v>
      </c>
      <c r="G375" s="1">
        <v>15</v>
      </c>
      <c r="H375" s="1">
        <v>4</v>
      </c>
      <c r="I375" s="1">
        <v>14</v>
      </c>
      <c r="J375" s="1">
        <v>6</v>
      </c>
      <c r="K375" s="1">
        <v>64</v>
      </c>
      <c r="L375" s="5">
        <f ca="1">K375-(ROUNDDOWN((($G$1-C375)/365),1))</f>
        <v>59.1</v>
      </c>
    </row>
    <row r="376" spans="1:12" x14ac:dyDescent="0.25">
      <c r="A376" s="2">
        <f ca="1">RANK(L376,$L$6:$L$475,0)</f>
        <v>370</v>
      </c>
      <c r="B376" s="1" t="s">
        <v>171</v>
      </c>
      <c r="C376" s="18">
        <v>44493</v>
      </c>
      <c r="D376" s="1" t="s">
        <v>149</v>
      </c>
      <c r="E376" s="1" t="s">
        <v>22</v>
      </c>
      <c r="F376" s="1">
        <v>24</v>
      </c>
      <c r="G376" s="1">
        <v>15</v>
      </c>
      <c r="H376" s="1">
        <v>6</v>
      </c>
      <c r="I376" s="1">
        <v>14</v>
      </c>
      <c r="J376" s="1">
        <v>5</v>
      </c>
      <c r="K376" s="1">
        <v>64</v>
      </c>
      <c r="L376" s="5">
        <f ca="1">K376-(ROUNDDOWN((($G$1-C376)/365),1))</f>
        <v>59.1</v>
      </c>
    </row>
    <row r="377" spans="1:12" x14ac:dyDescent="0.25">
      <c r="A377" s="2">
        <f ca="1">RANK(L377,$L$6:$L$475,0)</f>
        <v>370</v>
      </c>
      <c r="B377" s="1" t="s">
        <v>382</v>
      </c>
      <c r="C377" s="18">
        <v>45578</v>
      </c>
      <c r="D377" s="1" t="s">
        <v>307</v>
      </c>
      <c r="E377" s="1" t="s">
        <v>40</v>
      </c>
      <c r="F377" s="1">
        <v>25</v>
      </c>
      <c r="G377" s="1">
        <v>17</v>
      </c>
      <c r="H377" s="1">
        <v>4</v>
      </c>
      <c r="I377" s="1">
        <v>10</v>
      </c>
      <c r="J377" s="1">
        <v>5</v>
      </c>
      <c r="K377" s="1">
        <v>61</v>
      </c>
      <c r="L377" s="5">
        <f ca="1">K377-(ROUNDDOWN((($G$1-C377)/365),1))</f>
        <v>59.1</v>
      </c>
    </row>
    <row r="378" spans="1:12" x14ac:dyDescent="0.25">
      <c r="A378" s="2">
        <f ca="1">RANK(L378,$L$6:$L$475,0)</f>
        <v>373</v>
      </c>
      <c r="B378" s="1" t="s">
        <v>235</v>
      </c>
      <c r="C378" s="18">
        <v>44815</v>
      </c>
      <c r="D378" s="1" t="s">
        <v>236</v>
      </c>
      <c r="E378" s="1" t="s">
        <v>20</v>
      </c>
      <c r="F378" s="1">
        <v>27</v>
      </c>
      <c r="G378" s="1">
        <v>14</v>
      </c>
      <c r="H378" s="1">
        <v>4</v>
      </c>
      <c r="I378" s="1">
        <v>13</v>
      </c>
      <c r="J378" s="1">
        <v>5</v>
      </c>
      <c r="K378" s="1">
        <v>63</v>
      </c>
      <c r="L378" s="5">
        <f ca="1">K378-(ROUNDDOWN((($G$1-C378)/365),1))</f>
        <v>59</v>
      </c>
    </row>
    <row r="379" spans="1:12" x14ac:dyDescent="0.25">
      <c r="A379" s="2">
        <f ca="1">RANK(L379,$L$6:$L$475,0)</f>
        <v>374</v>
      </c>
      <c r="B379" s="1" t="s">
        <v>143</v>
      </c>
      <c r="C379" s="18">
        <v>44423</v>
      </c>
      <c r="D379" s="1" t="s">
        <v>68</v>
      </c>
      <c r="E379" s="1" t="s">
        <v>17</v>
      </c>
      <c r="F379" s="1">
        <v>25</v>
      </c>
      <c r="G379" s="1">
        <v>16</v>
      </c>
      <c r="H379" s="1">
        <v>5</v>
      </c>
      <c r="I379" s="1">
        <v>13</v>
      </c>
      <c r="J379" s="1">
        <v>5</v>
      </c>
      <c r="K379" s="1">
        <v>64</v>
      </c>
      <c r="L379" s="5">
        <f ca="1">K379-(ROUNDDOWN((($G$1-C379)/365),1))</f>
        <v>58.9</v>
      </c>
    </row>
    <row r="380" spans="1:12" x14ac:dyDescent="0.25">
      <c r="A380" s="2">
        <f ca="1">RANK(L380,$L$6:$L$475,0)</f>
        <v>374</v>
      </c>
      <c r="B380" s="29" t="s">
        <v>16</v>
      </c>
      <c r="C380" s="18">
        <v>44409</v>
      </c>
      <c r="D380" s="1" t="s">
        <v>69</v>
      </c>
      <c r="E380" s="1" t="s">
        <v>17</v>
      </c>
      <c r="F380" s="1">
        <v>27</v>
      </c>
      <c r="G380" s="1">
        <v>17</v>
      </c>
      <c r="H380" s="1">
        <v>5</v>
      </c>
      <c r="I380" s="1">
        <v>9</v>
      </c>
      <c r="J380" s="1">
        <v>6</v>
      </c>
      <c r="K380" s="1">
        <v>64</v>
      </c>
      <c r="L380" s="5">
        <f ca="1">K380-(ROUNDDOWN((($G$1-C380)/365),1))</f>
        <v>58.9</v>
      </c>
    </row>
    <row r="381" spans="1:12" x14ac:dyDescent="0.25">
      <c r="A381" s="2">
        <f ca="1">RANK(L381,$L$6:$L$475,0)</f>
        <v>376</v>
      </c>
      <c r="B381" s="1" t="s">
        <v>447</v>
      </c>
      <c r="C381" s="18">
        <v>45858</v>
      </c>
      <c r="D381" s="1" t="s">
        <v>368</v>
      </c>
      <c r="E381" s="1" t="s">
        <v>22</v>
      </c>
      <c r="F381" s="1">
        <v>26</v>
      </c>
      <c r="G381" s="1">
        <v>17</v>
      </c>
      <c r="H381" s="1">
        <v>3</v>
      </c>
      <c r="I381" s="1">
        <v>10</v>
      </c>
      <c r="J381" s="1">
        <v>4</v>
      </c>
      <c r="K381" s="1">
        <v>60</v>
      </c>
      <c r="L381" s="5">
        <f ca="1">K381-(ROUNDDOWN((($G$1-C381)/365),1))</f>
        <v>58.8</v>
      </c>
    </row>
    <row r="382" spans="1:12" x14ac:dyDescent="0.25">
      <c r="A382" s="2">
        <f ca="1">RANK(L382,$L$6:$L$475,0)</f>
        <v>377</v>
      </c>
      <c r="B382" s="1" t="s">
        <v>130</v>
      </c>
      <c r="C382" s="18">
        <v>44353</v>
      </c>
      <c r="D382" s="1" t="s">
        <v>72</v>
      </c>
      <c r="E382" s="1" t="s">
        <v>22</v>
      </c>
      <c r="F382" s="1">
        <v>24</v>
      </c>
      <c r="G382" s="1">
        <v>18</v>
      </c>
      <c r="H382" s="1">
        <v>6</v>
      </c>
      <c r="I382" s="1">
        <v>11</v>
      </c>
      <c r="J382" s="1">
        <v>5</v>
      </c>
      <c r="K382" s="1">
        <v>64</v>
      </c>
      <c r="L382" s="5">
        <f ca="1">K382-(ROUNDDOWN((($G$1-C382)/365),1))</f>
        <v>58.7</v>
      </c>
    </row>
    <row r="383" spans="1:12" x14ac:dyDescent="0.25">
      <c r="A383" s="2">
        <f ca="1">RANK(L383,$L$6:$L$475,0)</f>
        <v>377</v>
      </c>
      <c r="B383" s="1" t="s">
        <v>102</v>
      </c>
      <c r="C383" s="18">
        <v>44703</v>
      </c>
      <c r="D383" s="1" t="s">
        <v>69</v>
      </c>
      <c r="E383" s="1" t="s">
        <v>17</v>
      </c>
      <c r="F383" s="1">
        <v>27</v>
      </c>
      <c r="G383" s="1">
        <v>14</v>
      </c>
      <c r="H383" s="1">
        <v>5</v>
      </c>
      <c r="I383" s="1">
        <v>11</v>
      </c>
      <c r="J383" s="1">
        <v>6</v>
      </c>
      <c r="K383" s="1">
        <v>63</v>
      </c>
      <c r="L383" s="5">
        <f ca="1">K383-(ROUNDDOWN((($G$1-C383)/365),1))</f>
        <v>58.7</v>
      </c>
    </row>
    <row r="384" spans="1:12" x14ac:dyDescent="0.25">
      <c r="A384" s="2">
        <f ca="1">RANK(L384,$L$6:$L$475,0)</f>
        <v>379</v>
      </c>
      <c r="B384" s="1" t="s">
        <v>336</v>
      </c>
      <c r="C384" s="18">
        <v>45368</v>
      </c>
      <c r="D384" s="1" t="s">
        <v>72</v>
      </c>
      <c r="E384" s="1" t="s">
        <v>22</v>
      </c>
      <c r="F384" s="1">
        <v>26</v>
      </c>
      <c r="G384" s="1">
        <v>12</v>
      </c>
      <c r="H384" s="1">
        <v>5</v>
      </c>
      <c r="I384" s="1">
        <v>11</v>
      </c>
      <c r="J384" s="1">
        <v>7</v>
      </c>
      <c r="K384" s="1">
        <v>61</v>
      </c>
      <c r="L384" s="5">
        <f ca="1">K384-(ROUNDDOWN((($G$1-C384)/365),1))</f>
        <v>58.5</v>
      </c>
    </row>
    <row r="385" spans="1:12" x14ac:dyDescent="0.25">
      <c r="A385" s="2">
        <f ca="1">RANK(L385,$L$6:$L$475,0)</f>
        <v>380</v>
      </c>
      <c r="B385" s="1" t="s">
        <v>404</v>
      </c>
      <c r="C385" s="18">
        <v>45676</v>
      </c>
      <c r="D385" s="1" t="s">
        <v>149</v>
      </c>
      <c r="E385" s="1" t="s">
        <v>17</v>
      </c>
      <c r="F385" s="1">
        <v>24</v>
      </c>
      <c r="G385" s="1">
        <v>16</v>
      </c>
      <c r="H385" s="1">
        <v>4</v>
      </c>
      <c r="I385" s="1">
        <v>11</v>
      </c>
      <c r="J385" s="1">
        <v>5</v>
      </c>
      <c r="K385" s="1">
        <v>60</v>
      </c>
      <c r="L385" s="5">
        <f ca="1">K385-(ROUNDDOWN((($G$1-C385)/365),1))</f>
        <v>58.3</v>
      </c>
    </row>
    <row r="386" spans="1:12" x14ac:dyDescent="0.25">
      <c r="A386" s="2">
        <f ca="1">RANK(L386,$L$6:$L$475,0)</f>
        <v>380</v>
      </c>
      <c r="B386" s="1" t="s">
        <v>326</v>
      </c>
      <c r="C386" s="18">
        <v>45305</v>
      </c>
      <c r="D386" s="1" t="s">
        <v>308</v>
      </c>
      <c r="E386" s="1" t="s">
        <v>17</v>
      </c>
      <c r="F386" s="1">
        <v>26</v>
      </c>
      <c r="G386" s="1">
        <v>16</v>
      </c>
      <c r="H386" s="1">
        <v>4</v>
      </c>
      <c r="I386" s="1">
        <v>10</v>
      </c>
      <c r="J386" s="1">
        <v>5</v>
      </c>
      <c r="K386" s="1">
        <v>61</v>
      </c>
      <c r="L386" s="5">
        <f ca="1">K386-(ROUNDDOWN((($G$1-C386)/365),1))</f>
        <v>58.3</v>
      </c>
    </row>
    <row r="387" spans="1:12" x14ac:dyDescent="0.25">
      <c r="A387" s="2">
        <f ca="1">RANK(L387,$L$6:$L$475,0)</f>
        <v>380</v>
      </c>
      <c r="B387" s="1" t="s">
        <v>323</v>
      </c>
      <c r="C387" s="18">
        <v>45291</v>
      </c>
      <c r="D387" s="1" t="s">
        <v>266</v>
      </c>
      <c r="E387" s="1" t="s">
        <v>17</v>
      </c>
      <c r="F387" s="1">
        <v>26</v>
      </c>
      <c r="G387" s="1">
        <v>17</v>
      </c>
      <c r="H387" s="1">
        <v>4</v>
      </c>
      <c r="I387" s="1">
        <v>10</v>
      </c>
      <c r="J387" s="1">
        <v>4</v>
      </c>
      <c r="K387" s="1">
        <v>61</v>
      </c>
      <c r="L387" s="5">
        <f ca="1">K387-(ROUNDDOWN((($G$1-C387)/365),1))</f>
        <v>58.3</v>
      </c>
    </row>
    <row r="388" spans="1:12" x14ac:dyDescent="0.25">
      <c r="A388" s="2">
        <f ca="1">RANK(L388,$L$6:$L$475,0)</f>
        <v>383</v>
      </c>
      <c r="B388" s="29" t="s">
        <v>49</v>
      </c>
      <c r="C388" s="18">
        <v>45220</v>
      </c>
      <c r="D388" s="1" t="s">
        <v>149</v>
      </c>
      <c r="E388" s="1" t="s">
        <v>22</v>
      </c>
      <c r="F388" s="1">
        <v>25</v>
      </c>
      <c r="G388" s="1">
        <v>15</v>
      </c>
      <c r="H388" s="1">
        <v>4</v>
      </c>
      <c r="I388" s="1">
        <v>12</v>
      </c>
      <c r="J388" s="1">
        <v>5</v>
      </c>
      <c r="K388" s="1">
        <v>61</v>
      </c>
      <c r="L388" s="5">
        <f ca="1">K388-(ROUNDDOWN((($G$1-C388)/365),1))</f>
        <v>58.1</v>
      </c>
    </row>
    <row r="389" spans="1:12" x14ac:dyDescent="0.25">
      <c r="A389" s="2">
        <f ca="1">RANK(L389,$L$6:$L$475,0)</f>
        <v>384</v>
      </c>
      <c r="B389" s="1" t="s">
        <v>160</v>
      </c>
      <c r="C389" s="18">
        <v>44465</v>
      </c>
      <c r="D389" s="1" t="s">
        <v>68</v>
      </c>
      <c r="E389" s="1" t="s">
        <v>40</v>
      </c>
      <c r="F389" s="1">
        <v>25</v>
      </c>
      <c r="G389" s="1">
        <v>17</v>
      </c>
      <c r="H389" s="1">
        <v>5</v>
      </c>
      <c r="I389" s="1">
        <v>12</v>
      </c>
      <c r="J389" s="1">
        <v>4</v>
      </c>
      <c r="K389" s="1">
        <v>63</v>
      </c>
      <c r="L389" s="5">
        <f ca="1">K389-(ROUNDDOWN((($G$1-C389)/365),1))</f>
        <v>58</v>
      </c>
    </row>
    <row r="390" spans="1:12" x14ac:dyDescent="0.25">
      <c r="A390" s="2">
        <f ca="1">RANK(L390,$L$6:$L$475,0)</f>
        <v>384</v>
      </c>
      <c r="B390" s="1" t="s">
        <v>54</v>
      </c>
      <c r="C390" s="18">
        <v>44451</v>
      </c>
      <c r="D390" s="1" t="s">
        <v>74</v>
      </c>
      <c r="E390" s="1" t="s">
        <v>22</v>
      </c>
      <c r="F390" s="1">
        <v>26</v>
      </c>
      <c r="G390" s="1">
        <v>14</v>
      </c>
      <c r="H390" s="1">
        <v>6</v>
      </c>
      <c r="I390" s="1">
        <v>12</v>
      </c>
      <c r="J390" s="1">
        <v>5</v>
      </c>
      <c r="K390" s="1">
        <v>63</v>
      </c>
      <c r="L390" s="5">
        <f ca="1">K390-(ROUNDDOWN((($G$1-C390)/365),1))</f>
        <v>58</v>
      </c>
    </row>
    <row r="391" spans="1:12" x14ac:dyDescent="0.25">
      <c r="A391" s="2">
        <f ca="1">RANK(L391,$L$6:$L$475,0)</f>
        <v>386</v>
      </c>
      <c r="B391" s="29" t="s">
        <v>148</v>
      </c>
      <c r="C391" s="18">
        <v>44430</v>
      </c>
      <c r="D391" s="1" t="s">
        <v>149</v>
      </c>
      <c r="E391" s="1" t="s">
        <v>22</v>
      </c>
      <c r="F391" s="1">
        <v>20</v>
      </c>
      <c r="G391" s="1">
        <v>22</v>
      </c>
      <c r="H391" s="1">
        <v>6</v>
      </c>
      <c r="I391" s="1">
        <v>10</v>
      </c>
      <c r="J391" s="1">
        <v>5</v>
      </c>
      <c r="K391" s="1">
        <v>63</v>
      </c>
      <c r="L391" s="5">
        <f ca="1">K391-(ROUNDDOWN((($G$1-C391)/365),1))</f>
        <v>57.9</v>
      </c>
    </row>
    <row r="392" spans="1:12" x14ac:dyDescent="0.25">
      <c r="A392" s="2">
        <f ca="1">RANK(L392,$L$6:$L$475,0)</f>
        <v>386</v>
      </c>
      <c r="B392" s="1" t="s">
        <v>43</v>
      </c>
      <c r="C392" s="18">
        <v>44423</v>
      </c>
      <c r="D392" s="1" t="s">
        <v>71</v>
      </c>
      <c r="E392" s="1" t="s">
        <v>33</v>
      </c>
      <c r="F392" s="1">
        <v>26</v>
      </c>
      <c r="G392" s="1">
        <v>16</v>
      </c>
      <c r="H392" s="1">
        <v>6</v>
      </c>
      <c r="I392" s="1">
        <v>9</v>
      </c>
      <c r="J392" s="1">
        <v>6</v>
      </c>
      <c r="K392" s="1">
        <v>63</v>
      </c>
      <c r="L392" s="5">
        <f ca="1">K392-(ROUNDDOWN((($G$1-C392)/365),1))</f>
        <v>57.9</v>
      </c>
    </row>
    <row r="393" spans="1:12" x14ac:dyDescent="0.25">
      <c r="A393" s="2">
        <f ca="1">RANK(L393,$L$6:$L$475,0)</f>
        <v>388</v>
      </c>
      <c r="B393" s="1" t="s">
        <v>129</v>
      </c>
      <c r="C393" s="18">
        <v>44353</v>
      </c>
      <c r="D393" s="1" t="s">
        <v>69</v>
      </c>
      <c r="E393" s="1" t="s">
        <v>22</v>
      </c>
      <c r="F393" s="1">
        <v>26</v>
      </c>
      <c r="G393" s="1">
        <v>17</v>
      </c>
      <c r="H393" s="1">
        <v>4</v>
      </c>
      <c r="I393" s="1">
        <v>11</v>
      </c>
      <c r="J393" s="1">
        <v>5</v>
      </c>
      <c r="K393" s="1">
        <v>63</v>
      </c>
      <c r="L393" s="5">
        <f ca="1">K393-(ROUNDDOWN((($G$1-C393)/365),1))</f>
        <v>57.7</v>
      </c>
    </row>
    <row r="394" spans="1:12" x14ac:dyDescent="0.25">
      <c r="A394" s="2">
        <f ca="1">RANK(L394,$L$6:$L$475,0)</f>
        <v>388</v>
      </c>
      <c r="B394" s="1" t="s">
        <v>215</v>
      </c>
      <c r="C394" s="18">
        <v>44717</v>
      </c>
      <c r="D394" s="1" t="s">
        <v>74</v>
      </c>
      <c r="E394" s="1" t="s">
        <v>22</v>
      </c>
      <c r="F394" s="1">
        <v>27</v>
      </c>
      <c r="G394" s="1">
        <v>15</v>
      </c>
      <c r="H394" s="1">
        <v>5</v>
      </c>
      <c r="I394" s="1">
        <v>11</v>
      </c>
      <c r="J394" s="1">
        <v>4</v>
      </c>
      <c r="K394" s="1">
        <v>62</v>
      </c>
      <c r="L394" s="5">
        <f ca="1">K394-(ROUNDDOWN((($G$1-C394)/365),1))</f>
        <v>57.7</v>
      </c>
    </row>
    <row r="395" spans="1:12" x14ac:dyDescent="0.25">
      <c r="A395" s="2">
        <f ca="1">RANK(L395,$L$6:$L$475,0)</f>
        <v>388</v>
      </c>
      <c r="B395" s="1" t="s">
        <v>127</v>
      </c>
      <c r="C395" s="18">
        <v>44344</v>
      </c>
      <c r="D395" s="1" t="s">
        <v>69</v>
      </c>
      <c r="E395" s="1" t="s">
        <v>17</v>
      </c>
      <c r="F395" s="1">
        <v>26</v>
      </c>
      <c r="G395" s="1">
        <v>19</v>
      </c>
      <c r="H395" s="1">
        <v>3</v>
      </c>
      <c r="I395" s="1">
        <v>10</v>
      </c>
      <c r="J395" s="1">
        <v>5</v>
      </c>
      <c r="K395" s="1">
        <v>63</v>
      </c>
      <c r="L395" s="5">
        <f ca="1">K395-(ROUNDDOWN((($G$1-C395)/365),1))</f>
        <v>57.7</v>
      </c>
    </row>
    <row r="396" spans="1:12" x14ac:dyDescent="0.25">
      <c r="A396" s="2">
        <f ca="1">RANK(L396,$L$6:$L$475,0)</f>
        <v>391</v>
      </c>
      <c r="B396" s="1" t="s">
        <v>322</v>
      </c>
      <c r="C396" s="18">
        <v>45291</v>
      </c>
      <c r="D396" s="1" t="s">
        <v>71</v>
      </c>
      <c r="E396" s="1" t="s">
        <v>17</v>
      </c>
      <c r="F396" s="1">
        <v>25</v>
      </c>
      <c r="G396" s="1">
        <v>15</v>
      </c>
      <c r="H396" s="1">
        <v>4</v>
      </c>
      <c r="I396" s="1">
        <v>11</v>
      </c>
      <c r="J396" s="1">
        <v>5</v>
      </c>
      <c r="K396" s="1">
        <v>60</v>
      </c>
      <c r="L396" s="5">
        <f ca="1">K396-(ROUNDDOWN((($G$1-C396)/365),1))</f>
        <v>57.3</v>
      </c>
    </row>
    <row r="397" spans="1:12" x14ac:dyDescent="0.25">
      <c r="A397" s="2">
        <f ca="1">RANK(L397,$L$6:$L$475,0)</f>
        <v>392</v>
      </c>
      <c r="B397" s="29" t="s">
        <v>176</v>
      </c>
      <c r="C397" s="18">
        <v>44514</v>
      </c>
      <c r="D397" s="1" t="s">
        <v>71</v>
      </c>
      <c r="E397" s="1" t="s">
        <v>17</v>
      </c>
      <c r="F397" s="1">
        <v>24</v>
      </c>
      <c r="G397" s="1">
        <v>11</v>
      </c>
      <c r="H397" s="1">
        <v>4</v>
      </c>
      <c r="I397" s="1">
        <v>16</v>
      </c>
      <c r="J397" s="1">
        <v>7</v>
      </c>
      <c r="K397" s="1">
        <v>62</v>
      </c>
      <c r="L397" s="5">
        <f ca="1">K397-(ROUNDDOWN((($G$1-C397)/365),1))</f>
        <v>57.2</v>
      </c>
    </row>
    <row r="398" spans="1:12" x14ac:dyDescent="0.25">
      <c r="A398" s="2">
        <f ca="1">RANK(L398,$L$6:$L$475,0)</f>
        <v>393</v>
      </c>
      <c r="B398" s="29" t="s">
        <v>51</v>
      </c>
      <c r="C398" s="18">
        <v>45220</v>
      </c>
      <c r="D398" s="1" t="s">
        <v>149</v>
      </c>
      <c r="E398" s="1" t="s">
        <v>22</v>
      </c>
      <c r="F398" s="1">
        <v>25</v>
      </c>
      <c r="G398" s="1">
        <v>13</v>
      </c>
      <c r="H398" s="1">
        <v>4</v>
      </c>
      <c r="I398" s="1">
        <v>12</v>
      </c>
      <c r="J398" s="1">
        <v>6</v>
      </c>
      <c r="K398" s="1">
        <v>60</v>
      </c>
      <c r="L398" s="5">
        <f ca="1">K398-(ROUNDDOWN((($G$1-C398)/365),1))</f>
        <v>57.1</v>
      </c>
    </row>
    <row r="399" spans="1:12" x14ac:dyDescent="0.25">
      <c r="A399" s="2">
        <f ca="1">RANK(L399,$L$6:$L$475,0)</f>
        <v>394</v>
      </c>
      <c r="B399" s="1" t="s">
        <v>162</v>
      </c>
      <c r="C399" s="18">
        <v>44465</v>
      </c>
      <c r="D399" s="1" t="s">
        <v>68</v>
      </c>
      <c r="E399" s="1" t="s">
        <v>22</v>
      </c>
      <c r="F399" s="1">
        <v>25</v>
      </c>
      <c r="G399" s="1">
        <v>17</v>
      </c>
      <c r="H399" s="1">
        <v>5</v>
      </c>
      <c r="I399" s="1">
        <v>12</v>
      </c>
      <c r="J399" s="1">
        <v>3</v>
      </c>
      <c r="K399" s="1">
        <v>62</v>
      </c>
      <c r="L399" s="5">
        <f ca="1">K399-(ROUNDDOWN((($G$1-C399)/365),1))</f>
        <v>57</v>
      </c>
    </row>
    <row r="400" spans="1:12" x14ac:dyDescent="0.25">
      <c r="A400" s="2">
        <f ca="1">RANK(L400,$L$6:$L$475,0)</f>
        <v>394</v>
      </c>
      <c r="B400" s="1" t="s">
        <v>98</v>
      </c>
      <c r="C400" s="18">
        <v>44092</v>
      </c>
      <c r="D400" s="1" t="s">
        <v>69</v>
      </c>
      <c r="E400" s="1" t="s">
        <v>22</v>
      </c>
      <c r="F400" s="1">
        <v>28</v>
      </c>
      <c r="G400" s="1">
        <v>17</v>
      </c>
      <c r="H400" s="1">
        <v>4</v>
      </c>
      <c r="I400" s="1">
        <v>10</v>
      </c>
      <c r="J400" s="1">
        <v>4</v>
      </c>
      <c r="K400" s="1">
        <v>63</v>
      </c>
      <c r="L400" s="5">
        <f ca="1">K400-(ROUNDDOWN((($G$1-C400)/365),1))</f>
        <v>57</v>
      </c>
    </row>
    <row r="401" spans="1:12" x14ac:dyDescent="0.25">
      <c r="A401" s="2">
        <f ca="1">RANK(L401,$L$6:$L$475,0)</f>
        <v>394</v>
      </c>
      <c r="B401" s="1" t="s">
        <v>367</v>
      </c>
      <c r="C401" s="18">
        <v>45543</v>
      </c>
      <c r="D401" s="1" t="s">
        <v>368</v>
      </c>
      <c r="E401" s="1" t="s">
        <v>17</v>
      </c>
      <c r="F401" s="1">
        <v>26</v>
      </c>
      <c r="G401" s="1">
        <v>14</v>
      </c>
      <c r="H401" s="1">
        <v>5</v>
      </c>
      <c r="I401" s="1">
        <v>10</v>
      </c>
      <c r="J401" s="1">
        <v>4</v>
      </c>
      <c r="K401" s="1">
        <v>59</v>
      </c>
      <c r="L401" s="5">
        <f ca="1">K401-(ROUNDDOWN((($G$1-C401)/365),1))</f>
        <v>57</v>
      </c>
    </row>
    <row r="402" spans="1:12" x14ac:dyDescent="0.25">
      <c r="A402" s="2">
        <f ca="1">RANK(L402,$L$6:$L$475,0)</f>
        <v>397</v>
      </c>
      <c r="B402" s="1" t="s">
        <v>450</v>
      </c>
      <c r="C402" s="18">
        <v>45872</v>
      </c>
      <c r="D402" s="1" t="s">
        <v>149</v>
      </c>
      <c r="E402" s="1" t="s">
        <v>22</v>
      </c>
      <c r="F402" s="1">
        <v>26</v>
      </c>
      <c r="G402" s="1">
        <v>14</v>
      </c>
      <c r="H402" s="1">
        <v>4</v>
      </c>
      <c r="I402" s="1">
        <v>10</v>
      </c>
      <c r="J402" s="1">
        <v>4</v>
      </c>
      <c r="K402" s="1">
        <v>58</v>
      </c>
      <c r="L402" s="5">
        <f ca="1">K402-(ROUNDDOWN((($G$1-C402)/365),1))</f>
        <v>56.9</v>
      </c>
    </row>
    <row r="403" spans="1:12" x14ac:dyDescent="0.25">
      <c r="A403" s="2">
        <f ca="1">RANK(L403,$L$6:$L$475,0)</f>
        <v>398</v>
      </c>
      <c r="B403" s="1" t="s">
        <v>449</v>
      </c>
      <c r="C403" s="18">
        <v>45858</v>
      </c>
      <c r="D403" s="1" t="s">
        <v>68</v>
      </c>
      <c r="E403" s="1" t="s">
        <v>22</v>
      </c>
      <c r="F403" s="1">
        <v>25</v>
      </c>
      <c r="G403" s="1">
        <v>18</v>
      </c>
      <c r="H403" s="1">
        <v>3</v>
      </c>
      <c r="I403" s="1">
        <v>8</v>
      </c>
      <c r="J403" s="1">
        <v>4</v>
      </c>
      <c r="K403" s="1">
        <v>58</v>
      </c>
      <c r="L403" s="5">
        <f ca="1">K403-(ROUNDDOWN((($G$1-C403)/365),1))</f>
        <v>56.8</v>
      </c>
    </row>
    <row r="404" spans="1:12" x14ac:dyDescent="0.25">
      <c r="A404" s="2">
        <f ca="1">RANK(L404,$L$6:$L$475,0)</f>
        <v>399</v>
      </c>
      <c r="B404" s="1" t="s">
        <v>90</v>
      </c>
      <c r="C404" s="18">
        <v>44703</v>
      </c>
      <c r="D404" s="1" t="s">
        <v>69</v>
      </c>
      <c r="E404" s="1" t="s">
        <v>22</v>
      </c>
      <c r="F404" s="1">
        <v>26</v>
      </c>
      <c r="G404" s="1">
        <v>16</v>
      </c>
      <c r="H404" s="1">
        <v>5</v>
      </c>
      <c r="I404" s="1">
        <v>9</v>
      </c>
      <c r="J404" s="1">
        <v>5</v>
      </c>
      <c r="K404" s="1">
        <v>61</v>
      </c>
      <c r="L404" s="5">
        <f ca="1">K404-(ROUNDDOWN((($G$1-C404)/365),1))</f>
        <v>56.7</v>
      </c>
    </row>
    <row r="405" spans="1:12" x14ac:dyDescent="0.25">
      <c r="A405" s="2">
        <f ca="1">RANK(L405,$L$6:$L$475,0)</f>
        <v>399</v>
      </c>
      <c r="B405" s="1" t="s">
        <v>118</v>
      </c>
      <c r="C405" s="18">
        <v>44703</v>
      </c>
      <c r="D405" s="1" t="s">
        <v>71</v>
      </c>
      <c r="E405" s="1" t="s">
        <v>22</v>
      </c>
      <c r="F405" s="1">
        <v>26</v>
      </c>
      <c r="G405" s="1">
        <v>15</v>
      </c>
      <c r="H405" s="1">
        <v>4</v>
      </c>
      <c r="I405" s="1">
        <v>11</v>
      </c>
      <c r="J405" s="1">
        <v>5</v>
      </c>
      <c r="K405" s="1">
        <v>61</v>
      </c>
      <c r="L405" s="5">
        <f ca="1">K405-(ROUNDDOWN((($G$1-C405)/365),1))</f>
        <v>56.7</v>
      </c>
    </row>
    <row r="406" spans="1:12" x14ac:dyDescent="0.25">
      <c r="A406" s="2">
        <f ca="1">RANK(L406,$L$6:$L$475,0)</f>
        <v>401</v>
      </c>
      <c r="B406" s="1" t="s">
        <v>104</v>
      </c>
      <c r="C406" s="18">
        <v>45011</v>
      </c>
      <c r="D406" s="1" t="s">
        <v>73</v>
      </c>
      <c r="E406" s="1" t="s">
        <v>40</v>
      </c>
      <c r="F406" s="1">
        <v>23</v>
      </c>
      <c r="G406" s="1">
        <v>15</v>
      </c>
      <c r="H406" s="1">
        <v>5</v>
      </c>
      <c r="I406" s="1">
        <v>11</v>
      </c>
      <c r="J406" s="1">
        <v>6</v>
      </c>
      <c r="K406" s="1">
        <v>60</v>
      </c>
      <c r="L406" s="5">
        <f ca="1">K406-(ROUNDDOWN((($G$1-C406)/365),1))</f>
        <v>56.5</v>
      </c>
    </row>
    <row r="407" spans="1:12" x14ac:dyDescent="0.25">
      <c r="A407" s="2">
        <f ca="1">RANK(L407,$L$6:$L$475,0)</f>
        <v>401</v>
      </c>
      <c r="B407" s="29" t="s">
        <v>354</v>
      </c>
      <c r="C407" s="18">
        <v>44269</v>
      </c>
      <c r="D407" s="1" t="s">
        <v>67</v>
      </c>
      <c r="E407" s="1" t="s">
        <v>17</v>
      </c>
      <c r="F407" s="1">
        <v>21</v>
      </c>
      <c r="G407" s="1">
        <v>14</v>
      </c>
      <c r="H407" s="1">
        <v>4</v>
      </c>
      <c r="I407" s="1">
        <v>18</v>
      </c>
      <c r="J407" s="1">
        <v>5</v>
      </c>
      <c r="K407" s="1">
        <v>62</v>
      </c>
      <c r="L407" s="5">
        <f ca="1">K407-(ROUNDDOWN((($G$1-C407)/365),1))</f>
        <v>56.5</v>
      </c>
    </row>
    <row r="408" spans="1:12" x14ac:dyDescent="0.25">
      <c r="A408" s="2">
        <f ca="1">RANK(L408,$L$6:$L$475,0)</f>
        <v>403</v>
      </c>
      <c r="B408" s="1" t="s">
        <v>190</v>
      </c>
      <c r="C408" s="18">
        <v>44591</v>
      </c>
      <c r="D408" s="1" t="s">
        <v>69</v>
      </c>
      <c r="E408" s="1" t="s">
        <v>22</v>
      </c>
      <c r="F408" s="1">
        <v>24</v>
      </c>
      <c r="G408" s="1">
        <v>18</v>
      </c>
      <c r="H408" s="1">
        <v>4</v>
      </c>
      <c r="I408" s="1">
        <v>8</v>
      </c>
      <c r="J408" s="1">
        <v>7</v>
      </c>
      <c r="K408" s="1">
        <v>61</v>
      </c>
      <c r="L408" s="5">
        <f ca="1">K408-(ROUNDDOWN((($G$1-C408)/365),1))</f>
        <v>56.4</v>
      </c>
    </row>
    <row r="409" spans="1:12" x14ac:dyDescent="0.25">
      <c r="A409" s="2">
        <f ca="1">RANK(L409,$L$6:$L$475,0)</f>
        <v>404</v>
      </c>
      <c r="B409" s="29" t="s">
        <v>92</v>
      </c>
      <c r="C409" s="18">
        <v>44213</v>
      </c>
      <c r="D409" s="1" t="s">
        <v>68</v>
      </c>
      <c r="E409" s="1" t="s">
        <v>17</v>
      </c>
      <c r="F409" s="1">
        <v>26</v>
      </c>
      <c r="G409" s="1">
        <v>16</v>
      </c>
      <c r="H409" s="1">
        <v>4</v>
      </c>
      <c r="I409" s="1">
        <v>11</v>
      </c>
      <c r="J409" s="1">
        <v>5</v>
      </c>
      <c r="K409" s="1">
        <v>62</v>
      </c>
      <c r="L409" s="5">
        <f ca="1">K409-(ROUNDDOWN((($G$1-C409)/365),1))</f>
        <v>56.3</v>
      </c>
    </row>
    <row r="410" spans="1:12" x14ac:dyDescent="0.25">
      <c r="A410" s="2">
        <f ca="1">RANK(L410,$L$6:$L$475,0)</f>
        <v>404</v>
      </c>
      <c r="B410" s="1" t="s">
        <v>94</v>
      </c>
      <c r="C410" s="18">
        <v>44577</v>
      </c>
      <c r="D410" s="1" t="s">
        <v>71</v>
      </c>
      <c r="E410" s="1" t="s">
        <v>22</v>
      </c>
      <c r="F410" s="1">
        <v>23</v>
      </c>
      <c r="G410" s="1">
        <v>13</v>
      </c>
      <c r="H410" s="1">
        <v>5</v>
      </c>
      <c r="I410" s="1">
        <v>14</v>
      </c>
      <c r="J410" s="1">
        <v>6</v>
      </c>
      <c r="K410" s="1">
        <v>61</v>
      </c>
      <c r="L410" s="5">
        <f ca="1">K410-(ROUNDDOWN((($G$1-C410)/365),1))</f>
        <v>56.3</v>
      </c>
    </row>
    <row r="411" spans="1:12" x14ac:dyDescent="0.25">
      <c r="A411" s="2">
        <f ca="1">RANK(L411,$L$6:$L$475,0)</f>
        <v>406</v>
      </c>
      <c r="B411" s="1" t="s">
        <v>395</v>
      </c>
      <c r="C411" s="18">
        <v>45641</v>
      </c>
      <c r="D411" s="1" t="s">
        <v>309</v>
      </c>
      <c r="E411" s="1" t="s">
        <v>40</v>
      </c>
      <c r="F411" s="1">
        <v>26</v>
      </c>
      <c r="G411" s="1">
        <v>16</v>
      </c>
      <c r="H411" s="1">
        <v>4</v>
      </c>
      <c r="I411" s="1">
        <v>8</v>
      </c>
      <c r="J411" s="1">
        <v>4</v>
      </c>
      <c r="K411" s="1">
        <v>58</v>
      </c>
      <c r="L411" s="5">
        <f ca="1">K411-(ROUNDDOWN((($G$1-C411)/365),1))</f>
        <v>56.2</v>
      </c>
    </row>
    <row r="412" spans="1:12" x14ac:dyDescent="0.25">
      <c r="A412" s="2">
        <f ca="1">RANK(L412,$L$6:$L$475,0)</f>
        <v>407</v>
      </c>
      <c r="B412" s="29" t="s">
        <v>50</v>
      </c>
      <c r="C412" s="18">
        <v>45220</v>
      </c>
      <c r="D412" s="1" t="s">
        <v>149</v>
      </c>
      <c r="E412" s="1" t="s">
        <v>22</v>
      </c>
      <c r="F412" s="1">
        <v>25</v>
      </c>
      <c r="G412" s="1">
        <v>13</v>
      </c>
      <c r="H412" s="1">
        <v>4</v>
      </c>
      <c r="I412" s="1">
        <v>12</v>
      </c>
      <c r="J412" s="1">
        <v>5</v>
      </c>
      <c r="K412" s="1">
        <v>59</v>
      </c>
      <c r="L412" s="5">
        <f ca="1">K412-(ROUNDDOWN((($G$1-C412)/365),1))</f>
        <v>56.1</v>
      </c>
    </row>
    <row r="413" spans="1:12" x14ac:dyDescent="0.25">
      <c r="A413" s="2">
        <f ca="1">RANK(L413,$L$6:$L$475,0)</f>
        <v>408</v>
      </c>
      <c r="B413" s="1" t="s">
        <v>161</v>
      </c>
      <c r="C413" s="18">
        <v>44465</v>
      </c>
      <c r="D413" s="1" t="s">
        <v>68</v>
      </c>
      <c r="E413" s="1" t="s">
        <v>17</v>
      </c>
      <c r="F413" s="1">
        <v>23</v>
      </c>
      <c r="G413" s="1">
        <v>17</v>
      </c>
      <c r="H413" s="1">
        <v>4</v>
      </c>
      <c r="I413" s="1">
        <v>12</v>
      </c>
      <c r="J413" s="1">
        <v>5</v>
      </c>
      <c r="K413" s="1">
        <v>61</v>
      </c>
      <c r="L413" s="5">
        <f ca="1">K413-(ROUNDDOWN((($G$1-C413)/365),1))</f>
        <v>56</v>
      </c>
    </row>
    <row r="414" spans="1:12" x14ac:dyDescent="0.25">
      <c r="A414" s="2">
        <f ca="1">RANK(L414,$L$6:$L$475,0)</f>
        <v>409</v>
      </c>
      <c r="B414" s="1" t="s">
        <v>23</v>
      </c>
      <c r="C414" s="18">
        <v>44409</v>
      </c>
      <c r="D414" s="1" t="s">
        <v>69</v>
      </c>
      <c r="E414" s="1" t="s">
        <v>22</v>
      </c>
      <c r="F414" s="1">
        <v>26</v>
      </c>
      <c r="G414" s="1">
        <v>12</v>
      </c>
      <c r="H414" s="1">
        <v>5</v>
      </c>
      <c r="I414" s="1">
        <v>12</v>
      </c>
      <c r="J414" s="1">
        <v>6</v>
      </c>
      <c r="K414" s="1">
        <v>61</v>
      </c>
      <c r="L414" s="5">
        <f ca="1">K414-(ROUNDDOWN((($G$1-C414)/365),1))</f>
        <v>55.9</v>
      </c>
    </row>
    <row r="415" spans="1:12" x14ac:dyDescent="0.25">
      <c r="A415" s="2">
        <f ca="1">RANK(L415,$L$6:$L$475,0)</f>
        <v>410</v>
      </c>
      <c r="B415" s="1" t="s">
        <v>442</v>
      </c>
      <c r="C415" s="18">
        <v>45844</v>
      </c>
      <c r="D415" s="1" t="s">
        <v>74</v>
      </c>
      <c r="E415" s="1" t="s">
        <v>40</v>
      </c>
      <c r="F415" s="1">
        <v>25</v>
      </c>
      <c r="G415" s="1">
        <v>15</v>
      </c>
      <c r="H415" s="1">
        <v>3</v>
      </c>
      <c r="I415" s="1">
        <v>10</v>
      </c>
      <c r="J415" s="1">
        <v>4</v>
      </c>
      <c r="K415" s="1">
        <v>57</v>
      </c>
      <c r="L415" s="5">
        <f ca="1">K415-(ROUNDDOWN((($G$1-C415)/365),1))</f>
        <v>55.8</v>
      </c>
    </row>
    <row r="416" spans="1:12" x14ac:dyDescent="0.25">
      <c r="A416" s="2">
        <f ca="1">RANK(L416,$L$6:$L$475,0)</f>
        <v>411</v>
      </c>
      <c r="B416" s="1" t="s">
        <v>428</v>
      </c>
      <c r="C416" s="18">
        <v>45781</v>
      </c>
      <c r="D416" s="1" t="s">
        <v>308</v>
      </c>
      <c r="E416" s="1" t="s">
        <v>40</v>
      </c>
      <c r="F416" s="1">
        <v>23</v>
      </c>
      <c r="G416" s="1">
        <v>18</v>
      </c>
      <c r="H416" s="1">
        <v>3</v>
      </c>
      <c r="I416" s="1">
        <v>9</v>
      </c>
      <c r="J416" s="1">
        <v>4</v>
      </c>
      <c r="K416" s="1">
        <v>57</v>
      </c>
      <c r="L416" s="5">
        <f ca="1">K416-(ROUNDDOWN((($G$1-C416)/365),1))</f>
        <v>55.6</v>
      </c>
    </row>
    <row r="417" spans="1:12" x14ac:dyDescent="0.25">
      <c r="A417" s="2">
        <f ca="1">RANK(L417,$L$6:$L$475,0)</f>
        <v>411</v>
      </c>
      <c r="B417" s="29" t="s">
        <v>342</v>
      </c>
      <c r="C417" s="18">
        <v>45396</v>
      </c>
      <c r="D417" s="1" t="s">
        <v>75</v>
      </c>
      <c r="E417" s="1" t="s">
        <v>22</v>
      </c>
      <c r="F417" s="1">
        <v>26</v>
      </c>
      <c r="G417" s="1">
        <v>14</v>
      </c>
      <c r="H417" s="1">
        <v>4</v>
      </c>
      <c r="I417" s="1">
        <v>8</v>
      </c>
      <c r="J417" s="1">
        <v>6</v>
      </c>
      <c r="K417" s="1">
        <v>58</v>
      </c>
      <c r="L417" s="5">
        <f ca="1">K417-(ROUNDDOWN((($G$1-C417)/365),1))</f>
        <v>55.6</v>
      </c>
    </row>
    <row r="418" spans="1:12" x14ac:dyDescent="0.25">
      <c r="A418" s="2">
        <f ca="1">RANK(L418,$L$6:$L$475,0)</f>
        <v>413</v>
      </c>
      <c r="B418" s="1" t="s">
        <v>57</v>
      </c>
      <c r="C418" s="18">
        <v>45011</v>
      </c>
      <c r="D418" s="1" t="s">
        <v>68</v>
      </c>
      <c r="E418" s="1" t="s">
        <v>17</v>
      </c>
      <c r="F418" s="1">
        <v>24</v>
      </c>
      <c r="G418" s="1">
        <v>15</v>
      </c>
      <c r="H418" s="1">
        <v>4</v>
      </c>
      <c r="I418" s="1">
        <v>10</v>
      </c>
      <c r="J418" s="1">
        <v>6</v>
      </c>
      <c r="K418" s="1">
        <v>59</v>
      </c>
      <c r="L418" s="5">
        <f ca="1">K418-(ROUNDDOWN((($G$1-C418)/365),1))</f>
        <v>55.5</v>
      </c>
    </row>
    <row r="419" spans="1:12" x14ac:dyDescent="0.25">
      <c r="A419" s="2">
        <f ca="1">RANK(L419,$L$6:$L$475,0)</f>
        <v>414</v>
      </c>
      <c r="B419" s="1" t="s">
        <v>405</v>
      </c>
      <c r="C419" s="18">
        <v>45676</v>
      </c>
      <c r="D419" s="1" t="s">
        <v>149</v>
      </c>
      <c r="E419" s="1" t="s">
        <v>22</v>
      </c>
      <c r="F419" s="1">
        <v>25</v>
      </c>
      <c r="G419" s="1">
        <v>15</v>
      </c>
      <c r="H419" s="1">
        <v>3</v>
      </c>
      <c r="I419" s="1">
        <v>10</v>
      </c>
      <c r="J419" s="1">
        <v>4</v>
      </c>
      <c r="K419" s="1">
        <v>57</v>
      </c>
      <c r="L419" s="5">
        <f ca="1">K419-(ROUNDDOWN((($G$1-C419)/365),1))</f>
        <v>55.3</v>
      </c>
    </row>
    <row r="420" spans="1:12" x14ac:dyDescent="0.25">
      <c r="A420" s="2">
        <f ca="1">RANK(L420,$L$6:$L$475,0)</f>
        <v>415</v>
      </c>
      <c r="B420" s="1" t="s">
        <v>182</v>
      </c>
      <c r="C420" s="18">
        <v>44535</v>
      </c>
      <c r="D420" s="1" t="s">
        <v>69</v>
      </c>
      <c r="E420" s="1" t="s">
        <v>22</v>
      </c>
      <c r="F420" s="1">
        <v>26</v>
      </c>
      <c r="G420" s="1">
        <v>16</v>
      </c>
      <c r="H420" s="1">
        <v>2</v>
      </c>
      <c r="I420" s="1">
        <v>11</v>
      </c>
      <c r="J420" s="1">
        <v>5</v>
      </c>
      <c r="K420" s="1">
        <v>60</v>
      </c>
      <c r="L420" s="5">
        <f ca="1">K420-(ROUNDDOWN((($G$1-C420)/365),1))</f>
        <v>55.2</v>
      </c>
    </row>
    <row r="421" spans="1:12" x14ac:dyDescent="0.25">
      <c r="A421" s="2">
        <f ca="1">RANK(L421,$L$6:$L$475,0)</f>
        <v>416</v>
      </c>
      <c r="B421" s="1" t="s">
        <v>246</v>
      </c>
      <c r="C421" s="18">
        <v>44843</v>
      </c>
      <c r="D421" s="1" t="s">
        <v>67</v>
      </c>
      <c r="E421" s="1" t="s">
        <v>17</v>
      </c>
      <c r="F421" s="1">
        <v>24</v>
      </c>
      <c r="G421" s="1">
        <v>14</v>
      </c>
      <c r="H421" s="1">
        <v>5</v>
      </c>
      <c r="I421" s="1">
        <v>10</v>
      </c>
      <c r="J421" s="1">
        <v>6</v>
      </c>
      <c r="K421" s="1">
        <v>59</v>
      </c>
      <c r="L421" s="5">
        <f ca="1">K421-(ROUNDDOWN((($G$1-C421)/365),1))</f>
        <v>55.1</v>
      </c>
    </row>
    <row r="422" spans="1:12" x14ac:dyDescent="0.25">
      <c r="A422" s="2">
        <f ca="1">RANK(L422,$L$6:$L$475,0)</f>
        <v>417</v>
      </c>
      <c r="B422" s="1" t="s">
        <v>52</v>
      </c>
      <c r="C422" s="18">
        <v>44451</v>
      </c>
      <c r="D422" s="1" t="s">
        <v>71</v>
      </c>
      <c r="E422" s="1" t="s">
        <v>22</v>
      </c>
      <c r="F422" s="1">
        <v>25</v>
      </c>
      <c r="G422" s="1">
        <v>16</v>
      </c>
      <c r="H422" s="1">
        <v>4</v>
      </c>
      <c r="I422" s="1">
        <v>10</v>
      </c>
      <c r="J422" s="1">
        <v>5</v>
      </c>
      <c r="K422" s="1">
        <v>60</v>
      </c>
      <c r="L422" s="5">
        <f ca="1">K422-(ROUNDDOWN((($G$1-C422)/365),1))</f>
        <v>55</v>
      </c>
    </row>
    <row r="423" spans="1:12" x14ac:dyDescent="0.25">
      <c r="A423" s="2">
        <f ca="1">RANK(L423,$L$6:$L$475,0)</f>
        <v>417</v>
      </c>
      <c r="B423" s="1" t="s">
        <v>157</v>
      </c>
      <c r="C423" s="18">
        <v>44451</v>
      </c>
      <c r="D423" s="1" t="s">
        <v>71</v>
      </c>
      <c r="E423" s="1" t="s">
        <v>22</v>
      </c>
      <c r="F423" s="1">
        <v>23</v>
      </c>
      <c r="G423" s="1">
        <v>16</v>
      </c>
      <c r="H423" s="1">
        <v>4</v>
      </c>
      <c r="I423" s="1">
        <v>12</v>
      </c>
      <c r="J423" s="1">
        <v>5</v>
      </c>
      <c r="K423" s="1">
        <v>60</v>
      </c>
      <c r="L423" s="5">
        <f ca="1">K423-(ROUNDDOWN((($G$1-C423)/365),1))</f>
        <v>55</v>
      </c>
    </row>
    <row r="424" spans="1:12" x14ac:dyDescent="0.25">
      <c r="A424" s="2">
        <f ca="1">RANK(L424,$L$6:$L$475,0)</f>
        <v>419</v>
      </c>
      <c r="B424" s="1" t="s">
        <v>32</v>
      </c>
      <c r="C424" s="18">
        <v>44423</v>
      </c>
      <c r="D424" s="1" t="s">
        <v>68</v>
      </c>
      <c r="E424" s="1" t="s">
        <v>33</v>
      </c>
      <c r="F424" s="1">
        <v>21</v>
      </c>
      <c r="G424" s="1">
        <v>16</v>
      </c>
      <c r="H424" s="1">
        <v>6</v>
      </c>
      <c r="I424" s="1">
        <v>13</v>
      </c>
      <c r="J424" s="1">
        <v>4</v>
      </c>
      <c r="K424" s="1">
        <v>60</v>
      </c>
      <c r="L424" s="5">
        <f ca="1">K424-(ROUNDDOWN((($G$1-C424)/365),1))</f>
        <v>54.9</v>
      </c>
    </row>
    <row r="425" spans="1:12" x14ac:dyDescent="0.25">
      <c r="A425" s="2">
        <f ca="1">RANK(L425,$L$6:$L$475,0)</f>
        <v>420</v>
      </c>
      <c r="B425" s="29" t="s">
        <v>521</v>
      </c>
      <c r="C425" s="18">
        <v>46222</v>
      </c>
      <c r="D425" s="1" t="s">
        <v>67</v>
      </c>
      <c r="E425" s="1" t="s">
        <v>17</v>
      </c>
      <c r="F425" s="1">
        <v>25</v>
      </c>
      <c r="G425" s="1">
        <v>15</v>
      </c>
      <c r="H425" s="1">
        <v>3</v>
      </c>
      <c r="I425" s="1">
        <v>8</v>
      </c>
      <c r="J425" s="1">
        <v>4</v>
      </c>
      <c r="K425" s="1">
        <v>55</v>
      </c>
      <c r="L425" s="5">
        <f ca="1">K425-(ROUNDDOWN((($G$1-C425)/365),1))</f>
        <v>54.8</v>
      </c>
    </row>
    <row r="426" spans="1:12" x14ac:dyDescent="0.25">
      <c r="A426" s="2">
        <f ca="1">RANK(L426,$L$6:$L$475,0)</f>
        <v>420</v>
      </c>
      <c r="B426" s="1" t="s">
        <v>291</v>
      </c>
      <c r="C426" s="18">
        <v>45102</v>
      </c>
      <c r="D426" s="1" t="s">
        <v>236</v>
      </c>
      <c r="E426" s="1" t="s">
        <v>22</v>
      </c>
      <c r="F426" s="1">
        <v>22</v>
      </c>
      <c r="G426" s="1">
        <v>17</v>
      </c>
      <c r="H426" s="1">
        <v>3</v>
      </c>
      <c r="I426" s="1">
        <v>11</v>
      </c>
      <c r="J426" s="1">
        <v>5</v>
      </c>
      <c r="K426" s="1">
        <v>58</v>
      </c>
      <c r="L426" s="5">
        <f ca="1">K426-(ROUNDDOWN((($G$1-C426)/365),1))</f>
        <v>54.8</v>
      </c>
    </row>
    <row r="427" spans="1:12" x14ac:dyDescent="0.25">
      <c r="A427" s="2">
        <f ca="1">RANK(L427,$L$6:$L$475,0)</f>
        <v>422</v>
      </c>
      <c r="B427" s="1" t="s">
        <v>344</v>
      </c>
      <c r="C427" s="18">
        <v>45417</v>
      </c>
      <c r="D427" s="1" t="s">
        <v>74</v>
      </c>
      <c r="E427" s="1" t="s">
        <v>40</v>
      </c>
      <c r="F427" s="1">
        <v>22</v>
      </c>
      <c r="G427" s="1">
        <v>17</v>
      </c>
      <c r="H427" s="1">
        <v>4</v>
      </c>
      <c r="I427" s="1">
        <v>9</v>
      </c>
      <c r="J427" s="1">
        <v>5</v>
      </c>
      <c r="K427" s="1">
        <v>57</v>
      </c>
      <c r="L427" s="5">
        <f ca="1">K427-(ROUNDDOWN((($G$1-C427)/365),1))</f>
        <v>54.6</v>
      </c>
    </row>
    <row r="428" spans="1:12" x14ac:dyDescent="0.25">
      <c r="A428" s="2">
        <f ca="1">RANK(L428,$L$6:$L$475,0)</f>
        <v>423</v>
      </c>
      <c r="B428" s="1" t="s">
        <v>201</v>
      </c>
      <c r="C428" s="18">
        <v>44640</v>
      </c>
      <c r="D428" s="1" t="s">
        <v>66</v>
      </c>
      <c r="E428" s="1" t="s">
        <v>33</v>
      </c>
      <c r="F428" s="1">
        <v>24</v>
      </c>
      <c r="G428" s="1">
        <v>15</v>
      </c>
      <c r="H428" s="1">
        <v>5</v>
      </c>
      <c r="I428" s="1">
        <v>10</v>
      </c>
      <c r="J428" s="1">
        <v>5</v>
      </c>
      <c r="K428" s="1">
        <v>59</v>
      </c>
      <c r="L428" s="5">
        <f ca="1">K428-(ROUNDDOWN((($G$1-C428)/365),1))</f>
        <v>54.5</v>
      </c>
    </row>
    <row r="429" spans="1:12" x14ac:dyDescent="0.25">
      <c r="A429" s="2">
        <f ca="1">RANK(L429,$L$6:$L$475,0)</f>
        <v>423</v>
      </c>
      <c r="B429" s="1" t="s">
        <v>418</v>
      </c>
      <c r="C429" s="18">
        <v>45732</v>
      </c>
      <c r="D429" s="1" t="s">
        <v>72</v>
      </c>
      <c r="E429" s="1" t="s">
        <v>17</v>
      </c>
      <c r="F429" s="1">
        <v>25</v>
      </c>
      <c r="G429" s="1">
        <v>18</v>
      </c>
      <c r="H429" s="1">
        <v>1</v>
      </c>
      <c r="I429" s="1">
        <v>8</v>
      </c>
      <c r="J429" s="1">
        <v>4</v>
      </c>
      <c r="K429" s="1">
        <v>56</v>
      </c>
      <c r="L429" s="5">
        <f ca="1">K429-(ROUNDDOWN((($G$1-C429)/365),1))</f>
        <v>54.5</v>
      </c>
    </row>
    <row r="430" spans="1:12" x14ac:dyDescent="0.25">
      <c r="A430" s="2">
        <f ca="1">RANK(L430,$L$6:$L$475,0)</f>
        <v>423</v>
      </c>
      <c r="B430" s="1" t="s">
        <v>199</v>
      </c>
      <c r="C430" s="18">
        <v>44626</v>
      </c>
      <c r="D430" s="1" t="s">
        <v>69</v>
      </c>
      <c r="E430" s="1" t="s">
        <v>17</v>
      </c>
      <c r="F430" s="1">
        <v>24</v>
      </c>
      <c r="G430" s="1">
        <v>14</v>
      </c>
      <c r="H430" s="1">
        <v>5</v>
      </c>
      <c r="I430" s="1">
        <v>11</v>
      </c>
      <c r="J430" s="1">
        <v>5</v>
      </c>
      <c r="K430" s="1">
        <v>59</v>
      </c>
      <c r="L430" s="5">
        <f ca="1">K430-(ROUNDDOWN((($G$1-C430)/365),1))</f>
        <v>54.5</v>
      </c>
    </row>
    <row r="431" spans="1:12" x14ac:dyDescent="0.25">
      <c r="A431" s="2">
        <f ca="1">RANK(L431,$L$6:$L$475,0)</f>
        <v>426</v>
      </c>
      <c r="B431" s="1" t="s">
        <v>166</v>
      </c>
      <c r="C431" s="18">
        <v>44479</v>
      </c>
      <c r="D431" s="1" t="s">
        <v>68</v>
      </c>
      <c r="E431" s="1" t="s">
        <v>22</v>
      </c>
      <c r="F431" s="1">
        <v>26</v>
      </c>
      <c r="G431" s="1">
        <v>13</v>
      </c>
      <c r="H431" s="1">
        <v>2</v>
      </c>
      <c r="I431" s="1">
        <v>14</v>
      </c>
      <c r="J431" s="1">
        <v>4</v>
      </c>
      <c r="K431" s="1">
        <v>59</v>
      </c>
      <c r="L431" s="5">
        <f ca="1">K431-(ROUNDDOWN((($G$1-C431)/365),1))</f>
        <v>54.1</v>
      </c>
    </row>
    <row r="432" spans="1:12" x14ac:dyDescent="0.25">
      <c r="A432" s="2">
        <f ca="1">RANK(L432,$L$6:$L$475,0)</f>
        <v>427</v>
      </c>
      <c r="B432" s="1" t="s">
        <v>46</v>
      </c>
      <c r="C432" s="18">
        <v>44451</v>
      </c>
      <c r="D432" s="1" t="s">
        <v>69</v>
      </c>
      <c r="E432" s="1" t="s">
        <v>22</v>
      </c>
      <c r="F432" s="1">
        <v>26</v>
      </c>
      <c r="G432" s="1">
        <v>14</v>
      </c>
      <c r="H432" s="1">
        <v>4</v>
      </c>
      <c r="I432" s="1">
        <v>10</v>
      </c>
      <c r="J432" s="1">
        <v>5</v>
      </c>
      <c r="K432" s="1">
        <v>59</v>
      </c>
      <c r="L432" s="5">
        <f ca="1">K432-(ROUNDDOWN((($G$1-C432)/365),1))</f>
        <v>54</v>
      </c>
    </row>
    <row r="433" spans="1:12" x14ac:dyDescent="0.25">
      <c r="A433" s="2">
        <f ca="1">RANK(L433,$L$6:$L$475,0)</f>
        <v>427</v>
      </c>
      <c r="B433" s="1" t="s">
        <v>48</v>
      </c>
      <c r="C433" s="18">
        <v>44451</v>
      </c>
      <c r="D433" s="1" t="s">
        <v>71</v>
      </c>
      <c r="E433" s="1" t="s">
        <v>20</v>
      </c>
      <c r="F433" s="1">
        <v>24</v>
      </c>
      <c r="G433" s="1">
        <v>14</v>
      </c>
      <c r="H433" s="1">
        <v>4</v>
      </c>
      <c r="I433" s="1">
        <v>11</v>
      </c>
      <c r="J433" s="1">
        <v>6</v>
      </c>
      <c r="K433" s="1">
        <v>59</v>
      </c>
      <c r="L433" s="5">
        <f ca="1">K433-(ROUNDDOWN((($G$1-C433)/365),1))</f>
        <v>54</v>
      </c>
    </row>
    <row r="434" spans="1:12" x14ac:dyDescent="0.25">
      <c r="A434" s="2">
        <f ca="1">RANK(L434,$L$6:$L$475,0)</f>
        <v>429</v>
      </c>
      <c r="B434" s="29" t="s">
        <v>138</v>
      </c>
      <c r="C434" s="18">
        <v>44402</v>
      </c>
      <c r="D434" s="1" t="s">
        <v>69</v>
      </c>
      <c r="E434" s="1" t="s">
        <v>22</v>
      </c>
      <c r="F434" s="1">
        <v>24</v>
      </c>
      <c r="G434" s="1">
        <v>16</v>
      </c>
      <c r="H434" s="1">
        <v>4</v>
      </c>
      <c r="I434" s="1">
        <v>10</v>
      </c>
      <c r="J434" s="1">
        <v>5</v>
      </c>
      <c r="K434" s="1">
        <v>59</v>
      </c>
      <c r="L434" s="5">
        <f ca="1">K434-(ROUNDDOWN((($G$1-C434)/365),1))</f>
        <v>53.9</v>
      </c>
    </row>
    <row r="435" spans="1:12" x14ac:dyDescent="0.25">
      <c r="A435" s="2">
        <f ca="1">RANK(L435,$L$6:$L$475,0)</f>
        <v>430</v>
      </c>
      <c r="B435" s="1" t="s">
        <v>468</v>
      </c>
      <c r="C435" s="18">
        <v>45816</v>
      </c>
      <c r="D435" s="1" t="s">
        <v>469</v>
      </c>
      <c r="E435" s="1" t="s">
        <v>22</v>
      </c>
      <c r="F435" s="1">
        <v>25</v>
      </c>
      <c r="G435" s="1">
        <v>15</v>
      </c>
      <c r="H435" s="1">
        <v>4</v>
      </c>
      <c r="I435" s="1">
        <v>8</v>
      </c>
      <c r="J435" s="1">
        <v>3</v>
      </c>
      <c r="K435" s="1">
        <v>55</v>
      </c>
      <c r="L435" s="5">
        <f ca="1">K435-(ROUNDDOWN((($G$1-C435)/365),1))</f>
        <v>53.7</v>
      </c>
    </row>
    <row r="436" spans="1:12" x14ac:dyDescent="0.25">
      <c r="A436" s="2">
        <f ca="1">RANK(L436,$L$6:$L$475,0)</f>
        <v>430</v>
      </c>
      <c r="B436" s="1" t="s">
        <v>114</v>
      </c>
      <c r="C436" s="18">
        <v>44703</v>
      </c>
      <c r="D436" s="1" t="s">
        <v>72</v>
      </c>
      <c r="E436" s="1" t="s">
        <v>17</v>
      </c>
      <c r="F436" s="1">
        <v>23</v>
      </c>
      <c r="G436" s="1">
        <v>18</v>
      </c>
      <c r="H436" s="1">
        <v>4</v>
      </c>
      <c r="I436" s="1">
        <v>8</v>
      </c>
      <c r="J436" s="1">
        <v>5</v>
      </c>
      <c r="K436" s="1">
        <v>58</v>
      </c>
      <c r="L436" s="5">
        <f ca="1">K436-(ROUNDDOWN((($G$1-C436)/365),1))</f>
        <v>53.7</v>
      </c>
    </row>
    <row r="437" spans="1:12" x14ac:dyDescent="0.25">
      <c r="A437" s="2">
        <f ca="1">RANK(L437,$L$6:$L$475,0)</f>
        <v>432</v>
      </c>
      <c r="B437" s="1" t="s">
        <v>123</v>
      </c>
      <c r="C437" s="18">
        <v>45011</v>
      </c>
      <c r="D437" s="1" t="s">
        <v>69</v>
      </c>
      <c r="E437" s="1" t="s">
        <v>17</v>
      </c>
      <c r="F437" s="1">
        <v>25</v>
      </c>
      <c r="G437" s="1">
        <v>13</v>
      </c>
      <c r="H437" s="1">
        <v>4</v>
      </c>
      <c r="I437" s="1">
        <v>7</v>
      </c>
      <c r="J437" s="1">
        <v>8</v>
      </c>
      <c r="K437" s="1">
        <v>57</v>
      </c>
      <c r="L437" s="5">
        <f ca="1">K437-(ROUNDDOWN((($G$1-C437)/365),1))</f>
        <v>53.5</v>
      </c>
    </row>
    <row r="438" spans="1:12" x14ac:dyDescent="0.25">
      <c r="A438" s="2">
        <f ca="1">RANK(L438,$L$6:$L$475,0)</f>
        <v>433</v>
      </c>
      <c r="B438" s="29" t="s">
        <v>331</v>
      </c>
      <c r="C438" s="18">
        <v>45340</v>
      </c>
      <c r="D438" s="1" t="s">
        <v>72</v>
      </c>
      <c r="E438" s="1" t="s">
        <v>22</v>
      </c>
      <c r="F438" s="1">
        <v>22</v>
      </c>
      <c r="G438" s="1">
        <v>17</v>
      </c>
      <c r="H438" s="1">
        <v>2</v>
      </c>
      <c r="I438" s="1">
        <v>9</v>
      </c>
      <c r="J438" s="1">
        <v>6</v>
      </c>
      <c r="K438" s="1">
        <v>56</v>
      </c>
      <c r="L438" s="5">
        <f ca="1">K438-(ROUNDDOWN((($G$1-C438)/365),1))</f>
        <v>53.4</v>
      </c>
    </row>
    <row r="439" spans="1:12" x14ac:dyDescent="0.25">
      <c r="A439" s="2">
        <f ca="1">RANK(L439,$L$6:$L$475,0)</f>
        <v>434</v>
      </c>
      <c r="B439" s="1" t="s">
        <v>84</v>
      </c>
      <c r="C439" s="18">
        <v>44577</v>
      </c>
      <c r="D439" s="1" t="s">
        <v>68</v>
      </c>
      <c r="E439" s="1" t="s">
        <v>40</v>
      </c>
      <c r="F439" s="1">
        <v>22</v>
      </c>
      <c r="G439" s="1">
        <v>14</v>
      </c>
      <c r="H439" s="1">
        <v>4</v>
      </c>
      <c r="I439" s="1">
        <v>12</v>
      </c>
      <c r="J439" s="1">
        <v>6</v>
      </c>
      <c r="K439" s="1">
        <v>58</v>
      </c>
      <c r="L439" s="5">
        <f ca="1">K439-(ROUNDDOWN((($G$1-C439)/365),1))</f>
        <v>53.3</v>
      </c>
    </row>
    <row r="440" spans="1:12" x14ac:dyDescent="0.25">
      <c r="A440" s="2">
        <f ca="1">RANK(L440,$L$6:$L$475,0)</f>
        <v>435</v>
      </c>
      <c r="B440" s="1" t="s">
        <v>244</v>
      </c>
      <c r="C440" s="18">
        <v>44843</v>
      </c>
      <c r="D440" s="1" t="s">
        <v>66</v>
      </c>
      <c r="E440" s="1" t="s">
        <v>40</v>
      </c>
      <c r="F440" s="1">
        <v>22</v>
      </c>
      <c r="G440" s="1">
        <v>17</v>
      </c>
      <c r="H440" s="1">
        <v>4</v>
      </c>
      <c r="I440" s="1">
        <v>10</v>
      </c>
      <c r="J440" s="1">
        <v>4</v>
      </c>
      <c r="K440" s="1">
        <v>57</v>
      </c>
      <c r="L440" s="5">
        <f ca="1">K440-(ROUNDDOWN((($G$1-C440)/365),1))</f>
        <v>53.1</v>
      </c>
    </row>
    <row r="441" spans="1:12" x14ac:dyDescent="0.25">
      <c r="A441" s="2">
        <f ca="1">RANK(L441,$L$6:$L$475,0)</f>
        <v>436</v>
      </c>
      <c r="B441" s="1" t="s">
        <v>53</v>
      </c>
      <c r="C441" s="18">
        <v>44451</v>
      </c>
      <c r="D441" s="1" t="s">
        <v>69</v>
      </c>
      <c r="E441" s="1" t="s">
        <v>17</v>
      </c>
      <c r="F441" s="1">
        <v>23</v>
      </c>
      <c r="G441" s="1">
        <v>16</v>
      </c>
      <c r="H441" s="1">
        <v>3</v>
      </c>
      <c r="I441" s="1">
        <v>11</v>
      </c>
      <c r="J441" s="1">
        <v>5</v>
      </c>
      <c r="K441" s="1">
        <v>58</v>
      </c>
      <c r="L441" s="5">
        <f ca="1">K441-(ROUNDDOWN((($G$1-C441)/365),1))</f>
        <v>53</v>
      </c>
    </row>
    <row r="442" spans="1:12" x14ac:dyDescent="0.25">
      <c r="A442" s="2">
        <f ca="1">RANK(L442,$L$6:$L$475,0)</f>
        <v>437</v>
      </c>
      <c r="B442" s="1" t="s">
        <v>274</v>
      </c>
      <c r="C442" s="18">
        <v>45025</v>
      </c>
      <c r="D442" s="1" t="s">
        <v>149</v>
      </c>
      <c r="E442" s="1" t="s">
        <v>40</v>
      </c>
      <c r="F442" s="1">
        <v>22</v>
      </c>
      <c r="G442" s="1">
        <v>14</v>
      </c>
      <c r="H442" s="1">
        <v>4</v>
      </c>
      <c r="I442" s="1">
        <v>11</v>
      </c>
      <c r="J442" s="1">
        <v>5</v>
      </c>
      <c r="K442" s="1">
        <v>56</v>
      </c>
      <c r="L442" s="5">
        <f ca="1">K442-(ROUNDDOWN((($G$1-C442)/365),1))</f>
        <v>52.6</v>
      </c>
    </row>
    <row r="443" spans="1:12" x14ac:dyDescent="0.25">
      <c r="A443" s="2">
        <f ca="1">RANK(L443,$L$6:$L$475,0)</f>
        <v>438</v>
      </c>
      <c r="B443" s="29" t="s">
        <v>257</v>
      </c>
      <c r="C443" s="18">
        <v>44913</v>
      </c>
      <c r="D443" s="1" t="s">
        <v>69</v>
      </c>
      <c r="E443" s="1" t="s">
        <v>22</v>
      </c>
      <c r="F443" s="1">
        <v>20</v>
      </c>
      <c r="G443" s="1">
        <v>14</v>
      </c>
      <c r="H443" s="1">
        <v>5</v>
      </c>
      <c r="I443" s="1">
        <v>11</v>
      </c>
      <c r="J443" s="1">
        <v>6</v>
      </c>
      <c r="K443" s="1">
        <v>56</v>
      </c>
      <c r="L443" s="5">
        <f ca="1">K443-(ROUNDDOWN((($G$1-C443)/365),1))</f>
        <v>52.3</v>
      </c>
    </row>
    <row r="444" spans="1:12" x14ac:dyDescent="0.25">
      <c r="A444" s="2">
        <f ca="1">RANK(L444,$L$6:$L$475,0)</f>
        <v>439</v>
      </c>
      <c r="B444" s="1" t="s">
        <v>207</v>
      </c>
      <c r="C444" s="18">
        <v>45220</v>
      </c>
      <c r="D444" s="1" t="s">
        <v>308</v>
      </c>
      <c r="E444" s="1" t="s">
        <v>17</v>
      </c>
      <c r="F444" s="1">
        <v>23</v>
      </c>
      <c r="G444" s="1">
        <v>17</v>
      </c>
      <c r="H444" s="1">
        <v>1</v>
      </c>
      <c r="I444" s="1">
        <v>9</v>
      </c>
      <c r="J444" s="1">
        <v>5</v>
      </c>
      <c r="K444" s="1">
        <v>55</v>
      </c>
      <c r="L444" s="5">
        <f ca="1">K444-(ROUNDDOWN((($G$1-C444)/365),1))</f>
        <v>52.1</v>
      </c>
    </row>
    <row r="445" spans="1:12" x14ac:dyDescent="0.25">
      <c r="A445" s="2">
        <f ca="1">RANK(L445,$L$6:$L$475,0)</f>
        <v>440</v>
      </c>
      <c r="B445" s="1" t="s">
        <v>433</v>
      </c>
      <c r="C445" s="18">
        <v>45802</v>
      </c>
      <c r="D445" s="1" t="s">
        <v>262</v>
      </c>
      <c r="E445" s="1" t="s">
        <v>22</v>
      </c>
      <c r="F445" s="1">
        <v>22</v>
      </c>
      <c r="G445" s="1">
        <v>15</v>
      </c>
      <c r="H445" s="1">
        <v>3</v>
      </c>
      <c r="I445" s="1">
        <v>8</v>
      </c>
      <c r="J445" s="1">
        <v>5</v>
      </c>
      <c r="K445" s="1">
        <v>53</v>
      </c>
      <c r="L445" s="5">
        <f ca="1">K445-(ROUNDDOWN((($G$1-C445)/365),1))</f>
        <v>51.7</v>
      </c>
    </row>
    <row r="446" spans="1:12" x14ac:dyDescent="0.25">
      <c r="A446" s="2">
        <f ca="1">RANK(L446,$L$6:$L$475,0)</f>
        <v>441</v>
      </c>
      <c r="B446" s="1" t="s">
        <v>93</v>
      </c>
      <c r="C446" s="18">
        <v>44217</v>
      </c>
      <c r="D446" s="1" t="s">
        <v>71</v>
      </c>
      <c r="E446" s="1" t="s">
        <v>22</v>
      </c>
      <c r="F446" s="1">
        <v>24</v>
      </c>
      <c r="G446" s="1">
        <v>13</v>
      </c>
      <c r="H446" s="1">
        <v>4</v>
      </c>
      <c r="I446" s="1">
        <v>12</v>
      </c>
      <c r="J446" s="1">
        <v>4</v>
      </c>
      <c r="K446" s="1">
        <v>57</v>
      </c>
      <c r="L446" s="5">
        <f ca="1">K446-(ROUNDDOWN((($G$1-C446)/365),1))</f>
        <v>51.3</v>
      </c>
    </row>
    <row r="447" spans="1:12" x14ac:dyDescent="0.25">
      <c r="A447" s="2">
        <f ca="1">RANK(L447,$L$6:$L$475,0)</f>
        <v>442</v>
      </c>
      <c r="B447" s="29" t="s">
        <v>383</v>
      </c>
      <c r="C447" s="18">
        <v>45585</v>
      </c>
      <c r="D447" s="1" t="s">
        <v>66</v>
      </c>
      <c r="E447" s="1" t="s">
        <v>17</v>
      </c>
      <c r="F447" s="1">
        <v>21</v>
      </c>
      <c r="G447" s="1">
        <v>14</v>
      </c>
      <c r="H447" s="1">
        <v>2</v>
      </c>
      <c r="I447" s="1">
        <v>12</v>
      </c>
      <c r="J447" s="1">
        <v>4</v>
      </c>
      <c r="K447" s="1">
        <v>53</v>
      </c>
      <c r="L447" s="5">
        <f ca="1">K447-(ROUNDDOWN((($G$1-C447)/365),1))</f>
        <v>51.1</v>
      </c>
    </row>
    <row r="448" spans="1:12" x14ac:dyDescent="0.25">
      <c r="A448" s="2">
        <f ca="1">RANK(L448,$L$6:$L$475,0)</f>
        <v>443</v>
      </c>
      <c r="B448" s="1" t="s">
        <v>34</v>
      </c>
      <c r="C448" s="18">
        <v>44423</v>
      </c>
      <c r="D448" s="1" t="s">
        <v>71</v>
      </c>
      <c r="E448" s="1" t="s">
        <v>22</v>
      </c>
      <c r="F448" s="1">
        <v>24</v>
      </c>
      <c r="G448" s="1">
        <v>14</v>
      </c>
      <c r="H448" s="1">
        <v>5</v>
      </c>
      <c r="I448" s="1">
        <v>8</v>
      </c>
      <c r="J448" s="1">
        <v>5</v>
      </c>
      <c r="K448" s="1">
        <v>56</v>
      </c>
      <c r="L448" s="5">
        <f ca="1">K448-(ROUNDDOWN((($G$1-C448)/365),1))</f>
        <v>50.9</v>
      </c>
    </row>
    <row r="449" spans="1:12" x14ac:dyDescent="0.25">
      <c r="A449" s="2">
        <f ca="1">RANK(L449,$L$6:$L$475,0)</f>
        <v>443</v>
      </c>
      <c r="B449" s="1" t="s">
        <v>25</v>
      </c>
      <c r="C449" s="18">
        <v>44409</v>
      </c>
      <c r="D449" s="1" t="s">
        <v>69</v>
      </c>
      <c r="E449" s="1" t="s">
        <v>22</v>
      </c>
      <c r="F449" s="1">
        <v>24</v>
      </c>
      <c r="G449" s="1">
        <v>12</v>
      </c>
      <c r="H449" s="1">
        <v>5</v>
      </c>
      <c r="I449" s="1">
        <v>10</v>
      </c>
      <c r="J449" s="1">
        <v>5</v>
      </c>
      <c r="K449" s="1">
        <v>56</v>
      </c>
      <c r="L449" s="5">
        <f ca="1">K449-(ROUNDDOWN((($G$1-C449)/365),1))</f>
        <v>50.9</v>
      </c>
    </row>
    <row r="450" spans="1:12" x14ac:dyDescent="0.25">
      <c r="A450" s="2">
        <f ca="1">RANK(L450,$L$6:$L$475,0)</f>
        <v>445</v>
      </c>
      <c r="B450" s="1" t="s">
        <v>135</v>
      </c>
      <c r="C450" s="18">
        <v>44367</v>
      </c>
      <c r="D450" s="1" t="s">
        <v>68</v>
      </c>
      <c r="E450" s="1" t="s">
        <v>22</v>
      </c>
      <c r="F450" s="1">
        <v>24</v>
      </c>
      <c r="G450" s="1">
        <v>14</v>
      </c>
      <c r="H450" s="1">
        <v>3</v>
      </c>
      <c r="I450" s="1">
        <v>10</v>
      </c>
      <c r="J450" s="1">
        <v>5</v>
      </c>
      <c r="K450" s="1">
        <v>56</v>
      </c>
      <c r="L450" s="5">
        <f ca="1">K450-(ROUNDDOWN((($G$1-C450)/365),1))</f>
        <v>50.8</v>
      </c>
    </row>
    <row r="451" spans="1:12" x14ac:dyDescent="0.25">
      <c r="A451" s="2">
        <f ca="1">RANK(L451,$L$6:$L$475,0)</f>
        <v>446</v>
      </c>
      <c r="B451" s="1" t="s">
        <v>100</v>
      </c>
      <c r="C451" s="18">
        <v>44703</v>
      </c>
      <c r="D451" s="1" t="s">
        <v>69</v>
      </c>
      <c r="E451" s="1" t="s">
        <v>22</v>
      </c>
      <c r="F451" s="1">
        <v>26</v>
      </c>
      <c r="G451" s="1">
        <v>14</v>
      </c>
      <c r="H451" s="1">
        <v>5</v>
      </c>
      <c r="I451" s="1">
        <v>7</v>
      </c>
      <c r="J451" s="1">
        <v>3</v>
      </c>
      <c r="K451" s="1">
        <v>55</v>
      </c>
      <c r="L451" s="5">
        <f ca="1">K451-(ROUNDDOWN((($G$1-C451)/365),1))</f>
        <v>50.7</v>
      </c>
    </row>
    <row r="452" spans="1:12" x14ac:dyDescent="0.25">
      <c r="A452" s="2">
        <f ca="1">RANK(L452,$L$6:$L$475,0)</f>
        <v>447</v>
      </c>
      <c r="B452" s="1" t="s">
        <v>198</v>
      </c>
      <c r="C452" s="18">
        <v>44626</v>
      </c>
      <c r="D452" s="1" t="s">
        <v>71</v>
      </c>
      <c r="E452" s="1" t="s">
        <v>22</v>
      </c>
      <c r="F452" s="1">
        <v>23</v>
      </c>
      <c r="G452" s="1">
        <v>13</v>
      </c>
      <c r="H452" s="1">
        <v>4</v>
      </c>
      <c r="I452" s="1">
        <v>11</v>
      </c>
      <c r="J452" s="1">
        <v>4</v>
      </c>
      <c r="K452" s="1">
        <v>55</v>
      </c>
      <c r="L452" s="5">
        <f ca="1">K452-(ROUNDDOWN((($G$1-C452)/365),1))</f>
        <v>50.5</v>
      </c>
    </row>
    <row r="453" spans="1:12" x14ac:dyDescent="0.25">
      <c r="A453" s="2">
        <f ca="1">RANK(L453,$L$6:$L$475,0)</f>
        <v>448</v>
      </c>
      <c r="B453" s="1" t="s">
        <v>263</v>
      </c>
      <c r="C453" s="18">
        <v>44934</v>
      </c>
      <c r="D453" s="1" t="s">
        <v>262</v>
      </c>
      <c r="E453" s="1" t="s">
        <v>22</v>
      </c>
      <c r="F453" s="1">
        <v>21</v>
      </c>
      <c r="G453" s="1">
        <v>18</v>
      </c>
      <c r="H453" s="1">
        <v>3</v>
      </c>
      <c r="I453" s="1">
        <v>8</v>
      </c>
      <c r="J453" s="1">
        <v>4</v>
      </c>
      <c r="K453" s="1">
        <v>54</v>
      </c>
      <c r="L453" s="5">
        <f ca="1">K453-(ROUNDDOWN((($G$1-C453)/365),1))</f>
        <v>50.3</v>
      </c>
    </row>
    <row r="454" spans="1:12" x14ac:dyDescent="0.25">
      <c r="A454" s="2">
        <f ca="1">RANK(L454,$L$6:$L$475,0)</f>
        <v>449</v>
      </c>
      <c r="B454" s="1" t="s">
        <v>170</v>
      </c>
      <c r="C454" s="18">
        <v>44493</v>
      </c>
      <c r="D454" s="1" t="s">
        <v>154</v>
      </c>
      <c r="E454" s="1" t="s">
        <v>22</v>
      </c>
      <c r="F454" s="1">
        <v>23</v>
      </c>
      <c r="G454" s="1">
        <v>13</v>
      </c>
      <c r="H454" s="1">
        <v>4</v>
      </c>
      <c r="I454" s="1">
        <v>11</v>
      </c>
      <c r="J454" s="1">
        <v>4</v>
      </c>
      <c r="K454" s="1">
        <v>55</v>
      </c>
      <c r="L454" s="5">
        <f ca="1">K454-(ROUNDDOWN((($G$1-C454)/365),1))</f>
        <v>50.1</v>
      </c>
    </row>
    <row r="455" spans="1:12" x14ac:dyDescent="0.25">
      <c r="A455" s="2">
        <f ca="1">RANK(L455,$L$6:$L$475,0)</f>
        <v>449</v>
      </c>
      <c r="B455" s="1" t="s">
        <v>305</v>
      </c>
      <c r="C455" s="18">
        <v>45207</v>
      </c>
      <c r="D455" s="1" t="s">
        <v>154</v>
      </c>
      <c r="E455" s="1" t="s">
        <v>40</v>
      </c>
      <c r="F455" s="1">
        <v>22</v>
      </c>
      <c r="G455" s="1">
        <v>15</v>
      </c>
      <c r="H455" s="1">
        <v>4</v>
      </c>
      <c r="I455" s="1">
        <v>8</v>
      </c>
      <c r="J455" s="1">
        <v>4</v>
      </c>
      <c r="K455" s="1">
        <v>53</v>
      </c>
      <c r="L455" s="5">
        <f ca="1">K455-(ROUNDDOWN((($G$1-C455)/365),1))</f>
        <v>50.1</v>
      </c>
    </row>
    <row r="456" spans="1:12" x14ac:dyDescent="0.25">
      <c r="A456" s="2">
        <f ca="1">RANK(L456,$L$6:$L$475,0)</f>
        <v>451</v>
      </c>
      <c r="B456" s="1" t="s">
        <v>150</v>
      </c>
      <c r="C456" s="18">
        <v>44437</v>
      </c>
      <c r="D456" s="1" t="s">
        <v>72</v>
      </c>
      <c r="E456" s="1" t="s">
        <v>22</v>
      </c>
      <c r="F456" s="1">
        <v>23</v>
      </c>
      <c r="G456" s="1">
        <v>14</v>
      </c>
      <c r="H456" s="1">
        <v>4</v>
      </c>
      <c r="I456" s="1">
        <v>9</v>
      </c>
      <c r="J456" s="1">
        <v>5</v>
      </c>
      <c r="K456" s="1">
        <v>55</v>
      </c>
      <c r="L456" s="5">
        <f ca="1">K456-(ROUNDDOWN((($G$1-C456)/365),1))</f>
        <v>49.9</v>
      </c>
    </row>
    <row r="457" spans="1:12" x14ac:dyDescent="0.25">
      <c r="A457" s="2">
        <f ca="1">RANK(L457,$L$6:$L$475,0)</f>
        <v>452</v>
      </c>
      <c r="B457" s="1" t="s">
        <v>351</v>
      </c>
      <c r="C457" s="18">
        <v>45459</v>
      </c>
      <c r="D457" s="1" t="s">
        <v>149</v>
      </c>
      <c r="E457" s="1" t="s">
        <v>22</v>
      </c>
      <c r="F457" s="1">
        <v>22</v>
      </c>
      <c r="G457" s="1">
        <v>16</v>
      </c>
      <c r="H457" s="1">
        <v>2</v>
      </c>
      <c r="I457" s="1">
        <v>9</v>
      </c>
      <c r="J457" s="1">
        <v>3</v>
      </c>
      <c r="K457" s="1">
        <v>52</v>
      </c>
      <c r="L457" s="5">
        <f ca="1">K457-(ROUNDDOWN((($G$1-C457)/365),1))</f>
        <v>49.7</v>
      </c>
    </row>
    <row r="458" spans="1:12" x14ac:dyDescent="0.25">
      <c r="A458" s="2">
        <f ca="1">RANK(L458,$L$6:$L$475,0)</f>
        <v>453</v>
      </c>
      <c r="B458" s="1" t="s">
        <v>427</v>
      </c>
      <c r="C458" s="18">
        <v>45781</v>
      </c>
      <c r="D458" s="1" t="s">
        <v>74</v>
      </c>
      <c r="E458" s="1" t="s">
        <v>17</v>
      </c>
      <c r="F458" s="1">
        <v>18</v>
      </c>
      <c r="G458" s="1">
        <v>15</v>
      </c>
      <c r="H458" s="1">
        <v>3</v>
      </c>
      <c r="I458" s="1">
        <v>10</v>
      </c>
      <c r="J458" s="1">
        <v>5</v>
      </c>
      <c r="K458" s="1">
        <v>51</v>
      </c>
      <c r="L458" s="5">
        <f ca="1">K458-(ROUNDDOWN((($G$1-C458)/365),1))</f>
        <v>49.6</v>
      </c>
    </row>
    <row r="459" spans="1:12" x14ac:dyDescent="0.25">
      <c r="A459" s="2">
        <f ca="1">RANK(L459,$L$6:$L$475,0)</f>
        <v>454</v>
      </c>
      <c r="B459" s="29" t="s">
        <v>475</v>
      </c>
      <c r="C459" s="18">
        <v>45998</v>
      </c>
      <c r="D459" s="1" t="s">
        <v>75</v>
      </c>
      <c r="E459" s="1" t="s">
        <v>17</v>
      </c>
      <c r="F459" s="1">
        <v>19</v>
      </c>
      <c r="G459" s="1">
        <v>14</v>
      </c>
      <c r="H459" s="1">
        <v>3</v>
      </c>
      <c r="I459" s="1">
        <v>10</v>
      </c>
      <c r="J459" s="1">
        <v>4</v>
      </c>
      <c r="K459" s="1">
        <v>50</v>
      </c>
      <c r="L459" s="5">
        <f ca="1">K459-(ROUNDDOWN((($G$1-C459)/365),1))</f>
        <v>49.2</v>
      </c>
    </row>
    <row r="460" spans="1:12" x14ac:dyDescent="0.25">
      <c r="A460" s="2">
        <f ca="1">RANK(L460,$L$6:$L$475,0)</f>
        <v>455</v>
      </c>
      <c r="B460" s="1" t="s">
        <v>24</v>
      </c>
      <c r="C460" s="18">
        <v>44409</v>
      </c>
      <c r="D460" s="1" t="s">
        <v>69</v>
      </c>
      <c r="E460" s="1" t="s">
        <v>22</v>
      </c>
      <c r="F460" s="1">
        <v>22</v>
      </c>
      <c r="G460" s="1">
        <v>12</v>
      </c>
      <c r="H460" s="1">
        <v>5</v>
      </c>
      <c r="I460" s="1">
        <v>10</v>
      </c>
      <c r="J460" s="1">
        <v>5</v>
      </c>
      <c r="K460" s="1">
        <v>54</v>
      </c>
      <c r="L460" s="5">
        <f ca="1">K460-(ROUNDDOWN((($G$1-C460)/365),1))</f>
        <v>48.9</v>
      </c>
    </row>
    <row r="461" spans="1:12" x14ac:dyDescent="0.25">
      <c r="A461" s="2">
        <f ca="1">RANK(L461,$L$6:$L$475,0)</f>
        <v>456</v>
      </c>
      <c r="B461" s="1" t="s">
        <v>62</v>
      </c>
      <c r="C461" s="18">
        <v>44577</v>
      </c>
      <c r="D461" s="1" t="s">
        <v>75</v>
      </c>
      <c r="E461" s="1" t="s">
        <v>22</v>
      </c>
      <c r="F461" s="1">
        <v>23</v>
      </c>
      <c r="G461" s="1">
        <v>13</v>
      </c>
      <c r="H461" s="1">
        <v>5</v>
      </c>
      <c r="I461" s="1">
        <v>7</v>
      </c>
      <c r="J461" s="1">
        <v>4</v>
      </c>
      <c r="K461" s="1">
        <v>52</v>
      </c>
      <c r="L461" s="5">
        <f ca="1">K461-(ROUNDDOWN((($G$1-C461)/365),1))</f>
        <v>47.3</v>
      </c>
    </row>
    <row r="462" spans="1:12" x14ac:dyDescent="0.25">
      <c r="A462" s="2">
        <f ca="1">RANK(L462,$L$6:$L$475,0)</f>
        <v>457</v>
      </c>
      <c r="B462" s="1" t="s">
        <v>39</v>
      </c>
      <c r="C462" s="18">
        <v>44423</v>
      </c>
      <c r="D462" s="1" t="s">
        <v>71</v>
      </c>
      <c r="E462" s="1" t="s">
        <v>40</v>
      </c>
      <c r="F462" s="1">
        <v>21</v>
      </c>
      <c r="G462" s="1">
        <v>15</v>
      </c>
      <c r="H462" s="1">
        <v>4</v>
      </c>
      <c r="I462" s="1">
        <v>9</v>
      </c>
      <c r="J462" s="1">
        <v>3</v>
      </c>
      <c r="K462" s="1">
        <v>52</v>
      </c>
      <c r="L462" s="5">
        <f ca="1">K462-(ROUNDDOWN((($G$1-C462)/365),1))</f>
        <v>46.9</v>
      </c>
    </row>
    <row r="463" spans="1:12" x14ac:dyDescent="0.25">
      <c r="A463" s="2">
        <f ca="1">RANK(L463,$L$6:$L$475,0)</f>
        <v>458</v>
      </c>
      <c r="B463" s="1" t="s">
        <v>243</v>
      </c>
      <c r="C463" s="18">
        <v>44843</v>
      </c>
      <c r="D463" s="1" t="s">
        <v>149</v>
      </c>
      <c r="E463" s="1" t="s">
        <v>22</v>
      </c>
      <c r="F463" s="1">
        <v>19</v>
      </c>
      <c r="G463" s="1">
        <v>13</v>
      </c>
      <c r="H463" s="1">
        <v>3</v>
      </c>
      <c r="I463" s="1">
        <v>9</v>
      </c>
      <c r="J463" s="1">
        <v>6</v>
      </c>
      <c r="K463" s="1">
        <v>50</v>
      </c>
      <c r="L463" s="5">
        <f ca="1">K463-(ROUNDDOWN((($G$1-C463)/365),1))</f>
        <v>46.1</v>
      </c>
    </row>
    <row r="464" spans="1:12" x14ac:dyDescent="0.25">
      <c r="A464" s="2">
        <f ca="1">RANK(L464,$L$6:$L$475,0)</f>
        <v>459</v>
      </c>
      <c r="B464" s="1" t="s">
        <v>240</v>
      </c>
      <c r="C464" s="18">
        <v>44843</v>
      </c>
      <c r="D464" s="1" t="s">
        <v>73</v>
      </c>
      <c r="E464" s="1" t="s">
        <v>40</v>
      </c>
      <c r="F464" s="1">
        <v>19</v>
      </c>
      <c r="G464" s="1">
        <v>14</v>
      </c>
      <c r="H464" s="1">
        <v>3</v>
      </c>
      <c r="I464" s="1">
        <v>9</v>
      </c>
      <c r="J464" s="1">
        <v>4</v>
      </c>
      <c r="K464" s="1">
        <v>49</v>
      </c>
      <c r="L464" s="5">
        <f ca="1">K464-(ROUNDDOWN((($G$1-C464)/365),1))</f>
        <v>45.1</v>
      </c>
    </row>
    <row r="465" spans="1:24" x14ac:dyDescent="0.25">
      <c r="A465" s="2">
        <f ca="1">RANK(L465,$L$6:$L$475,0)</f>
        <v>460</v>
      </c>
      <c r="B465" s="1" t="s">
        <v>35</v>
      </c>
      <c r="C465" s="18">
        <v>44423</v>
      </c>
      <c r="D465" s="1" t="s">
        <v>72</v>
      </c>
      <c r="E465" s="1" t="s">
        <v>22</v>
      </c>
      <c r="F465" s="1">
        <v>22</v>
      </c>
      <c r="G465" s="1">
        <v>11</v>
      </c>
      <c r="H465" s="1">
        <v>5</v>
      </c>
      <c r="I465" s="1">
        <v>7</v>
      </c>
      <c r="J465" s="1">
        <v>5</v>
      </c>
      <c r="K465" s="1">
        <v>50</v>
      </c>
      <c r="L465" s="5">
        <f ca="1">K465-(ROUNDDOWN((($G$1-C465)/365),1))</f>
        <v>44.9</v>
      </c>
    </row>
    <row r="466" spans="1:24" x14ac:dyDescent="0.25">
      <c r="A466" s="2">
        <f ca="1">RANK(L466,$L$6:$L$475,0)</f>
        <v>461</v>
      </c>
      <c r="B466" s="1" t="s">
        <v>99</v>
      </c>
      <c r="C466" s="18">
        <v>44577</v>
      </c>
      <c r="D466" s="1" t="s">
        <v>154</v>
      </c>
      <c r="E466" s="1" t="s">
        <v>22</v>
      </c>
      <c r="F466" s="1">
        <v>19</v>
      </c>
      <c r="G466" s="1">
        <v>13</v>
      </c>
      <c r="H466" s="1">
        <v>4</v>
      </c>
      <c r="I466" s="1">
        <v>9</v>
      </c>
      <c r="J466" s="1">
        <v>4</v>
      </c>
      <c r="K466" s="1">
        <v>49</v>
      </c>
      <c r="L466" s="5">
        <f ca="1">K466-(ROUNDDOWN((($G$1-C466)/365),1))</f>
        <v>44.3</v>
      </c>
    </row>
    <row r="467" spans="1:24" x14ac:dyDescent="0.25">
      <c r="A467" s="2">
        <f ca="1">RANK(L467,$L$6:$L$475,0)</f>
        <v>462</v>
      </c>
      <c r="B467" s="1" t="s">
        <v>283</v>
      </c>
      <c r="C467" s="18">
        <v>45067</v>
      </c>
      <c r="D467" s="1" t="s">
        <v>149</v>
      </c>
      <c r="E467" s="1" t="s">
        <v>22</v>
      </c>
      <c r="F467" s="1">
        <v>17</v>
      </c>
      <c r="G467" s="1">
        <v>14</v>
      </c>
      <c r="H467" s="1">
        <v>3</v>
      </c>
      <c r="I467" s="1">
        <v>9</v>
      </c>
      <c r="J467" s="1">
        <v>4</v>
      </c>
      <c r="K467" s="1">
        <f>SUM(F467:J467)</f>
        <v>47</v>
      </c>
      <c r="L467" s="5">
        <f ca="1">K467-(ROUNDDOWN((($G$1-C467)/365),1))</f>
        <v>43.7</v>
      </c>
    </row>
    <row r="468" spans="1:24" x14ac:dyDescent="0.25">
      <c r="A468" s="2">
        <f ca="1">RANK(L468,$L$6:$L$475,0)</f>
        <v>463</v>
      </c>
      <c r="B468" s="1" t="s">
        <v>242</v>
      </c>
      <c r="C468" s="18">
        <v>44843</v>
      </c>
      <c r="D468" s="1" t="s">
        <v>73</v>
      </c>
      <c r="E468" s="1" t="s">
        <v>22</v>
      </c>
      <c r="F468" s="1">
        <v>20</v>
      </c>
      <c r="G468" s="1">
        <v>14</v>
      </c>
      <c r="H468" s="1">
        <v>3</v>
      </c>
      <c r="I468" s="1">
        <v>7</v>
      </c>
      <c r="J468" s="1">
        <v>3</v>
      </c>
      <c r="K468" s="1">
        <v>47</v>
      </c>
      <c r="L468" s="5">
        <f ca="1">K468-(ROUNDDOWN((($G$1-C468)/365),1))</f>
        <v>43.1</v>
      </c>
    </row>
    <row r="469" spans="1:24" x14ac:dyDescent="0.25">
      <c r="A469" s="2">
        <f ca="1">RANK(L469,$L$6:$L$475,0)</f>
        <v>464</v>
      </c>
      <c r="B469" s="1" t="s">
        <v>61</v>
      </c>
      <c r="C469" s="18">
        <v>44577</v>
      </c>
      <c r="D469" s="1" t="s">
        <v>75</v>
      </c>
      <c r="E469" s="1" t="s">
        <v>17</v>
      </c>
      <c r="F469" s="1">
        <v>19</v>
      </c>
      <c r="G469" s="1">
        <v>13</v>
      </c>
      <c r="H469" s="1">
        <v>3</v>
      </c>
      <c r="I469" s="1">
        <v>7</v>
      </c>
      <c r="J469" s="1">
        <v>4</v>
      </c>
      <c r="K469" s="1">
        <v>46</v>
      </c>
      <c r="L469" s="5">
        <f ca="1">K469-(ROUNDDOWN((($G$1-C469)/365),1))</f>
        <v>41.3</v>
      </c>
    </row>
    <row r="470" spans="1:24" x14ac:dyDescent="0.25">
      <c r="A470" s="2">
        <f ca="1">RANK(L470,$L$6:$L$475,0)</f>
        <v>465</v>
      </c>
      <c r="B470" s="1" t="s">
        <v>241</v>
      </c>
      <c r="C470" s="18">
        <v>44843</v>
      </c>
      <c r="D470" s="1" t="s">
        <v>73</v>
      </c>
      <c r="E470" s="1" t="s">
        <v>17</v>
      </c>
      <c r="F470" s="1">
        <v>16</v>
      </c>
      <c r="G470" s="1">
        <v>14</v>
      </c>
      <c r="H470" s="1">
        <v>4</v>
      </c>
      <c r="I470" s="1">
        <v>7</v>
      </c>
      <c r="J470" s="1">
        <v>4</v>
      </c>
      <c r="K470" s="1">
        <v>45</v>
      </c>
      <c r="L470" s="5">
        <f ca="1">K470-(ROUNDDOWN((($G$1-C470)/365),1))</f>
        <v>41.1</v>
      </c>
    </row>
    <row r="471" spans="1:24" x14ac:dyDescent="0.25">
      <c r="A471" s="2">
        <f ca="1">RANK(L471,$L$6:$L$475,0)</f>
        <v>466</v>
      </c>
      <c r="B471" s="1" t="s">
        <v>26</v>
      </c>
      <c r="C471" s="18">
        <v>44409</v>
      </c>
      <c r="D471" s="1" t="s">
        <v>69</v>
      </c>
      <c r="E471" s="1" t="s">
        <v>17</v>
      </c>
      <c r="F471" s="1">
        <v>15</v>
      </c>
      <c r="G471" s="1">
        <v>12</v>
      </c>
      <c r="H471" s="1">
        <v>4</v>
      </c>
      <c r="I471" s="1">
        <v>10</v>
      </c>
      <c r="J471" s="1">
        <v>4</v>
      </c>
      <c r="K471" s="1">
        <v>45</v>
      </c>
      <c r="L471" s="5">
        <f ca="1">K471-(ROUNDDOWN((($G$1-C471)/365),1))</f>
        <v>39.9</v>
      </c>
    </row>
    <row r="472" spans="1:24" x14ac:dyDescent="0.25">
      <c r="A472" s="2">
        <f ca="1">RANK(L472,$L$6:$L$475,0)</f>
        <v>467</v>
      </c>
      <c r="B472" s="1" t="s">
        <v>304</v>
      </c>
      <c r="C472" s="18">
        <v>45207</v>
      </c>
      <c r="D472" s="1" t="s">
        <v>73</v>
      </c>
      <c r="E472" s="1" t="s">
        <v>40</v>
      </c>
      <c r="F472" s="1">
        <v>14</v>
      </c>
      <c r="G472" s="1">
        <v>13</v>
      </c>
      <c r="H472" s="1">
        <v>2</v>
      </c>
      <c r="I472" s="1">
        <v>9</v>
      </c>
      <c r="J472" s="1">
        <v>4</v>
      </c>
      <c r="K472" s="1">
        <v>42</v>
      </c>
      <c r="L472" s="5">
        <f ca="1">K472-(ROUNDDOWN((($G$1-C472)/365),1))</f>
        <v>39.1</v>
      </c>
    </row>
    <row r="473" spans="1:24" x14ac:dyDescent="0.25">
      <c r="A473" s="2">
        <f ca="1">RANK(L473,$L$6:$L$475,0)</f>
        <v>468</v>
      </c>
      <c r="B473" s="1" t="s">
        <v>63</v>
      </c>
      <c r="C473" s="18">
        <v>44577</v>
      </c>
      <c r="D473" s="1" t="s">
        <v>75</v>
      </c>
      <c r="E473" s="1" t="s">
        <v>40</v>
      </c>
      <c r="F473" s="1">
        <v>17</v>
      </c>
      <c r="G473" s="1">
        <v>13</v>
      </c>
      <c r="H473" s="1">
        <v>3</v>
      </c>
      <c r="I473" s="1">
        <v>6</v>
      </c>
      <c r="J473" s="1">
        <v>4</v>
      </c>
      <c r="K473" s="1">
        <v>43</v>
      </c>
      <c r="L473" s="5">
        <f ca="1">K473-(ROUNDDOWN((($G$1-C473)/365),1))</f>
        <v>38.299999999999997</v>
      </c>
    </row>
    <row r="474" spans="1:24" x14ac:dyDescent="0.25">
      <c r="A474" s="2">
        <f ca="1">RANK(L474,$L$6:$L$475,0)</f>
        <v>469</v>
      </c>
      <c r="B474" s="1" t="s">
        <v>245</v>
      </c>
      <c r="C474" s="18">
        <v>44843</v>
      </c>
      <c r="D474" s="1" t="s">
        <v>75</v>
      </c>
      <c r="E474" s="1" t="s">
        <v>40</v>
      </c>
      <c r="F474" s="1">
        <v>14</v>
      </c>
      <c r="G474" s="1">
        <v>12</v>
      </c>
      <c r="H474" s="1">
        <v>3</v>
      </c>
      <c r="I474" s="1">
        <v>7</v>
      </c>
      <c r="J474" s="1">
        <v>2</v>
      </c>
      <c r="K474" s="1">
        <v>38</v>
      </c>
      <c r="L474" s="5">
        <f ca="1">K474-(ROUNDDOWN((($G$1-C474)/365),1))</f>
        <v>34.1</v>
      </c>
    </row>
    <row r="475" spans="1:24" ht="14.25" customHeight="1" x14ac:dyDescent="0.25">
      <c r="A475" s="2"/>
      <c r="B475" s="19" t="s">
        <v>44</v>
      </c>
      <c r="C475" s="19"/>
      <c r="D475" s="19"/>
      <c r="L475" s="3"/>
    </row>
    <row r="476" spans="1:24" x14ac:dyDescent="0.25">
      <c r="A476" s="2" t="s">
        <v>27</v>
      </c>
      <c r="B476" s="1" t="s">
        <v>28</v>
      </c>
      <c r="D476" s="1" t="s">
        <v>29</v>
      </c>
      <c r="E476" s="1" t="s">
        <v>29</v>
      </c>
      <c r="F476" s="4">
        <f>AVERAGE(F6:F475)</f>
        <v>27.004264392324092</v>
      </c>
      <c r="G476" s="4">
        <f>AVERAGE(G6:G475)</f>
        <v>17.938166311300641</v>
      </c>
      <c r="H476" s="4">
        <f>AVERAGE(H6:H475)</f>
        <v>5.6417910447761193</v>
      </c>
      <c r="I476" s="4">
        <f>AVERAGE(I6:I475)</f>
        <v>12.518123667377399</v>
      </c>
      <c r="J476" s="4">
        <f>AVERAGE(J6:J475)</f>
        <v>5.8656716417910451</v>
      </c>
      <c r="K476" s="4">
        <f>SUM(F476:J476)</f>
        <v>68.968017057569298</v>
      </c>
      <c r="L476" s="5">
        <f ca="1">AVERAGE(L6:L475)</f>
        <v>65.905330490405134</v>
      </c>
    </row>
    <row r="477" spans="1:24" x14ac:dyDescent="0.25">
      <c r="A477" s="39" t="s">
        <v>12</v>
      </c>
      <c r="B477" s="40"/>
      <c r="C477" s="40"/>
      <c r="D477" s="40"/>
      <c r="E477" s="40"/>
      <c r="F477" s="40"/>
      <c r="G477" s="40"/>
      <c r="H477" s="40"/>
      <c r="I477" s="40"/>
      <c r="J477" s="40"/>
      <c r="K477" s="40"/>
      <c r="L477" s="41"/>
      <c r="N477"/>
    </row>
    <row r="478" spans="1:24" s="14" customFormat="1" ht="30" x14ac:dyDescent="0.25">
      <c r="A478" s="10" t="s">
        <v>1</v>
      </c>
      <c r="B478" s="11" t="s">
        <v>0</v>
      </c>
      <c r="C478" s="11" t="s">
        <v>359</v>
      </c>
      <c r="D478" s="11" t="s">
        <v>65</v>
      </c>
      <c r="E478" s="11" t="s">
        <v>2</v>
      </c>
      <c r="F478" s="11" t="s">
        <v>3</v>
      </c>
      <c r="G478" s="11" t="s">
        <v>4</v>
      </c>
      <c r="H478" s="11" t="s">
        <v>5</v>
      </c>
      <c r="I478" s="11" t="s">
        <v>6</v>
      </c>
      <c r="J478" s="11" t="s">
        <v>7</v>
      </c>
      <c r="K478" s="21" t="s">
        <v>361</v>
      </c>
      <c r="L478" s="22" t="s">
        <v>360</v>
      </c>
      <c r="M478" s="11"/>
      <c r="O478" s="1"/>
      <c r="P478" s="1"/>
      <c r="Q478" s="1"/>
      <c r="R478" s="1"/>
      <c r="S478" s="1"/>
      <c r="T478" s="1"/>
      <c r="U478" s="1"/>
      <c r="V478" s="1"/>
      <c r="W478" s="4"/>
      <c r="X478"/>
    </row>
    <row r="479" spans="1:24" x14ac:dyDescent="0.25">
      <c r="A479" s="2">
        <f t="shared" ref="A479:A542" ca="1" si="0">RANK(L479,$L$479:$L$718,0)</f>
        <v>1</v>
      </c>
      <c r="B479" s="29" t="s">
        <v>297</v>
      </c>
      <c r="C479" s="18">
        <v>45144</v>
      </c>
      <c r="D479" s="1" t="s">
        <v>71</v>
      </c>
      <c r="E479" s="1" t="s">
        <v>22</v>
      </c>
      <c r="F479" s="1">
        <v>31</v>
      </c>
      <c r="G479" s="1">
        <v>21</v>
      </c>
      <c r="H479" s="1">
        <v>7</v>
      </c>
      <c r="I479" s="1">
        <v>18</v>
      </c>
      <c r="J479" s="1">
        <v>9</v>
      </c>
      <c r="K479" s="1">
        <v>86</v>
      </c>
      <c r="L479" s="5">
        <f t="shared" ref="L479:L542" ca="1" si="1">K479-(ROUNDDOWN((($G$1-C479)/365),1))</f>
        <v>82.9</v>
      </c>
    </row>
    <row r="480" spans="1:24" x14ac:dyDescent="0.25">
      <c r="A480" s="2">
        <f t="shared" ca="1" si="0"/>
        <v>2</v>
      </c>
      <c r="B480" s="29" t="s">
        <v>534</v>
      </c>
      <c r="C480" s="18">
        <v>46292</v>
      </c>
      <c r="D480" s="1" t="s">
        <v>378</v>
      </c>
      <c r="E480" s="1" t="s">
        <v>22</v>
      </c>
      <c r="F480" s="1">
        <v>30</v>
      </c>
      <c r="G480" s="1">
        <v>24</v>
      </c>
      <c r="H480" s="1">
        <v>7</v>
      </c>
      <c r="I480" s="1">
        <v>15</v>
      </c>
      <c r="J480" s="1">
        <v>6</v>
      </c>
      <c r="K480" s="1">
        <v>82</v>
      </c>
      <c r="L480" s="5">
        <f t="shared" ca="1" si="1"/>
        <v>82</v>
      </c>
    </row>
    <row r="481" spans="1:24" x14ac:dyDescent="0.25">
      <c r="A481" s="2">
        <f t="shared" ca="1" si="0"/>
        <v>3</v>
      </c>
      <c r="B481" s="29" t="s">
        <v>85</v>
      </c>
      <c r="C481" s="18">
        <v>44171</v>
      </c>
      <c r="D481" s="1" t="s">
        <v>69</v>
      </c>
      <c r="E481" s="1" t="s">
        <v>22</v>
      </c>
      <c r="F481" s="1">
        <v>32</v>
      </c>
      <c r="G481" s="1">
        <v>22</v>
      </c>
      <c r="H481" s="1">
        <v>9</v>
      </c>
      <c r="I481" s="1">
        <v>16</v>
      </c>
      <c r="J481" s="1">
        <v>8</v>
      </c>
      <c r="K481" s="1">
        <v>87</v>
      </c>
      <c r="L481" s="5">
        <f t="shared" ca="1" si="1"/>
        <v>81.2</v>
      </c>
    </row>
    <row r="482" spans="1:24" x14ac:dyDescent="0.25">
      <c r="A482" s="2">
        <f t="shared" ca="1" si="0"/>
        <v>3</v>
      </c>
      <c r="B482" s="29" t="s">
        <v>389</v>
      </c>
      <c r="C482" s="18">
        <v>45620</v>
      </c>
      <c r="D482" s="1" t="s">
        <v>378</v>
      </c>
      <c r="E482" s="1" t="s">
        <v>22</v>
      </c>
      <c r="F482" s="1">
        <v>31</v>
      </c>
      <c r="G482" s="1">
        <v>23</v>
      </c>
      <c r="H482" s="1">
        <v>7</v>
      </c>
      <c r="I482" s="1">
        <v>16</v>
      </c>
      <c r="J482" s="1">
        <v>6</v>
      </c>
      <c r="K482" s="1">
        <v>83</v>
      </c>
      <c r="L482" s="5">
        <f t="shared" ca="1" si="1"/>
        <v>81.2</v>
      </c>
    </row>
    <row r="483" spans="1:24" x14ac:dyDescent="0.25">
      <c r="A483" s="2">
        <f t="shared" ca="1" si="0"/>
        <v>5</v>
      </c>
      <c r="B483" s="1" t="s">
        <v>277</v>
      </c>
      <c r="C483" s="18">
        <v>45039</v>
      </c>
      <c r="D483" s="1" t="s">
        <v>73</v>
      </c>
      <c r="E483" s="1" t="s">
        <v>22</v>
      </c>
      <c r="F483" s="1">
        <v>31</v>
      </c>
      <c r="G483" s="1">
        <v>23</v>
      </c>
      <c r="H483" s="1">
        <v>8</v>
      </c>
      <c r="I483" s="1">
        <v>15</v>
      </c>
      <c r="J483" s="1">
        <v>7</v>
      </c>
      <c r="K483" s="1">
        <v>84</v>
      </c>
      <c r="L483" s="5">
        <f t="shared" ca="1" si="1"/>
        <v>80.599999999999994</v>
      </c>
    </row>
    <row r="484" spans="1:24" x14ac:dyDescent="0.25">
      <c r="A484" s="2">
        <f t="shared" ca="1" si="0"/>
        <v>6</v>
      </c>
      <c r="B484" s="29" t="s">
        <v>446</v>
      </c>
      <c r="C484" s="18">
        <v>45851</v>
      </c>
      <c r="D484" s="1" t="s">
        <v>377</v>
      </c>
      <c r="E484" s="1" t="s">
        <v>22</v>
      </c>
      <c r="F484" s="1">
        <v>32</v>
      </c>
      <c r="G484" s="1">
        <v>21</v>
      </c>
      <c r="H484" s="1">
        <v>8</v>
      </c>
      <c r="I484" s="1">
        <v>14</v>
      </c>
      <c r="J484" s="1">
        <v>6</v>
      </c>
      <c r="K484" s="1">
        <v>81</v>
      </c>
      <c r="L484" s="5">
        <f t="shared" ca="1" si="1"/>
        <v>79.8</v>
      </c>
    </row>
    <row r="485" spans="1:24" x14ac:dyDescent="0.25">
      <c r="A485" s="2">
        <f t="shared" ca="1" si="0"/>
        <v>6</v>
      </c>
      <c r="B485" s="29" t="s">
        <v>352</v>
      </c>
      <c r="C485" s="18">
        <v>45466</v>
      </c>
      <c r="D485" s="1" t="s">
        <v>154</v>
      </c>
      <c r="E485" s="1" t="s">
        <v>22</v>
      </c>
      <c r="F485" s="1">
        <v>31</v>
      </c>
      <c r="G485" s="1">
        <v>20</v>
      </c>
      <c r="H485" s="1">
        <v>9</v>
      </c>
      <c r="I485" s="1">
        <v>14</v>
      </c>
      <c r="J485" s="1">
        <v>8</v>
      </c>
      <c r="K485" s="1">
        <v>82</v>
      </c>
      <c r="L485" s="5">
        <f t="shared" ca="1" si="1"/>
        <v>79.8</v>
      </c>
    </row>
    <row r="486" spans="1:24" x14ac:dyDescent="0.25">
      <c r="A486" s="2">
        <f t="shared" ca="1" si="0"/>
        <v>8</v>
      </c>
      <c r="B486" s="29" t="s">
        <v>507</v>
      </c>
      <c r="C486" s="18">
        <v>46131</v>
      </c>
      <c r="D486" s="1" t="s">
        <v>266</v>
      </c>
      <c r="E486" s="1" t="s">
        <v>22</v>
      </c>
      <c r="F486" s="1">
        <v>31</v>
      </c>
      <c r="G486" s="1">
        <v>22</v>
      </c>
      <c r="H486" s="1">
        <v>8</v>
      </c>
      <c r="I486" s="1">
        <v>14</v>
      </c>
      <c r="J486" s="1">
        <v>5</v>
      </c>
      <c r="K486" s="1">
        <v>80</v>
      </c>
      <c r="L486" s="5">
        <f t="shared" ca="1" si="1"/>
        <v>79.599999999999994</v>
      </c>
      <c r="O486"/>
      <c r="P486"/>
      <c r="Q486"/>
      <c r="R486"/>
      <c r="S486"/>
      <c r="T486"/>
      <c r="U486"/>
      <c r="V486"/>
      <c r="W486"/>
    </row>
    <row r="487" spans="1:24" x14ac:dyDescent="0.25">
      <c r="A487" s="2">
        <f t="shared" ca="1" si="0"/>
        <v>9</v>
      </c>
      <c r="B487" s="29" t="s">
        <v>338</v>
      </c>
      <c r="C487" s="18">
        <v>45375</v>
      </c>
      <c r="D487" s="1" t="s">
        <v>149</v>
      </c>
      <c r="E487" s="1" t="s">
        <v>22</v>
      </c>
      <c r="F487" s="1">
        <v>31</v>
      </c>
      <c r="G487" s="1">
        <v>25</v>
      </c>
      <c r="H487" s="1">
        <v>8</v>
      </c>
      <c r="I487" s="1">
        <v>9</v>
      </c>
      <c r="J487" s="1">
        <v>9</v>
      </c>
      <c r="K487" s="1">
        <v>82</v>
      </c>
      <c r="L487" s="5">
        <f t="shared" ca="1" si="1"/>
        <v>79.5</v>
      </c>
      <c r="O487" s="14"/>
      <c r="P487" s="14"/>
      <c r="Q487" s="14"/>
      <c r="R487" s="14"/>
      <c r="S487" s="14"/>
      <c r="T487" s="14"/>
      <c r="U487" s="14"/>
      <c r="V487" s="14"/>
      <c r="W487" s="14"/>
      <c r="X487" s="14"/>
    </row>
    <row r="488" spans="1:24" x14ac:dyDescent="0.25">
      <c r="A488" s="2">
        <f t="shared" ca="1" si="0"/>
        <v>10</v>
      </c>
      <c r="B488" s="29" t="s">
        <v>108</v>
      </c>
      <c r="C488" s="18">
        <v>43889</v>
      </c>
      <c r="D488" s="1" t="s">
        <v>69</v>
      </c>
      <c r="E488" s="1" t="s">
        <v>22</v>
      </c>
      <c r="F488" s="1">
        <v>32</v>
      </c>
      <c r="G488" s="1">
        <v>24</v>
      </c>
      <c r="H488" s="1">
        <v>7</v>
      </c>
      <c r="I488" s="1">
        <v>15</v>
      </c>
      <c r="J488" s="1">
        <v>8</v>
      </c>
      <c r="K488" s="1">
        <v>86</v>
      </c>
      <c r="L488" s="5">
        <f t="shared" ca="1" si="1"/>
        <v>79.400000000000006</v>
      </c>
    </row>
    <row r="489" spans="1:24" x14ac:dyDescent="0.25">
      <c r="A489" s="2">
        <f t="shared" ca="1" si="0"/>
        <v>11</v>
      </c>
      <c r="B489" s="1" t="s">
        <v>482</v>
      </c>
      <c r="C489" s="18">
        <v>46033</v>
      </c>
      <c r="D489" s="1" t="s">
        <v>483</v>
      </c>
      <c r="E489" s="1" t="s">
        <v>22</v>
      </c>
      <c r="F489" s="1">
        <v>28</v>
      </c>
      <c r="G489" s="1">
        <v>24</v>
      </c>
      <c r="H489" s="1">
        <v>7</v>
      </c>
      <c r="I489" s="1">
        <v>15</v>
      </c>
      <c r="J489" s="1">
        <v>6</v>
      </c>
      <c r="K489" s="1">
        <v>80</v>
      </c>
      <c r="L489" s="5">
        <f t="shared" ca="1" si="1"/>
        <v>79.3</v>
      </c>
    </row>
    <row r="490" spans="1:24" x14ac:dyDescent="0.25">
      <c r="A490" s="2">
        <f t="shared" ca="1" si="0"/>
        <v>12</v>
      </c>
      <c r="B490" s="1" t="s">
        <v>392</v>
      </c>
      <c r="C490" s="18">
        <v>45641</v>
      </c>
      <c r="D490" s="1" t="s">
        <v>368</v>
      </c>
      <c r="E490" s="1" t="s">
        <v>22</v>
      </c>
      <c r="F490" s="1">
        <v>28</v>
      </c>
      <c r="G490" s="1">
        <v>24</v>
      </c>
      <c r="H490" s="1">
        <v>6</v>
      </c>
      <c r="I490" s="1">
        <v>15</v>
      </c>
      <c r="J490" s="1">
        <v>8</v>
      </c>
      <c r="K490" s="1">
        <v>81</v>
      </c>
      <c r="L490" s="5">
        <f t="shared" ca="1" si="1"/>
        <v>79.2</v>
      </c>
    </row>
    <row r="491" spans="1:24" x14ac:dyDescent="0.25">
      <c r="A491" s="2">
        <f t="shared" ca="1" si="0"/>
        <v>13</v>
      </c>
      <c r="B491" s="29" t="s">
        <v>239</v>
      </c>
      <c r="C491" s="18">
        <v>44836</v>
      </c>
      <c r="D491" s="1" t="s">
        <v>184</v>
      </c>
      <c r="E491" s="1" t="s">
        <v>22</v>
      </c>
      <c r="F491" s="1">
        <v>32</v>
      </c>
      <c r="G491" s="1">
        <v>20</v>
      </c>
      <c r="H491" s="1">
        <v>7</v>
      </c>
      <c r="I491" s="1">
        <v>17</v>
      </c>
      <c r="J491" s="1">
        <v>7</v>
      </c>
      <c r="K491" s="1">
        <v>83</v>
      </c>
      <c r="L491" s="5">
        <f t="shared" ca="1" si="1"/>
        <v>79</v>
      </c>
    </row>
    <row r="492" spans="1:24" x14ac:dyDescent="0.25">
      <c r="A492" s="2">
        <f t="shared" ca="1" si="0"/>
        <v>14</v>
      </c>
      <c r="B492" s="29" t="s">
        <v>452</v>
      </c>
      <c r="C492" s="18">
        <v>45879</v>
      </c>
      <c r="D492" s="1" t="s">
        <v>149</v>
      </c>
      <c r="E492" s="1" t="s">
        <v>22</v>
      </c>
      <c r="F492" s="1">
        <v>28</v>
      </c>
      <c r="G492" s="1">
        <v>24</v>
      </c>
      <c r="H492" s="1">
        <v>6</v>
      </c>
      <c r="I492" s="1">
        <v>17</v>
      </c>
      <c r="J492" s="1">
        <v>5</v>
      </c>
      <c r="K492" s="1">
        <v>80</v>
      </c>
      <c r="L492" s="5">
        <f t="shared" ca="1" si="1"/>
        <v>78.900000000000006</v>
      </c>
    </row>
    <row r="493" spans="1:24" x14ac:dyDescent="0.25">
      <c r="A493" s="2">
        <f t="shared" ca="1" si="0"/>
        <v>15</v>
      </c>
      <c r="B493" s="29" t="s">
        <v>514</v>
      </c>
      <c r="C493" s="18">
        <v>46180</v>
      </c>
      <c r="D493" s="1" t="s">
        <v>149</v>
      </c>
      <c r="E493" s="1" t="s">
        <v>22</v>
      </c>
      <c r="F493" s="1">
        <v>30</v>
      </c>
      <c r="G493" s="1">
        <v>22</v>
      </c>
      <c r="H493" s="1">
        <v>7</v>
      </c>
      <c r="I493" s="1">
        <v>10</v>
      </c>
      <c r="J493" s="1">
        <v>10</v>
      </c>
      <c r="K493" s="1">
        <v>79</v>
      </c>
      <c r="L493" s="5">
        <f t="shared" ca="1" si="1"/>
        <v>78.7</v>
      </c>
    </row>
    <row r="494" spans="1:24" x14ac:dyDescent="0.25">
      <c r="A494" s="2">
        <f t="shared" ca="1" si="0"/>
        <v>15</v>
      </c>
      <c r="B494" s="1" t="s">
        <v>125</v>
      </c>
      <c r="C494" s="18">
        <v>44344</v>
      </c>
      <c r="D494" s="1" t="s">
        <v>71</v>
      </c>
      <c r="E494" s="1" t="s">
        <v>22</v>
      </c>
      <c r="F494" s="1">
        <v>31</v>
      </c>
      <c r="G494" s="1">
        <v>21</v>
      </c>
      <c r="H494" s="1">
        <v>9</v>
      </c>
      <c r="I494" s="1">
        <v>15</v>
      </c>
      <c r="J494" s="1">
        <v>8</v>
      </c>
      <c r="K494" s="1">
        <v>84</v>
      </c>
      <c r="L494" s="5">
        <f t="shared" ca="1" si="1"/>
        <v>78.7</v>
      </c>
    </row>
    <row r="495" spans="1:24" x14ac:dyDescent="0.25">
      <c r="A495" s="2">
        <f t="shared" ca="1" si="0"/>
        <v>17</v>
      </c>
      <c r="B495" s="1" t="s">
        <v>413</v>
      </c>
      <c r="C495" s="18">
        <v>45718</v>
      </c>
      <c r="D495" s="1" t="s">
        <v>378</v>
      </c>
      <c r="E495" s="1" t="s">
        <v>22</v>
      </c>
      <c r="F495" s="1">
        <v>29</v>
      </c>
      <c r="G495" s="1">
        <v>23</v>
      </c>
      <c r="H495" s="1">
        <v>7</v>
      </c>
      <c r="I495" s="1">
        <v>15</v>
      </c>
      <c r="J495" s="1">
        <v>6</v>
      </c>
      <c r="K495" s="1">
        <v>80</v>
      </c>
      <c r="L495" s="5">
        <f t="shared" ca="1" si="1"/>
        <v>78.5</v>
      </c>
    </row>
    <row r="496" spans="1:24" x14ac:dyDescent="0.25">
      <c r="A496" s="2">
        <f t="shared" ca="1" si="0"/>
        <v>18</v>
      </c>
      <c r="B496" s="29" t="s">
        <v>384</v>
      </c>
      <c r="C496" s="18">
        <v>45606</v>
      </c>
      <c r="D496" s="1" t="s">
        <v>377</v>
      </c>
      <c r="E496" s="1" t="s">
        <v>22</v>
      </c>
      <c r="F496" s="1">
        <v>30</v>
      </c>
      <c r="G496" s="1">
        <v>21</v>
      </c>
      <c r="H496" s="1">
        <v>8</v>
      </c>
      <c r="I496" s="1">
        <v>15</v>
      </c>
      <c r="J496" s="1">
        <v>6</v>
      </c>
      <c r="K496" s="1">
        <v>80</v>
      </c>
      <c r="L496" s="5">
        <f t="shared" ca="1" si="1"/>
        <v>78.2</v>
      </c>
    </row>
    <row r="497" spans="1:12" x14ac:dyDescent="0.25">
      <c r="A497" s="2">
        <f t="shared" ca="1" si="0"/>
        <v>19</v>
      </c>
      <c r="B497" s="29" t="s">
        <v>346</v>
      </c>
      <c r="C497" s="18">
        <v>45424</v>
      </c>
      <c r="D497" s="1" t="s">
        <v>378</v>
      </c>
      <c r="E497" s="1" t="s">
        <v>22</v>
      </c>
      <c r="F497" s="1">
        <v>30</v>
      </c>
      <c r="G497" s="1">
        <v>23</v>
      </c>
      <c r="H497" s="1">
        <v>7</v>
      </c>
      <c r="I497" s="1">
        <v>15</v>
      </c>
      <c r="J497" s="1">
        <v>5</v>
      </c>
      <c r="K497" s="1">
        <v>80</v>
      </c>
      <c r="L497" s="5">
        <f t="shared" ca="1" si="1"/>
        <v>77.7</v>
      </c>
    </row>
    <row r="498" spans="1:12" x14ac:dyDescent="0.25">
      <c r="A498" s="2">
        <f t="shared" ca="1" si="0"/>
        <v>20</v>
      </c>
      <c r="B498" s="29" t="s">
        <v>255</v>
      </c>
      <c r="C498" s="18">
        <v>44899</v>
      </c>
      <c r="D498" s="1" t="s">
        <v>67</v>
      </c>
      <c r="E498" s="1" t="s">
        <v>22</v>
      </c>
      <c r="F498" s="1">
        <v>27</v>
      </c>
      <c r="G498" s="1">
        <v>20</v>
      </c>
      <c r="H498" s="1">
        <v>6</v>
      </c>
      <c r="I498" s="1">
        <v>18</v>
      </c>
      <c r="J498" s="1">
        <v>10</v>
      </c>
      <c r="K498" s="1">
        <v>81</v>
      </c>
      <c r="L498" s="5">
        <f t="shared" ca="1" si="1"/>
        <v>77.2</v>
      </c>
    </row>
    <row r="499" spans="1:12" x14ac:dyDescent="0.25">
      <c r="A499" s="2">
        <f t="shared" ca="1" si="0"/>
        <v>21</v>
      </c>
      <c r="B499" s="1" t="s">
        <v>380</v>
      </c>
      <c r="C499" s="18">
        <v>45578</v>
      </c>
      <c r="D499" s="1" t="s">
        <v>377</v>
      </c>
      <c r="E499" s="1" t="s">
        <v>22</v>
      </c>
      <c r="F499" s="1">
        <v>29</v>
      </c>
      <c r="G499" s="1">
        <v>25</v>
      </c>
      <c r="H499" s="1">
        <v>6</v>
      </c>
      <c r="I499" s="1">
        <v>14</v>
      </c>
      <c r="J499" s="1">
        <v>5</v>
      </c>
      <c r="K499" s="1">
        <v>79</v>
      </c>
      <c r="L499" s="5">
        <f t="shared" ca="1" si="1"/>
        <v>77.099999999999994</v>
      </c>
    </row>
    <row r="500" spans="1:12" x14ac:dyDescent="0.25">
      <c r="A500" s="2">
        <f t="shared" ca="1" si="0"/>
        <v>22</v>
      </c>
      <c r="B500" s="1" t="s">
        <v>375</v>
      </c>
      <c r="C500" s="18">
        <v>45557</v>
      </c>
      <c r="D500" s="1" t="s">
        <v>71</v>
      </c>
      <c r="E500" s="1" t="s">
        <v>22</v>
      </c>
      <c r="F500" s="1">
        <v>30</v>
      </c>
      <c r="G500" s="1">
        <v>19</v>
      </c>
      <c r="H500" s="1">
        <v>7</v>
      </c>
      <c r="I500" s="1">
        <v>16</v>
      </c>
      <c r="J500" s="1">
        <v>7</v>
      </c>
      <c r="K500" s="1">
        <v>79</v>
      </c>
      <c r="L500" s="5">
        <f t="shared" ca="1" si="1"/>
        <v>77</v>
      </c>
    </row>
    <row r="501" spans="1:12" x14ac:dyDescent="0.25">
      <c r="A501" s="2">
        <f t="shared" ca="1" si="0"/>
        <v>22</v>
      </c>
      <c r="B501" s="29" t="s">
        <v>366</v>
      </c>
      <c r="C501" s="18">
        <v>45536</v>
      </c>
      <c r="D501" s="1" t="s">
        <v>379</v>
      </c>
      <c r="E501" s="1" t="s">
        <v>22</v>
      </c>
      <c r="F501" s="1">
        <v>30</v>
      </c>
      <c r="G501" s="1">
        <v>23</v>
      </c>
      <c r="H501" s="1">
        <v>7</v>
      </c>
      <c r="I501" s="1">
        <v>14</v>
      </c>
      <c r="J501" s="1">
        <v>5</v>
      </c>
      <c r="K501" s="1">
        <v>79</v>
      </c>
      <c r="L501" s="5">
        <f t="shared" ca="1" si="1"/>
        <v>77</v>
      </c>
    </row>
    <row r="502" spans="1:12" x14ac:dyDescent="0.25">
      <c r="A502" s="2">
        <f t="shared" ca="1" si="0"/>
        <v>24</v>
      </c>
      <c r="B502" s="29" t="s">
        <v>436</v>
      </c>
      <c r="C502" s="18">
        <v>45809</v>
      </c>
      <c r="D502" s="1" t="s">
        <v>71</v>
      </c>
      <c r="E502" s="1" t="s">
        <v>22</v>
      </c>
      <c r="F502" s="1">
        <v>31</v>
      </c>
      <c r="G502" s="1">
        <v>21</v>
      </c>
      <c r="H502" s="1">
        <v>9</v>
      </c>
      <c r="I502" s="1">
        <v>11</v>
      </c>
      <c r="J502" s="1">
        <v>6</v>
      </c>
      <c r="K502" s="1">
        <v>78</v>
      </c>
      <c r="L502" s="5">
        <f t="shared" ca="1" si="1"/>
        <v>76.7</v>
      </c>
    </row>
    <row r="503" spans="1:12" x14ac:dyDescent="0.25">
      <c r="A503" s="2">
        <f t="shared" ca="1" si="0"/>
        <v>25</v>
      </c>
      <c r="B503" s="29" t="s">
        <v>272</v>
      </c>
      <c r="C503" s="18">
        <v>45004</v>
      </c>
      <c r="D503" s="1" t="s">
        <v>236</v>
      </c>
      <c r="E503" s="1" t="s">
        <v>22</v>
      </c>
      <c r="F503" s="1">
        <v>31</v>
      </c>
      <c r="G503" s="1">
        <v>19</v>
      </c>
      <c r="H503" s="1">
        <v>8</v>
      </c>
      <c r="I503" s="1">
        <v>14</v>
      </c>
      <c r="J503" s="1">
        <v>8</v>
      </c>
      <c r="K503" s="1">
        <v>80</v>
      </c>
      <c r="L503" s="5">
        <f t="shared" ca="1" si="1"/>
        <v>76.5</v>
      </c>
    </row>
    <row r="504" spans="1:12" x14ac:dyDescent="0.25">
      <c r="A504" s="2">
        <f t="shared" ca="1" si="0"/>
        <v>26</v>
      </c>
      <c r="B504" s="1" t="s">
        <v>321</v>
      </c>
      <c r="C504" s="18">
        <v>45291</v>
      </c>
      <c r="D504" s="1" t="s">
        <v>307</v>
      </c>
      <c r="E504" s="1" t="s">
        <v>22</v>
      </c>
      <c r="F504" s="1">
        <v>29</v>
      </c>
      <c r="G504" s="1">
        <v>22</v>
      </c>
      <c r="H504" s="1">
        <v>7</v>
      </c>
      <c r="I504" s="1">
        <v>15</v>
      </c>
      <c r="J504" s="1">
        <v>6</v>
      </c>
      <c r="K504" s="1">
        <v>79</v>
      </c>
      <c r="L504" s="5">
        <f t="shared" ca="1" si="1"/>
        <v>76.3</v>
      </c>
    </row>
    <row r="505" spans="1:12" x14ac:dyDescent="0.25">
      <c r="A505" s="2">
        <f t="shared" ca="1" si="0"/>
        <v>27</v>
      </c>
      <c r="B505" s="1" t="s">
        <v>385</v>
      </c>
      <c r="C505" s="18">
        <v>45613</v>
      </c>
      <c r="D505" s="1" t="s">
        <v>378</v>
      </c>
      <c r="E505" s="1" t="s">
        <v>22</v>
      </c>
      <c r="F505" s="1">
        <v>30</v>
      </c>
      <c r="G505" s="1">
        <v>22</v>
      </c>
      <c r="H505" s="1">
        <v>8</v>
      </c>
      <c r="I505" s="1">
        <v>12</v>
      </c>
      <c r="J505" s="1">
        <v>6</v>
      </c>
      <c r="K505" s="1">
        <v>78</v>
      </c>
      <c r="L505" s="5">
        <f t="shared" ca="1" si="1"/>
        <v>76.2</v>
      </c>
    </row>
    <row r="506" spans="1:12" x14ac:dyDescent="0.25">
      <c r="A506" s="2">
        <f t="shared" ca="1" si="0"/>
        <v>28</v>
      </c>
      <c r="B506" s="1" t="s">
        <v>194</v>
      </c>
      <c r="C506" s="18">
        <v>45235</v>
      </c>
      <c r="D506" s="1" t="s">
        <v>236</v>
      </c>
      <c r="E506" s="1" t="s">
        <v>22</v>
      </c>
      <c r="F506" s="1">
        <v>32</v>
      </c>
      <c r="G506" s="1">
        <v>21</v>
      </c>
      <c r="H506" s="1">
        <v>8</v>
      </c>
      <c r="I506" s="1">
        <v>10</v>
      </c>
      <c r="J506" s="1">
        <v>8</v>
      </c>
      <c r="K506" s="1">
        <v>79</v>
      </c>
      <c r="L506" s="5">
        <f t="shared" ca="1" si="1"/>
        <v>76.099999999999994</v>
      </c>
    </row>
    <row r="507" spans="1:12" x14ac:dyDescent="0.25">
      <c r="A507" s="2">
        <f t="shared" ca="1" si="0"/>
        <v>29</v>
      </c>
      <c r="B507" s="29" t="s">
        <v>455</v>
      </c>
      <c r="C507" s="18">
        <v>45893</v>
      </c>
      <c r="D507" s="1" t="s">
        <v>377</v>
      </c>
      <c r="E507" s="1" t="s">
        <v>22</v>
      </c>
      <c r="F507" s="1">
        <v>29</v>
      </c>
      <c r="G507" s="1">
        <v>18</v>
      </c>
      <c r="H507" s="1">
        <v>8</v>
      </c>
      <c r="I507" s="1">
        <v>14</v>
      </c>
      <c r="J507" s="1">
        <v>8</v>
      </c>
      <c r="K507" s="1">
        <v>77</v>
      </c>
      <c r="L507" s="5">
        <f t="shared" ca="1" si="1"/>
        <v>75.900000000000006</v>
      </c>
    </row>
    <row r="508" spans="1:12" x14ac:dyDescent="0.25">
      <c r="A508" s="2">
        <f t="shared" ca="1" si="0"/>
        <v>30</v>
      </c>
      <c r="B508" s="1" t="s">
        <v>519</v>
      </c>
      <c r="C508" s="18">
        <v>46215</v>
      </c>
      <c r="D508" s="1" t="s">
        <v>378</v>
      </c>
      <c r="E508" s="1" t="s">
        <v>22</v>
      </c>
      <c r="F508" s="1">
        <v>29</v>
      </c>
      <c r="G508" s="1">
        <v>19</v>
      </c>
      <c r="H508" s="1">
        <v>6</v>
      </c>
      <c r="I508" s="1">
        <v>14</v>
      </c>
      <c r="J508" s="1">
        <v>8</v>
      </c>
      <c r="K508" s="1">
        <v>76</v>
      </c>
      <c r="L508" s="5">
        <f t="shared" ca="1" si="1"/>
        <v>75.8</v>
      </c>
    </row>
    <row r="509" spans="1:12" x14ac:dyDescent="0.25">
      <c r="A509" s="2">
        <f t="shared" ca="1" si="0"/>
        <v>30</v>
      </c>
      <c r="B509" s="1" t="s">
        <v>520</v>
      </c>
      <c r="C509" s="18">
        <v>46215</v>
      </c>
      <c r="D509" s="1" t="s">
        <v>483</v>
      </c>
      <c r="E509" s="1" t="s">
        <v>22</v>
      </c>
      <c r="F509" s="1">
        <v>28</v>
      </c>
      <c r="G509" s="1">
        <v>24</v>
      </c>
      <c r="H509" s="1">
        <v>6</v>
      </c>
      <c r="I509" s="1">
        <v>13</v>
      </c>
      <c r="J509" s="1">
        <v>5</v>
      </c>
      <c r="K509" s="1">
        <v>76</v>
      </c>
      <c r="L509" s="5">
        <f t="shared" ca="1" si="1"/>
        <v>75.8</v>
      </c>
    </row>
    <row r="510" spans="1:12" x14ac:dyDescent="0.25">
      <c r="A510" s="2">
        <f t="shared" ca="1" si="0"/>
        <v>32</v>
      </c>
      <c r="B510" s="1" t="s">
        <v>508</v>
      </c>
      <c r="C510" s="18">
        <v>46138</v>
      </c>
      <c r="D510" s="1" t="s">
        <v>483</v>
      </c>
      <c r="E510" s="1" t="s">
        <v>22</v>
      </c>
      <c r="F510" s="1">
        <v>29</v>
      </c>
      <c r="G510" s="1">
        <v>22</v>
      </c>
      <c r="H510" s="1">
        <v>7</v>
      </c>
      <c r="I510" s="1">
        <v>13</v>
      </c>
      <c r="J510" s="1">
        <v>5</v>
      </c>
      <c r="K510" s="1">
        <v>76</v>
      </c>
      <c r="L510" s="5">
        <f t="shared" ca="1" si="1"/>
        <v>75.599999999999994</v>
      </c>
    </row>
    <row r="511" spans="1:12" x14ac:dyDescent="0.25">
      <c r="A511" s="2">
        <f t="shared" ca="1" si="0"/>
        <v>32</v>
      </c>
      <c r="B511" s="1" t="s">
        <v>510</v>
      </c>
      <c r="C511" s="18">
        <v>46138</v>
      </c>
      <c r="D511" s="1" t="s">
        <v>377</v>
      </c>
      <c r="E511" s="1" t="s">
        <v>22</v>
      </c>
      <c r="F511" s="1">
        <v>29</v>
      </c>
      <c r="G511" s="1">
        <v>23</v>
      </c>
      <c r="H511" s="1">
        <v>7</v>
      </c>
      <c r="I511" s="1">
        <v>10</v>
      </c>
      <c r="J511" s="1">
        <v>7</v>
      </c>
      <c r="K511" s="1">
        <v>76</v>
      </c>
      <c r="L511" s="5">
        <f t="shared" ca="1" si="1"/>
        <v>75.599999999999994</v>
      </c>
    </row>
    <row r="512" spans="1:12" x14ac:dyDescent="0.25">
      <c r="A512" s="2">
        <f t="shared" ca="1" si="0"/>
        <v>34</v>
      </c>
      <c r="B512" s="29" t="s">
        <v>185</v>
      </c>
      <c r="C512" s="18">
        <v>44570</v>
      </c>
      <c r="D512" s="1" t="s">
        <v>184</v>
      </c>
      <c r="E512" s="1" t="s">
        <v>22</v>
      </c>
      <c r="F512" s="1">
        <v>29</v>
      </c>
      <c r="G512" s="1">
        <v>20</v>
      </c>
      <c r="H512" s="1">
        <v>8</v>
      </c>
      <c r="I512" s="1">
        <v>17</v>
      </c>
      <c r="J512" s="1">
        <v>6</v>
      </c>
      <c r="K512" s="1">
        <v>80</v>
      </c>
      <c r="L512" s="5">
        <f t="shared" ca="1" si="1"/>
        <v>75.3</v>
      </c>
    </row>
    <row r="513" spans="1:12" x14ac:dyDescent="0.25">
      <c r="A513" s="2">
        <f t="shared" ca="1" si="0"/>
        <v>35</v>
      </c>
      <c r="B513" s="1" t="s">
        <v>317</v>
      </c>
      <c r="C513" s="18">
        <v>45263</v>
      </c>
      <c r="D513" s="1" t="s">
        <v>379</v>
      </c>
      <c r="E513" s="1" t="s">
        <v>22</v>
      </c>
      <c r="F513" s="1">
        <v>29</v>
      </c>
      <c r="G513" s="1">
        <v>24</v>
      </c>
      <c r="H513" s="1">
        <v>7</v>
      </c>
      <c r="I513" s="1">
        <v>13</v>
      </c>
      <c r="J513" s="1">
        <v>5</v>
      </c>
      <c r="K513" s="1">
        <f>SUM(F513:J513)</f>
        <v>78</v>
      </c>
      <c r="L513" s="5">
        <f t="shared" ca="1" si="1"/>
        <v>75.2</v>
      </c>
    </row>
    <row r="514" spans="1:12" x14ac:dyDescent="0.25">
      <c r="A514" s="2">
        <f t="shared" ca="1" si="0"/>
        <v>36</v>
      </c>
      <c r="B514" s="29" t="s">
        <v>56</v>
      </c>
      <c r="C514" s="18">
        <v>44142</v>
      </c>
      <c r="D514" s="1" t="s">
        <v>67</v>
      </c>
      <c r="E514" s="1" t="s">
        <v>22</v>
      </c>
      <c r="F514" s="1">
        <v>29</v>
      </c>
      <c r="G514" s="1">
        <v>21</v>
      </c>
      <c r="H514" s="1">
        <v>8</v>
      </c>
      <c r="I514" s="1">
        <v>14</v>
      </c>
      <c r="J514" s="1">
        <v>9</v>
      </c>
      <c r="K514" s="1">
        <v>81</v>
      </c>
      <c r="L514" s="5">
        <f t="shared" ca="1" si="1"/>
        <v>75.099999999999994</v>
      </c>
    </row>
    <row r="515" spans="1:12" x14ac:dyDescent="0.25">
      <c r="A515" s="2">
        <f t="shared" ca="1" si="0"/>
        <v>37</v>
      </c>
      <c r="B515" s="1" t="s">
        <v>454</v>
      </c>
      <c r="C515" s="18">
        <v>45886</v>
      </c>
      <c r="D515" s="1" t="s">
        <v>377</v>
      </c>
      <c r="E515" s="1" t="s">
        <v>22</v>
      </c>
      <c r="F515" s="1">
        <v>30</v>
      </c>
      <c r="G515" s="1">
        <v>22</v>
      </c>
      <c r="H515" s="1">
        <v>6</v>
      </c>
      <c r="I515" s="1">
        <v>13</v>
      </c>
      <c r="J515" s="1">
        <v>5</v>
      </c>
      <c r="K515" s="1">
        <v>76</v>
      </c>
      <c r="L515" s="5">
        <f t="shared" ca="1" si="1"/>
        <v>74.900000000000006</v>
      </c>
    </row>
    <row r="516" spans="1:12" x14ac:dyDescent="0.25">
      <c r="A516" s="2">
        <f t="shared" ca="1" si="0"/>
        <v>37</v>
      </c>
      <c r="B516" s="1" t="s">
        <v>523</v>
      </c>
      <c r="C516" s="18">
        <v>46229</v>
      </c>
      <c r="D516" s="1" t="s">
        <v>75</v>
      </c>
      <c r="E516" s="1" t="s">
        <v>22</v>
      </c>
      <c r="F516" s="1">
        <v>32</v>
      </c>
      <c r="G516" s="1">
        <v>21</v>
      </c>
      <c r="H516" s="1">
        <v>7</v>
      </c>
      <c r="I516" s="1">
        <v>10</v>
      </c>
      <c r="J516" s="1">
        <v>5</v>
      </c>
      <c r="K516" s="1">
        <v>75</v>
      </c>
      <c r="L516" s="5">
        <f t="shared" ca="1" si="1"/>
        <v>74.900000000000006</v>
      </c>
    </row>
    <row r="517" spans="1:12" x14ac:dyDescent="0.25">
      <c r="A517" s="2">
        <f t="shared" ca="1" si="0"/>
        <v>39</v>
      </c>
      <c r="B517" s="1" t="s">
        <v>437</v>
      </c>
      <c r="C517" s="18">
        <v>45816</v>
      </c>
      <c r="D517" s="1" t="s">
        <v>378</v>
      </c>
      <c r="E517" s="1" t="s">
        <v>22</v>
      </c>
      <c r="F517" s="1">
        <v>28</v>
      </c>
      <c r="G517" s="1">
        <v>23</v>
      </c>
      <c r="H517" s="1">
        <v>6</v>
      </c>
      <c r="I517" s="1">
        <v>14</v>
      </c>
      <c r="J517" s="1">
        <v>5</v>
      </c>
      <c r="K517" s="1">
        <v>76</v>
      </c>
      <c r="L517" s="5">
        <f t="shared" ca="1" si="1"/>
        <v>74.7</v>
      </c>
    </row>
    <row r="518" spans="1:12" x14ac:dyDescent="0.25">
      <c r="A518" s="2">
        <f t="shared" ca="1" si="0"/>
        <v>40</v>
      </c>
      <c r="B518" s="29" t="s">
        <v>426</v>
      </c>
      <c r="C518" s="18">
        <v>45774</v>
      </c>
      <c r="D518" s="1" t="s">
        <v>470</v>
      </c>
      <c r="E518" s="1" t="s">
        <v>22</v>
      </c>
      <c r="F518" s="1">
        <v>33</v>
      </c>
      <c r="G518" s="1">
        <v>18</v>
      </c>
      <c r="H518" s="1">
        <v>10</v>
      </c>
      <c r="I518" s="1">
        <v>6</v>
      </c>
      <c r="J518" s="1">
        <v>9</v>
      </c>
      <c r="K518" s="1">
        <v>76</v>
      </c>
      <c r="L518" s="5">
        <f t="shared" ca="1" si="1"/>
        <v>74.599999999999994</v>
      </c>
    </row>
    <row r="519" spans="1:12" x14ac:dyDescent="0.25">
      <c r="A519" s="2">
        <f t="shared" ca="1" si="0"/>
        <v>41</v>
      </c>
      <c r="B519" s="29" t="s">
        <v>300</v>
      </c>
      <c r="C519" s="18">
        <v>45186</v>
      </c>
      <c r="D519" s="1" t="s">
        <v>149</v>
      </c>
      <c r="E519" s="1" t="s">
        <v>22</v>
      </c>
      <c r="F519" s="1">
        <v>30</v>
      </c>
      <c r="G519" s="1">
        <v>19</v>
      </c>
      <c r="H519" s="1">
        <v>9</v>
      </c>
      <c r="I519" s="1">
        <v>14</v>
      </c>
      <c r="J519" s="1">
        <v>5</v>
      </c>
      <c r="K519" s="1">
        <v>77</v>
      </c>
      <c r="L519" s="5">
        <f t="shared" ca="1" si="1"/>
        <v>74</v>
      </c>
    </row>
    <row r="520" spans="1:12" x14ac:dyDescent="0.25">
      <c r="A520" s="2">
        <f t="shared" ca="1" si="0"/>
        <v>42</v>
      </c>
      <c r="B520" s="1" t="s">
        <v>448</v>
      </c>
      <c r="C520" s="18">
        <v>45858</v>
      </c>
      <c r="D520" s="1" t="s">
        <v>368</v>
      </c>
      <c r="E520" s="1" t="s">
        <v>22</v>
      </c>
      <c r="F520" s="1">
        <v>29</v>
      </c>
      <c r="G520" s="1">
        <v>24</v>
      </c>
      <c r="H520" s="1">
        <v>4</v>
      </c>
      <c r="I520" s="1">
        <v>13</v>
      </c>
      <c r="J520" s="1">
        <v>5</v>
      </c>
      <c r="K520" s="1">
        <v>75</v>
      </c>
      <c r="L520" s="5">
        <f t="shared" ca="1" si="1"/>
        <v>73.8</v>
      </c>
    </row>
    <row r="521" spans="1:12" x14ac:dyDescent="0.25">
      <c r="A521" s="2">
        <f t="shared" ca="1" si="0"/>
        <v>42</v>
      </c>
      <c r="B521" s="1" t="s">
        <v>444</v>
      </c>
      <c r="C521" s="18">
        <v>45844</v>
      </c>
      <c r="D521" s="1" t="s">
        <v>68</v>
      </c>
      <c r="E521" s="1" t="s">
        <v>22</v>
      </c>
      <c r="F521" s="1">
        <v>28</v>
      </c>
      <c r="G521" s="1">
        <v>24</v>
      </c>
      <c r="H521" s="1">
        <v>6</v>
      </c>
      <c r="I521" s="1">
        <v>9</v>
      </c>
      <c r="J521" s="1">
        <v>8</v>
      </c>
      <c r="K521" s="1">
        <v>75</v>
      </c>
      <c r="L521" s="5">
        <f t="shared" ca="1" si="1"/>
        <v>73.8</v>
      </c>
    </row>
    <row r="522" spans="1:12" x14ac:dyDescent="0.25">
      <c r="A522" s="2">
        <f t="shared" ca="1" si="0"/>
        <v>42</v>
      </c>
      <c r="B522" s="29" t="s">
        <v>441</v>
      </c>
      <c r="C522" s="18">
        <v>45836</v>
      </c>
      <c r="D522" s="1" t="s">
        <v>71</v>
      </c>
      <c r="E522" s="1" t="s">
        <v>22</v>
      </c>
      <c r="F522" s="1">
        <v>28</v>
      </c>
      <c r="G522" s="1">
        <v>17</v>
      </c>
      <c r="H522" s="1">
        <v>5</v>
      </c>
      <c r="I522" s="1">
        <v>16</v>
      </c>
      <c r="J522" s="1">
        <v>9</v>
      </c>
      <c r="K522" s="1">
        <v>75</v>
      </c>
      <c r="L522" s="5">
        <f t="shared" ca="1" si="1"/>
        <v>73.8</v>
      </c>
    </row>
    <row r="523" spans="1:12" x14ac:dyDescent="0.25">
      <c r="A523" s="2">
        <f t="shared" ca="1" si="0"/>
        <v>45</v>
      </c>
      <c r="B523" s="29" t="s">
        <v>210</v>
      </c>
      <c r="C523" s="18">
        <v>44696</v>
      </c>
      <c r="D523" s="1" t="s">
        <v>73</v>
      </c>
      <c r="E523" s="1" t="s">
        <v>22</v>
      </c>
      <c r="F523" s="1">
        <v>29</v>
      </c>
      <c r="G523" s="1">
        <v>22</v>
      </c>
      <c r="H523" s="1">
        <v>5</v>
      </c>
      <c r="I523" s="1">
        <v>14</v>
      </c>
      <c r="J523" s="1">
        <v>8</v>
      </c>
      <c r="K523" s="1">
        <v>78</v>
      </c>
      <c r="L523" s="5">
        <f t="shared" ca="1" si="1"/>
        <v>73.7</v>
      </c>
    </row>
    <row r="524" spans="1:12" x14ac:dyDescent="0.25">
      <c r="A524" s="2">
        <f t="shared" ca="1" si="0"/>
        <v>46</v>
      </c>
      <c r="B524" s="29" t="s">
        <v>95</v>
      </c>
      <c r="C524" s="18">
        <v>44226</v>
      </c>
      <c r="D524" s="1" t="s">
        <v>74</v>
      </c>
      <c r="E524" s="1" t="s">
        <v>22</v>
      </c>
      <c r="F524" s="1">
        <v>30</v>
      </c>
      <c r="G524" s="1">
        <v>20</v>
      </c>
      <c r="H524" s="1">
        <v>8</v>
      </c>
      <c r="I524" s="1">
        <v>15</v>
      </c>
      <c r="J524" s="1">
        <v>6</v>
      </c>
      <c r="K524" s="1">
        <v>79</v>
      </c>
      <c r="L524" s="5">
        <f t="shared" ca="1" si="1"/>
        <v>73.400000000000006</v>
      </c>
    </row>
    <row r="525" spans="1:12" x14ac:dyDescent="0.25">
      <c r="A525" s="2">
        <f t="shared" ca="1" si="0"/>
        <v>46</v>
      </c>
      <c r="B525" s="29" t="s">
        <v>188</v>
      </c>
      <c r="C525" s="18">
        <v>44584</v>
      </c>
      <c r="D525" s="1" t="s">
        <v>71</v>
      </c>
      <c r="E525" s="1" t="s">
        <v>22</v>
      </c>
      <c r="F525" s="1">
        <v>30</v>
      </c>
      <c r="G525" s="1">
        <v>19</v>
      </c>
      <c r="H525" s="1">
        <v>7</v>
      </c>
      <c r="I525" s="1">
        <v>15</v>
      </c>
      <c r="J525" s="1">
        <v>7</v>
      </c>
      <c r="K525" s="1">
        <v>78</v>
      </c>
      <c r="L525" s="5">
        <f t="shared" ca="1" si="1"/>
        <v>73.400000000000006</v>
      </c>
    </row>
    <row r="526" spans="1:12" x14ac:dyDescent="0.25">
      <c r="A526" s="2">
        <f t="shared" ca="1" si="0"/>
        <v>48</v>
      </c>
      <c r="B526" s="1" t="s">
        <v>298</v>
      </c>
      <c r="C526" s="18">
        <v>45172</v>
      </c>
      <c r="D526" s="1" t="s">
        <v>69</v>
      </c>
      <c r="E526" s="1" t="s">
        <v>22</v>
      </c>
      <c r="F526" s="1">
        <v>30</v>
      </c>
      <c r="G526" s="1">
        <v>17</v>
      </c>
      <c r="H526" s="1">
        <v>7</v>
      </c>
      <c r="I526" s="1">
        <v>15</v>
      </c>
      <c r="J526" s="1">
        <v>7</v>
      </c>
      <c r="K526" s="1">
        <v>76</v>
      </c>
      <c r="L526" s="5">
        <f t="shared" ca="1" si="1"/>
        <v>73</v>
      </c>
    </row>
    <row r="527" spans="1:12" x14ac:dyDescent="0.25">
      <c r="A527" s="2">
        <f t="shared" ca="1" si="0"/>
        <v>49</v>
      </c>
      <c r="B527" s="1" t="s">
        <v>230</v>
      </c>
      <c r="C527" s="18">
        <v>44787</v>
      </c>
      <c r="D527" s="1" t="s">
        <v>69</v>
      </c>
      <c r="E527" s="1" t="s">
        <v>22</v>
      </c>
      <c r="F527" s="1">
        <v>28</v>
      </c>
      <c r="G527" s="1">
        <v>21</v>
      </c>
      <c r="H527" s="1">
        <v>6</v>
      </c>
      <c r="I527" s="1">
        <v>14</v>
      </c>
      <c r="J527" s="1">
        <v>8</v>
      </c>
      <c r="K527" s="1">
        <v>77</v>
      </c>
      <c r="L527" s="5">
        <f t="shared" ca="1" si="1"/>
        <v>72.900000000000006</v>
      </c>
    </row>
    <row r="528" spans="1:12" x14ac:dyDescent="0.25">
      <c r="A528" s="2">
        <f t="shared" ca="1" si="0"/>
        <v>50</v>
      </c>
      <c r="B528" s="29" t="s">
        <v>132</v>
      </c>
      <c r="C528" s="18">
        <v>44359</v>
      </c>
      <c r="D528" s="1" t="s">
        <v>131</v>
      </c>
      <c r="E528" s="1" t="s">
        <v>22</v>
      </c>
      <c r="F528" s="1">
        <v>28</v>
      </c>
      <c r="G528" s="1">
        <v>19</v>
      </c>
      <c r="H528" s="1">
        <v>6</v>
      </c>
      <c r="I528" s="1">
        <v>17</v>
      </c>
      <c r="J528" s="1">
        <v>8</v>
      </c>
      <c r="K528" s="1">
        <v>78</v>
      </c>
      <c r="L528" s="5">
        <f t="shared" ca="1" si="1"/>
        <v>72.7</v>
      </c>
    </row>
    <row r="529" spans="1:12" x14ac:dyDescent="0.25">
      <c r="A529" s="2">
        <f t="shared" ca="1" si="0"/>
        <v>50</v>
      </c>
      <c r="B529" s="1" t="s">
        <v>126</v>
      </c>
      <c r="C529" s="18">
        <v>44344</v>
      </c>
      <c r="D529" s="1" t="s">
        <v>71</v>
      </c>
      <c r="E529" s="1" t="s">
        <v>22</v>
      </c>
      <c r="F529" s="1">
        <v>27</v>
      </c>
      <c r="G529" s="1">
        <v>21</v>
      </c>
      <c r="H529" s="1">
        <v>7</v>
      </c>
      <c r="I529" s="1">
        <v>15</v>
      </c>
      <c r="J529" s="1">
        <v>8</v>
      </c>
      <c r="K529" s="1">
        <v>78</v>
      </c>
      <c r="L529" s="5">
        <f t="shared" ca="1" si="1"/>
        <v>72.7</v>
      </c>
    </row>
    <row r="530" spans="1:12" x14ac:dyDescent="0.25">
      <c r="A530" s="2">
        <f t="shared" ca="1" si="0"/>
        <v>52</v>
      </c>
      <c r="B530" s="1" t="s">
        <v>429</v>
      </c>
      <c r="C530" s="18">
        <v>45781</v>
      </c>
      <c r="D530" s="1" t="s">
        <v>368</v>
      </c>
      <c r="E530" s="1" t="s">
        <v>22</v>
      </c>
      <c r="F530" s="1">
        <v>29</v>
      </c>
      <c r="G530" s="1">
        <v>17</v>
      </c>
      <c r="H530" s="1">
        <v>7</v>
      </c>
      <c r="I530" s="1">
        <v>14</v>
      </c>
      <c r="J530" s="1">
        <v>7</v>
      </c>
      <c r="K530" s="1">
        <v>74</v>
      </c>
      <c r="L530" s="5">
        <f t="shared" ca="1" si="1"/>
        <v>72.599999999999994</v>
      </c>
    </row>
    <row r="531" spans="1:12" x14ac:dyDescent="0.25">
      <c r="A531" s="2">
        <f t="shared" ca="1" si="0"/>
        <v>52</v>
      </c>
      <c r="B531" s="1" t="s">
        <v>430</v>
      </c>
      <c r="C531" s="18">
        <v>45781</v>
      </c>
      <c r="D531" s="1" t="s">
        <v>378</v>
      </c>
      <c r="E531" s="1" t="s">
        <v>22</v>
      </c>
      <c r="F531" s="1">
        <v>27</v>
      </c>
      <c r="G531" s="1">
        <v>22</v>
      </c>
      <c r="H531" s="1">
        <v>6</v>
      </c>
      <c r="I531" s="1">
        <v>14</v>
      </c>
      <c r="J531" s="1">
        <v>5</v>
      </c>
      <c r="K531" s="1">
        <v>74</v>
      </c>
      <c r="L531" s="5">
        <f t="shared" ca="1" si="1"/>
        <v>72.599999999999994</v>
      </c>
    </row>
    <row r="532" spans="1:12" x14ac:dyDescent="0.25">
      <c r="A532" s="2">
        <f t="shared" ca="1" si="0"/>
        <v>54</v>
      </c>
      <c r="B532" s="1" t="s">
        <v>204</v>
      </c>
      <c r="C532" s="18">
        <v>44647</v>
      </c>
      <c r="D532" s="1" t="s">
        <v>69</v>
      </c>
      <c r="E532" s="1" t="s">
        <v>22</v>
      </c>
      <c r="F532" s="1">
        <v>30</v>
      </c>
      <c r="G532" s="1">
        <v>18</v>
      </c>
      <c r="H532" s="1">
        <v>6</v>
      </c>
      <c r="I532" s="1">
        <v>15</v>
      </c>
      <c r="J532" s="1">
        <v>8</v>
      </c>
      <c r="K532" s="1">
        <v>77</v>
      </c>
      <c r="L532" s="5">
        <f t="shared" ca="1" si="1"/>
        <v>72.5</v>
      </c>
    </row>
    <row r="533" spans="1:12" x14ac:dyDescent="0.25">
      <c r="A533" s="2">
        <f t="shared" ca="1" si="0"/>
        <v>54</v>
      </c>
      <c r="B533" s="29" t="s">
        <v>200</v>
      </c>
      <c r="C533" s="18">
        <v>44633</v>
      </c>
      <c r="D533" s="1" t="s">
        <v>68</v>
      </c>
      <c r="E533" s="1" t="s">
        <v>22</v>
      </c>
      <c r="F533" s="1">
        <v>30</v>
      </c>
      <c r="G533" s="1">
        <v>18</v>
      </c>
      <c r="H533" s="1">
        <v>8</v>
      </c>
      <c r="I533" s="1">
        <v>12</v>
      </c>
      <c r="J533" s="1">
        <v>9</v>
      </c>
      <c r="K533" s="1">
        <v>77</v>
      </c>
      <c r="L533" s="5">
        <f t="shared" ca="1" si="1"/>
        <v>72.5</v>
      </c>
    </row>
    <row r="534" spans="1:12" x14ac:dyDescent="0.25">
      <c r="A534" s="2">
        <f t="shared" ca="1" si="0"/>
        <v>56</v>
      </c>
      <c r="B534" s="1" t="s">
        <v>333</v>
      </c>
      <c r="C534" s="18">
        <v>45347</v>
      </c>
      <c r="D534" s="1" t="s">
        <v>71</v>
      </c>
      <c r="E534" s="1" t="s">
        <v>22</v>
      </c>
      <c r="F534" s="1">
        <v>31</v>
      </c>
      <c r="G534" s="1">
        <v>16</v>
      </c>
      <c r="H534" s="1">
        <v>8</v>
      </c>
      <c r="I534" s="1">
        <v>14</v>
      </c>
      <c r="J534" s="1">
        <v>6</v>
      </c>
      <c r="K534" s="1">
        <v>75</v>
      </c>
      <c r="L534" s="5">
        <f t="shared" ca="1" si="1"/>
        <v>72.400000000000006</v>
      </c>
    </row>
    <row r="535" spans="1:12" x14ac:dyDescent="0.25">
      <c r="A535" s="2">
        <f t="shared" ca="1" si="0"/>
        <v>57</v>
      </c>
      <c r="B535" s="29" t="s">
        <v>260</v>
      </c>
      <c r="C535" s="18">
        <v>44927</v>
      </c>
      <c r="D535" s="1" t="s">
        <v>68</v>
      </c>
      <c r="E535" s="1" t="s">
        <v>22</v>
      </c>
      <c r="F535" s="1">
        <v>28</v>
      </c>
      <c r="G535" s="1">
        <v>18</v>
      </c>
      <c r="H535" s="1">
        <v>7</v>
      </c>
      <c r="I535" s="1">
        <v>15</v>
      </c>
      <c r="J535" s="1">
        <v>8</v>
      </c>
      <c r="K535" s="1">
        <v>76</v>
      </c>
      <c r="L535" s="5">
        <f t="shared" ca="1" si="1"/>
        <v>72.3</v>
      </c>
    </row>
    <row r="536" spans="1:12" x14ac:dyDescent="0.25">
      <c r="A536" s="2">
        <f t="shared" ca="1" si="0"/>
        <v>58</v>
      </c>
      <c r="B536" s="1" t="s">
        <v>474</v>
      </c>
      <c r="C536" s="18">
        <v>45991</v>
      </c>
      <c r="D536" s="1" t="s">
        <v>478</v>
      </c>
      <c r="E536" s="1" t="s">
        <v>22</v>
      </c>
      <c r="F536" s="1">
        <v>27</v>
      </c>
      <c r="G536" s="1">
        <v>24</v>
      </c>
      <c r="H536" s="1">
        <v>4</v>
      </c>
      <c r="I536" s="1">
        <v>13</v>
      </c>
      <c r="J536" s="1">
        <v>5</v>
      </c>
      <c r="K536" s="1">
        <v>73</v>
      </c>
      <c r="L536" s="5">
        <f t="shared" ca="1" si="1"/>
        <v>72.2</v>
      </c>
    </row>
    <row r="537" spans="1:12" x14ac:dyDescent="0.25">
      <c r="A537" s="2">
        <f t="shared" ca="1" si="0"/>
        <v>59</v>
      </c>
      <c r="B537" s="1" t="s">
        <v>460</v>
      </c>
      <c r="C537" s="18">
        <v>45921</v>
      </c>
      <c r="D537" s="1" t="s">
        <v>69</v>
      </c>
      <c r="E537" s="1" t="s">
        <v>22</v>
      </c>
      <c r="F537" s="1">
        <v>27</v>
      </c>
      <c r="G537" s="1">
        <v>22</v>
      </c>
      <c r="H537" s="1">
        <v>8</v>
      </c>
      <c r="I537" s="1">
        <v>12</v>
      </c>
      <c r="J537" s="1">
        <v>4</v>
      </c>
      <c r="K537" s="1">
        <v>73</v>
      </c>
      <c r="L537" s="5">
        <f t="shared" ca="1" si="1"/>
        <v>72</v>
      </c>
    </row>
    <row r="538" spans="1:12" x14ac:dyDescent="0.25">
      <c r="A538" s="2">
        <f t="shared" ca="1" si="0"/>
        <v>60</v>
      </c>
      <c r="B538" s="29" t="s">
        <v>526</v>
      </c>
      <c r="C538" s="18">
        <v>46250</v>
      </c>
      <c r="D538" s="1" t="s">
        <v>154</v>
      </c>
      <c r="E538" s="1" t="s">
        <v>22</v>
      </c>
      <c r="F538" s="1">
        <v>28</v>
      </c>
      <c r="G538" s="1">
        <v>18</v>
      </c>
      <c r="H538" s="1">
        <v>6</v>
      </c>
      <c r="I538" s="1">
        <v>16</v>
      </c>
      <c r="J538" s="1">
        <v>4</v>
      </c>
      <c r="K538" s="1">
        <v>72</v>
      </c>
      <c r="L538" s="5">
        <f t="shared" ca="1" si="1"/>
        <v>71.900000000000006</v>
      </c>
    </row>
    <row r="539" spans="1:12" x14ac:dyDescent="0.25">
      <c r="A539" s="2">
        <f t="shared" ca="1" si="0"/>
        <v>60</v>
      </c>
      <c r="B539" s="1" t="s">
        <v>145</v>
      </c>
      <c r="C539" s="18">
        <v>44423</v>
      </c>
      <c r="D539" s="1" t="s">
        <v>71</v>
      </c>
      <c r="E539" s="1" t="s">
        <v>22</v>
      </c>
      <c r="F539" s="1">
        <v>30</v>
      </c>
      <c r="G539" s="1">
        <v>17</v>
      </c>
      <c r="H539" s="1">
        <v>8</v>
      </c>
      <c r="I539" s="1">
        <v>15</v>
      </c>
      <c r="J539" s="1">
        <v>7</v>
      </c>
      <c r="K539" s="1">
        <v>77</v>
      </c>
      <c r="L539" s="5">
        <f t="shared" ca="1" si="1"/>
        <v>71.900000000000006</v>
      </c>
    </row>
    <row r="540" spans="1:12" x14ac:dyDescent="0.25">
      <c r="A540" s="2">
        <f t="shared" ca="1" si="0"/>
        <v>60</v>
      </c>
      <c r="B540" s="1" t="s">
        <v>363</v>
      </c>
      <c r="C540" s="18">
        <v>45515</v>
      </c>
      <c r="D540" s="1" t="s">
        <v>68</v>
      </c>
      <c r="E540" s="1" t="s">
        <v>22</v>
      </c>
      <c r="F540" s="1">
        <v>29</v>
      </c>
      <c r="G540" s="1">
        <v>16</v>
      </c>
      <c r="H540" s="1">
        <v>8</v>
      </c>
      <c r="I540" s="1">
        <v>13</v>
      </c>
      <c r="J540" s="1">
        <v>8</v>
      </c>
      <c r="K540" s="1">
        <v>74</v>
      </c>
      <c r="L540" s="5">
        <f t="shared" ca="1" si="1"/>
        <v>71.900000000000006</v>
      </c>
    </row>
    <row r="541" spans="1:12" x14ac:dyDescent="0.25">
      <c r="A541" s="2">
        <f t="shared" ca="1" si="0"/>
        <v>60</v>
      </c>
      <c r="B541" s="1" t="s">
        <v>525</v>
      </c>
      <c r="C541" s="18">
        <v>46243</v>
      </c>
      <c r="D541" s="1" t="s">
        <v>66</v>
      </c>
      <c r="E541" s="1" t="s">
        <v>22</v>
      </c>
      <c r="F541" s="1">
        <v>28</v>
      </c>
      <c r="G541" s="1">
        <v>20</v>
      </c>
      <c r="H541" s="1">
        <v>4</v>
      </c>
      <c r="I541" s="1">
        <v>15</v>
      </c>
      <c r="J541" s="1">
        <v>5</v>
      </c>
      <c r="K541" s="1">
        <v>72</v>
      </c>
      <c r="L541" s="5">
        <f t="shared" ca="1" si="1"/>
        <v>71.900000000000006</v>
      </c>
    </row>
    <row r="542" spans="1:12" ht="14.25" customHeight="1" x14ac:dyDescent="0.25">
      <c r="A542" s="2">
        <f t="shared" ca="1" si="0"/>
        <v>64</v>
      </c>
      <c r="B542" s="1" t="s">
        <v>518</v>
      </c>
      <c r="C542" s="18">
        <v>46201</v>
      </c>
      <c r="D542" s="1" t="s">
        <v>378</v>
      </c>
      <c r="E542" s="1" t="s">
        <v>22</v>
      </c>
      <c r="F542" s="1">
        <v>28</v>
      </c>
      <c r="G542" s="1">
        <v>21</v>
      </c>
      <c r="H542" s="1">
        <v>5</v>
      </c>
      <c r="I542" s="1">
        <v>12</v>
      </c>
      <c r="J542" s="1">
        <v>6</v>
      </c>
      <c r="K542" s="1">
        <v>72</v>
      </c>
      <c r="L542" s="5">
        <f t="shared" ca="1" si="1"/>
        <v>71.8</v>
      </c>
    </row>
    <row r="543" spans="1:12" x14ac:dyDescent="0.25">
      <c r="A543" s="2">
        <f t="shared" ref="A543:A606" ca="1" si="2">RANK(L543,$L$479:$L$718,0)</f>
        <v>65</v>
      </c>
      <c r="B543" s="1" t="s">
        <v>345</v>
      </c>
      <c r="C543" s="18">
        <v>45417</v>
      </c>
      <c r="D543" s="1" t="s">
        <v>309</v>
      </c>
      <c r="E543" s="1" t="s">
        <v>22</v>
      </c>
      <c r="F543" s="1">
        <v>28</v>
      </c>
      <c r="G543" s="1">
        <v>22</v>
      </c>
      <c r="H543" s="1">
        <v>5</v>
      </c>
      <c r="I543" s="1">
        <v>11</v>
      </c>
      <c r="J543" s="1">
        <v>8</v>
      </c>
      <c r="K543" s="1">
        <v>74</v>
      </c>
      <c r="L543" s="5">
        <f t="shared" ref="L543:L606" ca="1" si="3">K543-(ROUNDDOWN((($G$1-C543)/365),1))</f>
        <v>71.599999999999994</v>
      </c>
    </row>
    <row r="544" spans="1:12" x14ac:dyDescent="0.25">
      <c r="A544" s="2">
        <f t="shared" ca="1" si="2"/>
        <v>65</v>
      </c>
      <c r="B544" s="1" t="s">
        <v>506</v>
      </c>
      <c r="C544" s="18">
        <v>46124</v>
      </c>
      <c r="D544" s="1" t="s">
        <v>377</v>
      </c>
      <c r="E544" s="1" t="s">
        <v>22</v>
      </c>
      <c r="F544" s="1">
        <v>28</v>
      </c>
      <c r="G544" s="1">
        <v>21</v>
      </c>
      <c r="H544" s="1">
        <v>7</v>
      </c>
      <c r="I544" s="1">
        <v>11</v>
      </c>
      <c r="J544" s="1">
        <v>5</v>
      </c>
      <c r="K544" s="1">
        <v>72</v>
      </c>
      <c r="L544" s="5">
        <f t="shared" ca="1" si="3"/>
        <v>71.599999999999994</v>
      </c>
    </row>
    <row r="545" spans="1:12" x14ac:dyDescent="0.25">
      <c r="A545" s="2">
        <f t="shared" ca="1" si="2"/>
        <v>67</v>
      </c>
      <c r="B545" s="1" t="s">
        <v>416</v>
      </c>
      <c r="C545" s="18">
        <v>45732</v>
      </c>
      <c r="D545" s="1" t="s">
        <v>308</v>
      </c>
      <c r="E545" s="1" t="s">
        <v>22</v>
      </c>
      <c r="F545" s="1">
        <v>29</v>
      </c>
      <c r="G545" s="1">
        <v>23</v>
      </c>
      <c r="H545" s="1">
        <v>8</v>
      </c>
      <c r="I545" s="1">
        <v>8</v>
      </c>
      <c r="J545" s="1">
        <v>5</v>
      </c>
      <c r="K545" s="1">
        <v>73</v>
      </c>
      <c r="L545" s="5">
        <f t="shared" ca="1" si="3"/>
        <v>71.5</v>
      </c>
    </row>
    <row r="546" spans="1:12" x14ac:dyDescent="0.25">
      <c r="A546" s="2">
        <f t="shared" ca="1" si="2"/>
        <v>67</v>
      </c>
      <c r="B546" s="29" t="s">
        <v>271</v>
      </c>
      <c r="C546" s="18">
        <v>44990</v>
      </c>
      <c r="D546" s="1" t="s">
        <v>69</v>
      </c>
      <c r="E546" s="1" t="s">
        <v>22</v>
      </c>
      <c r="F546" s="1">
        <v>29</v>
      </c>
      <c r="G546" s="1">
        <v>17</v>
      </c>
      <c r="H546" s="1">
        <v>6</v>
      </c>
      <c r="I546" s="1">
        <v>16</v>
      </c>
      <c r="J546" s="1">
        <v>7</v>
      </c>
      <c r="K546" s="1">
        <v>75</v>
      </c>
      <c r="L546" s="5">
        <f t="shared" ca="1" si="3"/>
        <v>71.5</v>
      </c>
    </row>
    <row r="547" spans="1:12" x14ac:dyDescent="0.25">
      <c r="A547" s="2">
        <f t="shared" ca="1" si="2"/>
        <v>69</v>
      </c>
      <c r="B547" s="29" t="s">
        <v>86</v>
      </c>
      <c r="C547" s="18">
        <v>44185</v>
      </c>
      <c r="D547" s="1" t="s">
        <v>69</v>
      </c>
      <c r="E547" s="1" t="s">
        <v>22</v>
      </c>
      <c r="F547" s="1">
        <v>29</v>
      </c>
      <c r="G547" s="1">
        <v>22</v>
      </c>
      <c r="H547" s="1">
        <v>6</v>
      </c>
      <c r="I547" s="1">
        <v>13</v>
      </c>
      <c r="J547" s="1">
        <v>7</v>
      </c>
      <c r="K547" s="1">
        <v>77</v>
      </c>
      <c r="L547" s="5">
        <f t="shared" ca="1" si="3"/>
        <v>71.3</v>
      </c>
    </row>
    <row r="548" spans="1:12" x14ac:dyDescent="0.25">
      <c r="A548" s="2">
        <f t="shared" ca="1" si="2"/>
        <v>70</v>
      </c>
      <c r="B548" s="1" t="s">
        <v>476</v>
      </c>
      <c r="C548" s="18">
        <v>46005</v>
      </c>
      <c r="D548" s="1" t="s">
        <v>75</v>
      </c>
      <c r="E548" s="1" t="s">
        <v>22</v>
      </c>
      <c r="F548" s="1">
        <v>30</v>
      </c>
      <c r="G548" s="1">
        <v>21</v>
      </c>
      <c r="H548" s="1">
        <v>6</v>
      </c>
      <c r="I548" s="1">
        <v>9</v>
      </c>
      <c r="J548" s="1">
        <v>6</v>
      </c>
      <c r="K548" s="1">
        <v>72</v>
      </c>
      <c r="L548" s="5">
        <f t="shared" ca="1" si="3"/>
        <v>71.2</v>
      </c>
    </row>
    <row r="549" spans="1:12" x14ac:dyDescent="0.25">
      <c r="A549" s="2">
        <f t="shared" ca="1" si="2"/>
        <v>71</v>
      </c>
      <c r="B549" s="1" t="s">
        <v>173</v>
      </c>
      <c r="C549" s="18">
        <v>44507</v>
      </c>
      <c r="D549" s="1" t="s">
        <v>71</v>
      </c>
      <c r="E549" s="1" t="s">
        <v>22</v>
      </c>
      <c r="F549" s="1">
        <v>28</v>
      </c>
      <c r="G549" s="1">
        <v>17</v>
      </c>
      <c r="H549" s="1">
        <v>7</v>
      </c>
      <c r="I549" s="1">
        <v>17</v>
      </c>
      <c r="J549" s="1">
        <v>7</v>
      </c>
      <c r="K549" s="1">
        <v>76</v>
      </c>
      <c r="L549" s="5">
        <f t="shared" ca="1" si="3"/>
        <v>71.099999999999994</v>
      </c>
    </row>
    <row r="550" spans="1:12" x14ac:dyDescent="0.25">
      <c r="A550" s="2">
        <f t="shared" ca="1" si="2"/>
        <v>71</v>
      </c>
      <c r="B550" s="29" t="s">
        <v>249</v>
      </c>
      <c r="C550" s="18">
        <v>44864</v>
      </c>
      <c r="D550" s="1" t="s">
        <v>236</v>
      </c>
      <c r="E550" s="1" t="s">
        <v>22</v>
      </c>
      <c r="F550" s="1">
        <v>29</v>
      </c>
      <c r="G550" s="1">
        <v>18</v>
      </c>
      <c r="H550" s="1">
        <v>8</v>
      </c>
      <c r="I550" s="1">
        <v>13</v>
      </c>
      <c r="J550" s="1">
        <v>7</v>
      </c>
      <c r="K550" s="1">
        <v>75</v>
      </c>
      <c r="L550" s="5">
        <f t="shared" ca="1" si="3"/>
        <v>71.099999999999994</v>
      </c>
    </row>
    <row r="551" spans="1:12" x14ac:dyDescent="0.25">
      <c r="A551" s="2">
        <f t="shared" ca="1" si="2"/>
        <v>71</v>
      </c>
      <c r="B551" s="1" t="s">
        <v>169</v>
      </c>
      <c r="C551" s="18">
        <v>44493</v>
      </c>
      <c r="D551" s="1" t="s">
        <v>71</v>
      </c>
      <c r="E551" s="1" t="s">
        <v>22</v>
      </c>
      <c r="F551" s="1">
        <v>29</v>
      </c>
      <c r="G551" s="1">
        <v>18</v>
      </c>
      <c r="H551" s="1">
        <v>8</v>
      </c>
      <c r="I551" s="1">
        <v>15</v>
      </c>
      <c r="J551" s="1">
        <v>6</v>
      </c>
      <c r="K551" s="1">
        <v>76</v>
      </c>
      <c r="L551" s="5">
        <f t="shared" ca="1" si="3"/>
        <v>71.099999999999994</v>
      </c>
    </row>
    <row r="552" spans="1:12" x14ac:dyDescent="0.25">
      <c r="A552" s="2">
        <f t="shared" ca="1" si="2"/>
        <v>71</v>
      </c>
      <c r="B552" s="1" t="s">
        <v>248</v>
      </c>
      <c r="C552" s="18">
        <v>44857</v>
      </c>
      <c r="D552" s="1" t="s">
        <v>71</v>
      </c>
      <c r="E552" s="1" t="s">
        <v>22</v>
      </c>
      <c r="F552" s="1">
        <v>29</v>
      </c>
      <c r="G552" s="1">
        <v>18</v>
      </c>
      <c r="H552" s="1">
        <v>7</v>
      </c>
      <c r="I552" s="1">
        <v>14</v>
      </c>
      <c r="J552" s="1">
        <v>7</v>
      </c>
      <c r="K552" s="1">
        <v>75</v>
      </c>
      <c r="L552" s="5">
        <f t="shared" ca="1" si="3"/>
        <v>71.099999999999994</v>
      </c>
    </row>
    <row r="553" spans="1:12" x14ac:dyDescent="0.25">
      <c r="A553" s="2">
        <f t="shared" ca="1" si="2"/>
        <v>71</v>
      </c>
      <c r="B553" s="29" t="s">
        <v>168</v>
      </c>
      <c r="C553" s="18">
        <v>44485</v>
      </c>
      <c r="D553" s="1" t="s">
        <v>71</v>
      </c>
      <c r="E553" s="1" t="s">
        <v>22</v>
      </c>
      <c r="F553" s="1">
        <v>29</v>
      </c>
      <c r="G553" s="1">
        <v>19</v>
      </c>
      <c r="H553" s="1">
        <v>7</v>
      </c>
      <c r="I553" s="1">
        <v>15</v>
      </c>
      <c r="J553" s="1">
        <v>6</v>
      </c>
      <c r="K553" s="1">
        <v>76</v>
      </c>
      <c r="L553" s="5">
        <f t="shared" ca="1" si="3"/>
        <v>71.099999999999994</v>
      </c>
    </row>
    <row r="554" spans="1:12" x14ac:dyDescent="0.25">
      <c r="A554" s="2">
        <f t="shared" ca="1" si="2"/>
        <v>76</v>
      </c>
      <c r="B554" s="1" t="s">
        <v>531</v>
      </c>
      <c r="C554" s="18">
        <v>46285</v>
      </c>
      <c r="D554" s="1" t="s">
        <v>71</v>
      </c>
      <c r="E554" s="1" t="s">
        <v>22</v>
      </c>
      <c r="F554" s="1">
        <v>29</v>
      </c>
      <c r="G554" s="1">
        <v>20</v>
      </c>
      <c r="H554" s="1">
        <v>5</v>
      </c>
      <c r="I554" s="1">
        <v>11</v>
      </c>
      <c r="J554" s="1">
        <v>6</v>
      </c>
      <c r="K554" s="1">
        <v>71</v>
      </c>
      <c r="L554" s="5">
        <f t="shared" ca="1" si="3"/>
        <v>71</v>
      </c>
    </row>
    <row r="555" spans="1:12" x14ac:dyDescent="0.25">
      <c r="A555" s="2">
        <f t="shared" ca="1" si="2"/>
        <v>77</v>
      </c>
      <c r="B555" s="1" t="s">
        <v>285</v>
      </c>
      <c r="C555" s="18">
        <v>45081</v>
      </c>
      <c r="D555" s="1" t="s">
        <v>74</v>
      </c>
      <c r="E555" s="1" t="s">
        <v>22</v>
      </c>
      <c r="F555" s="1">
        <v>27</v>
      </c>
      <c r="G555" s="1">
        <v>19</v>
      </c>
      <c r="H555" s="1">
        <v>6</v>
      </c>
      <c r="I555" s="1">
        <v>15</v>
      </c>
      <c r="J555" s="1">
        <v>7</v>
      </c>
      <c r="K555" s="1">
        <v>74</v>
      </c>
      <c r="L555" s="5">
        <f t="shared" ca="1" si="3"/>
        <v>70.7</v>
      </c>
    </row>
    <row r="556" spans="1:12" x14ac:dyDescent="0.25">
      <c r="A556" s="2">
        <f t="shared" ca="1" si="2"/>
        <v>77</v>
      </c>
      <c r="B556" s="1" t="s">
        <v>211</v>
      </c>
      <c r="C556" s="18">
        <v>44703</v>
      </c>
      <c r="D556" s="1" t="s">
        <v>69</v>
      </c>
      <c r="E556" s="1" t="s">
        <v>22</v>
      </c>
      <c r="F556" s="1">
        <v>29</v>
      </c>
      <c r="G556" s="1">
        <v>21</v>
      </c>
      <c r="H556" s="1">
        <v>5</v>
      </c>
      <c r="I556" s="1">
        <v>13</v>
      </c>
      <c r="J556" s="1">
        <v>7</v>
      </c>
      <c r="K556" s="1">
        <v>75</v>
      </c>
      <c r="L556" s="5">
        <f t="shared" ca="1" si="3"/>
        <v>70.7</v>
      </c>
    </row>
    <row r="557" spans="1:12" x14ac:dyDescent="0.25">
      <c r="A557" s="2">
        <f t="shared" ca="1" si="2"/>
        <v>79</v>
      </c>
      <c r="B557" s="1" t="s">
        <v>422</v>
      </c>
      <c r="C557" s="18">
        <v>45753</v>
      </c>
      <c r="D557" s="1" t="s">
        <v>73</v>
      </c>
      <c r="E557" s="1" t="s">
        <v>22</v>
      </c>
      <c r="F557" s="1">
        <v>29</v>
      </c>
      <c r="G557" s="1">
        <v>21</v>
      </c>
      <c r="H557" s="1">
        <v>7</v>
      </c>
      <c r="I557" s="1">
        <v>10</v>
      </c>
      <c r="J557" s="1">
        <v>5</v>
      </c>
      <c r="K557" s="1">
        <v>72</v>
      </c>
      <c r="L557" s="5">
        <f t="shared" ca="1" si="3"/>
        <v>70.599999999999994</v>
      </c>
    </row>
    <row r="558" spans="1:12" x14ac:dyDescent="0.25">
      <c r="A558" s="2">
        <f t="shared" ca="1" si="2"/>
        <v>80</v>
      </c>
      <c r="B558" s="1" t="s">
        <v>109</v>
      </c>
      <c r="C558" s="18">
        <v>44276</v>
      </c>
      <c r="D558" s="1" t="s">
        <v>74</v>
      </c>
      <c r="E558" s="1" t="s">
        <v>22</v>
      </c>
      <c r="F558" s="1">
        <v>29</v>
      </c>
      <c r="G558" s="1">
        <v>19</v>
      </c>
      <c r="H558" s="1">
        <v>5</v>
      </c>
      <c r="I558" s="1">
        <v>16</v>
      </c>
      <c r="J558" s="1">
        <v>7</v>
      </c>
      <c r="K558" s="1">
        <v>76</v>
      </c>
      <c r="L558" s="5">
        <f t="shared" ca="1" si="3"/>
        <v>70.5</v>
      </c>
    </row>
    <row r="559" spans="1:12" x14ac:dyDescent="0.25">
      <c r="A559" s="2">
        <f t="shared" ca="1" si="2"/>
        <v>81</v>
      </c>
      <c r="B559" s="29" t="s">
        <v>411</v>
      </c>
      <c r="C559" s="18">
        <v>45697</v>
      </c>
      <c r="D559" s="1" t="s">
        <v>266</v>
      </c>
      <c r="E559" s="1" t="s">
        <v>22</v>
      </c>
      <c r="F559" s="1">
        <v>30</v>
      </c>
      <c r="G559" s="1">
        <v>16</v>
      </c>
      <c r="H559" s="1">
        <v>8</v>
      </c>
      <c r="I559" s="1">
        <v>13</v>
      </c>
      <c r="J559" s="1">
        <v>5</v>
      </c>
      <c r="K559" s="1">
        <v>72</v>
      </c>
      <c r="L559" s="5">
        <f t="shared" ca="1" si="3"/>
        <v>70.400000000000006</v>
      </c>
    </row>
    <row r="560" spans="1:12" x14ac:dyDescent="0.25">
      <c r="A560" s="2">
        <f t="shared" ca="1" si="2"/>
        <v>82</v>
      </c>
      <c r="B560" s="29" t="s">
        <v>259</v>
      </c>
      <c r="C560" s="18">
        <v>44927</v>
      </c>
      <c r="D560" s="1" t="s">
        <v>68</v>
      </c>
      <c r="E560" s="1" t="s">
        <v>22</v>
      </c>
      <c r="F560" s="1">
        <v>27</v>
      </c>
      <c r="G560" s="1">
        <v>18</v>
      </c>
      <c r="H560" s="1">
        <v>6</v>
      </c>
      <c r="I560" s="1">
        <v>15</v>
      </c>
      <c r="J560" s="1">
        <v>8</v>
      </c>
      <c r="K560" s="1">
        <v>74</v>
      </c>
      <c r="L560" s="5">
        <f t="shared" ca="1" si="3"/>
        <v>70.3</v>
      </c>
    </row>
    <row r="561" spans="1:12" x14ac:dyDescent="0.25">
      <c r="A561" s="2">
        <f t="shared" ca="1" si="2"/>
        <v>83</v>
      </c>
      <c r="B561" s="1" t="s">
        <v>319</v>
      </c>
      <c r="C561" s="18">
        <v>45277</v>
      </c>
      <c r="D561" s="1" t="s">
        <v>266</v>
      </c>
      <c r="E561" s="1" t="s">
        <v>22</v>
      </c>
      <c r="F561" s="1">
        <v>28</v>
      </c>
      <c r="G561" s="1">
        <v>19</v>
      </c>
      <c r="H561" s="1">
        <v>6</v>
      </c>
      <c r="I561" s="1">
        <v>14</v>
      </c>
      <c r="J561" s="1">
        <v>6</v>
      </c>
      <c r="K561" s="1">
        <v>73</v>
      </c>
      <c r="L561" s="5">
        <f t="shared" ca="1" si="3"/>
        <v>70.2</v>
      </c>
    </row>
    <row r="562" spans="1:12" x14ac:dyDescent="0.25">
      <c r="A562" s="2">
        <f t="shared" ca="1" si="2"/>
        <v>84</v>
      </c>
      <c r="B562" s="1" t="s">
        <v>465</v>
      </c>
      <c r="C562" s="18">
        <v>45963</v>
      </c>
      <c r="D562" s="1" t="s">
        <v>74</v>
      </c>
      <c r="E562" s="1" t="s">
        <v>22</v>
      </c>
      <c r="F562" s="1">
        <v>28</v>
      </c>
      <c r="G562" s="1">
        <v>18</v>
      </c>
      <c r="H562" s="1">
        <v>6</v>
      </c>
      <c r="I562" s="1">
        <v>13</v>
      </c>
      <c r="J562" s="1">
        <v>6</v>
      </c>
      <c r="K562" s="1">
        <v>71</v>
      </c>
      <c r="L562" s="5">
        <f t="shared" ca="1" si="3"/>
        <v>70.099999999999994</v>
      </c>
    </row>
    <row r="563" spans="1:12" x14ac:dyDescent="0.25">
      <c r="A563" s="2">
        <f t="shared" ca="1" si="2"/>
        <v>85</v>
      </c>
      <c r="B563" s="29" t="s">
        <v>302</v>
      </c>
      <c r="C563" s="18">
        <v>45200</v>
      </c>
      <c r="D563" s="1" t="s">
        <v>149</v>
      </c>
      <c r="E563" s="1" t="s">
        <v>22</v>
      </c>
      <c r="F563" s="1">
        <v>26</v>
      </c>
      <c r="G563" s="1">
        <v>19</v>
      </c>
      <c r="H563" s="1">
        <v>5</v>
      </c>
      <c r="I563" s="1">
        <v>15</v>
      </c>
      <c r="J563" s="1">
        <v>8</v>
      </c>
      <c r="K563" s="1">
        <v>73</v>
      </c>
      <c r="L563" s="5">
        <f t="shared" ca="1" si="3"/>
        <v>70</v>
      </c>
    </row>
    <row r="564" spans="1:12" x14ac:dyDescent="0.25">
      <c r="A564" s="2">
        <f t="shared" ca="1" si="2"/>
        <v>85</v>
      </c>
      <c r="B564" s="1" t="s">
        <v>369</v>
      </c>
      <c r="C564" s="18">
        <v>45543</v>
      </c>
      <c r="D564" s="1" t="s">
        <v>71</v>
      </c>
      <c r="E564" s="1" t="s">
        <v>22</v>
      </c>
      <c r="F564" s="1">
        <v>28</v>
      </c>
      <c r="G564" s="1">
        <v>17</v>
      </c>
      <c r="H564" s="1">
        <v>5</v>
      </c>
      <c r="I564" s="1">
        <v>15</v>
      </c>
      <c r="J564" s="1">
        <v>7</v>
      </c>
      <c r="K564" s="1">
        <v>72</v>
      </c>
      <c r="L564" s="5">
        <f t="shared" ca="1" si="3"/>
        <v>70</v>
      </c>
    </row>
    <row r="565" spans="1:12" x14ac:dyDescent="0.25">
      <c r="A565" s="2">
        <f t="shared" ca="1" si="2"/>
        <v>85</v>
      </c>
      <c r="B565" s="1" t="s">
        <v>456</v>
      </c>
      <c r="C565" s="18">
        <v>45907</v>
      </c>
      <c r="D565" s="1" t="s">
        <v>377</v>
      </c>
      <c r="E565" s="1" t="s">
        <v>22</v>
      </c>
      <c r="F565" s="1">
        <v>29</v>
      </c>
      <c r="G565" s="1">
        <v>19</v>
      </c>
      <c r="H565" s="1">
        <v>6</v>
      </c>
      <c r="I565" s="1">
        <v>12</v>
      </c>
      <c r="J565" s="1">
        <v>5</v>
      </c>
      <c r="K565" s="1">
        <v>71</v>
      </c>
      <c r="L565" s="5">
        <f t="shared" ca="1" si="3"/>
        <v>70</v>
      </c>
    </row>
    <row r="566" spans="1:12" x14ac:dyDescent="0.25">
      <c r="A566" s="2">
        <f t="shared" ca="1" si="2"/>
        <v>88</v>
      </c>
      <c r="B566" s="1" t="s">
        <v>139</v>
      </c>
      <c r="C566" s="18">
        <v>44409</v>
      </c>
      <c r="D566" s="1" t="s">
        <v>69</v>
      </c>
      <c r="E566" s="1" t="s">
        <v>22</v>
      </c>
      <c r="F566" s="1">
        <v>30</v>
      </c>
      <c r="G566" s="1">
        <v>21</v>
      </c>
      <c r="H566" s="1">
        <v>5</v>
      </c>
      <c r="I566" s="1">
        <v>13</v>
      </c>
      <c r="J566" s="1">
        <v>6</v>
      </c>
      <c r="K566" s="1">
        <v>75</v>
      </c>
      <c r="L566" s="5">
        <f t="shared" ca="1" si="3"/>
        <v>69.900000000000006</v>
      </c>
    </row>
    <row r="567" spans="1:12" x14ac:dyDescent="0.25">
      <c r="A567" s="2">
        <f t="shared" ca="1" si="2"/>
        <v>89</v>
      </c>
      <c r="B567" s="29" t="s">
        <v>292</v>
      </c>
      <c r="C567" s="18">
        <v>45109</v>
      </c>
      <c r="D567" s="1" t="s">
        <v>154</v>
      </c>
      <c r="E567" s="1" t="s">
        <v>22</v>
      </c>
      <c r="F567" s="1">
        <v>28</v>
      </c>
      <c r="G567" s="1">
        <v>18</v>
      </c>
      <c r="H567" s="1">
        <v>6</v>
      </c>
      <c r="I567" s="1">
        <v>13</v>
      </c>
      <c r="J567" s="1">
        <v>8</v>
      </c>
      <c r="K567" s="1">
        <v>73</v>
      </c>
      <c r="L567" s="5">
        <f t="shared" ca="1" si="3"/>
        <v>69.8</v>
      </c>
    </row>
    <row r="568" spans="1:12" x14ac:dyDescent="0.25">
      <c r="A568" s="2">
        <f t="shared" ca="1" si="2"/>
        <v>90</v>
      </c>
      <c r="B568" s="1" t="s">
        <v>415</v>
      </c>
      <c r="C568" s="18">
        <v>45732</v>
      </c>
      <c r="D568" s="1" t="s">
        <v>73</v>
      </c>
      <c r="E568" s="1" t="s">
        <v>22</v>
      </c>
      <c r="F568" s="1">
        <v>28</v>
      </c>
      <c r="G568" s="1">
        <v>22</v>
      </c>
      <c r="H568" s="1">
        <v>5</v>
      </c>
      <c r="I568" s="1">
        <v>10</v>
      </c>
      <c r="J568" s="1">
        <v>6</v>
      </c>
      <c r="K568" s="1">
        <v>71</v>
      </c>
      <c r="L568" s="5">
        <f t="shared" ca="1" si="3"/>
        <v>69.5</v>
      </c>
    </row>
    <row r="569" spans="1:12" x14ac:dyDescent="0.25">
      <c r="A569" s="2">
        <f t="shared" ca="1" si="2"/>
        <v>91</v>
      </c>
      <c r="B569" s="29" t="s">
        <v>196</v>
      </c>
      <c r="C569" s="18">
        <v>44612</v>
      </c>
      <c r="D569" s="1" t="s">
        <v>69</v>
      </c>
      <c r="E569" s="1" t="s">
        <v>22</v>
      </c>
      <c r="F569" s="1">
        <v>30</v>
      </c>
      <c r="G569" s="1">
        <v>16</v>
      </c>
      <c r="H569" s="1">
        <v>7</v>
      </c>
      <c r="I569" s="1">
        <v>14</v>
      </c>
      <c r="J569" s="1">
        <v>7</v>
      </c>
      <c r="K569" s="1">
        <v>74</v>
      </c>
      <c r="L569" s="5">
        <f t="shared" ca="1" si="3"/>
        <v>69.400000000000006</v>
      </c>
    </row>
    <row r="570" spans="1:12" x14ac:dyDescent="0.25">
      <c r="A570" s="2">
        <f t="shared" ca="1" si="2"/>
        <v>91</v>
      </c>
      <c r="B570" s="29" t="s">
        <v>486</v>
      </c>
      <c r="C570" s="18">
        <v>46054</v>
      </c>
      <c r="D570" s="1" t="s">
        <v>71</v>
      </c>
      <c r="E570" s="1" t="s">
        <v>22</v>
      </c>
      <c r="F570" s="1">
        <v>30</v>
      </c>
      <c r="G570" s="1">
        <v>19</v>
      </c>
      <c r="H570" s="1">
        <v>8</v>
      </c>
      <c r="I570" s="1">
        <v>8</v>
      </c>
      <c r="J570" s="1">
        <v>5</v>
      </c>
      <c r="K570" s="1">
        <v>70</v>
      </c>
      <c r="L570" s="5">
        <f t="shared" ca="1" si="3"/>
        <v>69.400000000000006</v>
      </c>
    </row>
    <row r="571" spans="1:12" x14ac:dyDescent="0.25">
      <c r="A571" s="2">
        <f t="shared" ca="1" si="2"/>
        <v>93</v>
      </c>
      <c r="B571" s="29" t="s">
        <v>258</v>
      </c>
      <c r="C571" s="18">
        <v>44927</v>
      </c>
      <c r="D571" s="1" t="s">
        <v>68</v>
      </c>
      <c r="E571" s="1" t="s">
        <v>22</v>
      </c>
      <c r="F571" s="1">
        <v>26</v>
      </c>
      <c r="G571" s="1">
        <v>18</v>
      </c>
      <c r="H571" s="1">
        <v>6</v>
      </c>
      <c r="I571" s="1">
        <v>15</v>
      </c>
      <c r="J571" s="1">
        <v>8</v>
      </c>
      <c r="K571" s="1">
        <v>73</v>
      </c>
      <c r="L571" s="5">
        <f t="shared" ca="1" si="3"/>
        <v>69.3</v>
      </c>
    </row>
    <row r="572" spans="1:12" x14ac:dyDescent="0.25">
      <c r="A572" s="2">
        <f t="shared" ca="1" si="2"/>
        <v>93</v>
      </c>
      <c r="B572" s="29" t="s">
        <v>87</v>
      </c>
      <c r="C572" s="18">
        <v>43832</v>
      </c>
      <c r="D572" s="1" t="s">
        <v>69</v>
      </c>
      <c r="E572" s="1" t="s">
        <v>22</v>
      </c>
      <c r="F572" s="1">
        <v>29</v>
      </c>
      <c r="G572" s="1">
        <v>20</v>
      </c>
      <c r="H572" s="1">
        <v>7</v>
      </c>
      <c r="I572" s="1">
        <v>13</v>
      </c>
      <c r="J572" s="1">
        <v>7</v>
      </c>
      <c r="K572" s="1">
        <v>76</v>
      </c>
      <c r="L572" s="5">
        <f t="shared" ca="1" si="3"/>
        <v>69.3</v>
      </c>
    </row>
    <row r="573" spans="1:12" x14ac:dyDescent="0.25">
      <c r="A573" s="2">
        <f t="shared" ca="1" si="2"/>
        <v>95</v>
      </c>
      <c r="B573" s="1" t="s">
        <v>163</v>
      </c>
      <c r="C573" s="18">
        <v>44465</v>
      </c>
      <c r="D573" s="1" t="s">
        <v>154</v>
      </c>
      <c r="E573" s="1" t="s">
        <v>22</v>
      </c>
      <c r="F573" s="1">
        <v>29</v>
      </c>
      <c r="G573" s="1">
        <v>16</v>
      </c>
      <c r="H573" s="1">
        <v>7</v>
      </c>
      <c r="I573" s="1">
        <v>15</v>
      </c>
      <c r="J573" s="1">
        <v>7</v>
      </c>
      <c r="K573" s="1">
        <v>74</v>
      </c>
      <c r="L573" s="5">
        <f t="shared" ca="1" si="3"/>
        <v>69</v>
      </c>
    </row>
    <row r="574" spans="1:12" x14ac:dyDescent="0.25">
      <c r="A574" s="2">
        <f t="shared" ca="1" si="2"/>
        <v>95</v>
      </c>
      <c r="B574" s="29" t="s">
        <v>155</v>
      </c>
      <c r="C574" s="18">
        <v>44444</v>
      </c>
      <c r="D574" s="1" t="s">
        <v>73</v>
      </c>
      <c r="E574" s="1" t="s">
        <v>22</v>
      </c>
      <c r="F574" s="1">
        <v>29</v>
      </c>
      <c r="G574" s="1">
        <v>18</v>
      </c>
      <c r="H574" s="1">
        <v>5</v>
      </c>
      <c r="I574" s="1">
        <v>14</v>
      </c>
      <c r="J574" s="1">
        <v>8</v>
      </c>
      <c r="K574" s="1">
        <v>74</v>
      </c>
      <c r="L574" s="5">
        <f t="shared" ca="1" si="3"/>
        <v>69</v>
      </c>
    </row>
    <row r="575" spans="1:12" x14ac:dyDescent="0.25">
      <c r="A575" s="2">
        <f t="shared" ca="1" si="2"/>
        <v>95</v>
      </c>
      <c r="B575" s="1" t="s">
        <v>533</v>
      </c>
      <c r="C575" s="18">
        <v>46285</v>
      </c>
      <c r="D575" s="1" t="s">
        <v>483</v>
      </c>
      <c r="E575" s="1" t="s">
        <v>22</v>
      </c>
      <c r="F575" s="1">
        <v>28</v>
      </c>
      <c r="G575" s="1">
        <v>18</v>
      </c>
      <c r="H575" s="1">
        <v>5</v>
      </c>
      <c r="I575" s="1">
        <v>12</v>
      </c>
      <c r="J575" s="1">
        <v>6</v>
      </c>
      <c r="K575" s="1">
        <v>69</v>
      </c>
      <c r="L575" s="5">
        <f t="shared" ca="1" si="3"/>
        <v>69</v>
      </c>
    </row>
    <row r="576" spans="1:12" x14ac:dyDescent="0.25">
      <c r="A576" s="2">
        <f t="shared" ca="1" si="2"/>
        <v>98</v>
      </c>
      <c r="B576" s="1" t="s">
        <v>119</v>
      </c>
      <c r="C576" s="18">
        <v>44311</v>
      </c>
      <c r="D576" s="1" t="s">
        <v>72</v>
      </c>
      <c r="E576" s="1" t="s">
        <v>22</v>
      </c>
      <c r="F576" s="1">
        <v>27</v>
      </c>
      <c r="G576" s="1">
        <v>17</v>
      </c>
      <c r="H576" s="1">
        <v>7</v>
      </c>
      <c r="I576" s="1">
        <v>16</v>
      </c>
      <c r="J576" s="1">
        <v>7</v>
      </c>
      <c r="K576" s="1">
        <v>74</v>
      </c>
      <c r="L576" s="5">
        <f t="shared" ca="1" si="3"/>
        <v>68.599999999999994</v>
      </c>
    </row>
    <row r="577" spans="1:12" x14ac:dyDescent="0.25">
      <c r="A577" s="2">
        <f t="shared" ca="1" si="2"/>
        <v>99</v>
      </c>
      <c r="B577" s="29" t="s">
        <v>493</v>
      </c>
      <c r="C577" s="18">
        <v>46068</v>
      </c>
      <c r="D577" s="1" t="s">
        <v>377</v>
      </c>
      <c r="E577" s="1" t="s">
        <v>22</v>
      </c>
      <c r="F577" s="1">
        <v>26</v>
      </c>
      <c r="G577" s="1">
        <v>18</v>
      </c>
      <c r="H577" s="1">
        <v>6</v>
      </c>
      <c r="I577" s="1">
        <v>13</v>
      </c>
      <c r="J577" s="1">
        <v>6</v>
      </c>
      <c r="K577" s="1">
        <v>69</v>
      </c>
      <c r="L577" s="5">
        <f t="shared" ca="1" si="3"/>
        <v>68.400000000000006</v>
      </c>
    </row>
    <row r="578" spans="1:12" x14ac:dyDescent="0.25">
      <c r="A578" s="2">
        <f t="shared" ca="1" si="2"/>
        <v>99</v>
      </c>
      <c r="B578" s="1" t="s">
        <v>410</v>
      </c>
      <c r="C578" s="18">
        <v>45690</v>
      </c>
      <c r="D578" s="1" t="s">
        <v>309</v>
      </c>
      <c r="E578" s="1" t="s">
        <v>22</v>
      </c>
      <c r="F578" s="1">
        <v>28</v>
      </c>
      <c r="G578" s="1">
        <v>18</v>
      </c>
      <c r="H578" s="1">
        <v>6</v>
      </c>
      <c r="I578" s="1">
        <v>13</v>
      </c>
      <c r="J578" s="1">
        <v>5</v>
      </c>
      <c r="K578" s="1">
        <v>70</v>
      </c>
      <c r="L578" s="5">
        <f t="shared" ca="1" si="3"/>
        <v>68.400000000000006</v>
      </c>
    </row>
    <row r="579" spans="1:12" x14ac:dyDescent="0.25">
      <c r="A579" s="2">
        <f t="shared" ca="1" si="2"/>
        <v>99</v>
      </c>
      <c r="B579" s="1" t="s">
        <v>328</v>
      </c>
      <c r="C579" s="18">
        <v>45319</v>
      </c>
      <c r="D579" s="1" t="s">
        <v>66</v>
      </c>
      <c r="E579" s="1" t="s">
        <v>22</v>
      </c>
      <c r="F579" s="1">
        <v>29</v>
      </c>
      <c r="G579" s="1">
        <v>18</v>
      </c>
      <c r="H579" s="1">
        <v>5</v>
      </c>
      <c r="I579" s="1">
        <v>13</v>
      </c>
      <c r="J579" s="1">
        <v>6</v>
      </c>
      <c r="K579" s="1">
        <v>71</v>
      </c>
      <c r="L579" s="5">
        <f t="shared" ca="1" si="3"/>
        <v>68.400000000000006</v>
      </c>
    </row>
    <row r="580" spans="1:12" x14ac:dyDescent="0.25">
      <c r="A580" s="2">
        <f t="shared" ca="1" si="2"/>
        <v>99</v>
      </c>
      <c r="B580" s="1" t="s">
        <v>485</v>
      </c>
      <c r="C580" s="18">
        <v>46047</v>
      </c>
      <c r="D580" s="1" t="s">
        <v>68</v>
      </c>
      <c r="E580" s="1" t="s">
        <v>22</v>
      </c>
      <c r="F580" s="1">
        <v>27</v>
      </c>
      <c r="G580" s="1">
        <v>20</v>
      </c>
      <c r="H580" s="1">
        <v>4</v>
      </c>
      <c r="I580" s="1">
        <v>11</v>
      </c>
      <c r="J580" s="1">
        <v>7</v>
      </c>
      <c r="K580" s="1">
        <v>69</v>
      </c>
      <c r="L580" s="5">
        <f t="shared" ca="1" si="3"/>
        <v>68.400000000000006</v>
      </c>
    </row>
    <row r="581" spans="1:12" x14ac:dyDescent="0.25">
      <c r="A581" s="2">
        <f t="shared" ca="1" si="2"/>
        <v>103</v>
      </c>
      <c r="B581" s="29" t="s">
        <v>398</v>
      </c>
      <c r="C581" s="18">
        <v>45655</v>
      </c>
      <c r="D581" s="1" t="s">
        <v>149</v>
      </c>
      <c r="E581" s="1" t="s">
        <v>22</v>
      </c>
      <c r="F581" s="1">
        <v>29</v>
      </c>
      <c r="G581" s="1">
        <v>16</v>
      </c>
      <c r="H581" s="1">
        <v>6</v>
      </c>
      <c r="I581" s="1">
        <v>15</v>
      </c>
      <c r="J581" s="1">
        <v>4</v>
      </c>
      <c r="K581" s="1">
        <v>70</v>
      </c>
      <c r="L581" s="5">
        <f t="shared" ca="1" si="3"/>
        <v>68.3</v>
      </c>
    </row>
    <row r="582" spans="1:12" x14ac:dyDescent="0.25">
      <c r="A582" s="2">
        <f t="shared" ca="1" si="2"/>
        <v>104</v>
      </c>
      <c r="B582" s="1" t="s">
        <v>394</v>
      </c>
      <c r="C582" s="18">
        <v>45641</v>
      </c>
      <c r="D582" s="1" t="s">
        <v>266</v>
      </c>
      <c r="E582" s="1" t="s">
        <v>22</v>
      </c>
      <c r="F582" s="1">
        <v>28</v>
      </c>
      <c r="G582" s="1">
        <v>18</v>
      </c>
      <c r="H582" s="1">
        <v>7</v>
      </c>
      <c r="I582" s="1">
        <v>12</v>
      </c>
      <c r="J582" s="1">
        <v>5</v>
      </c>
      <c r="K582" s="1">
        <v>70</v>
      </c>
      <c r="L582" s="5">
        <f t="shared" ca="1" si="3"/>
        <v>68.2</v>
      </c>
    </row>
    <row r="583" spans="1:12" x14ac:dyDescent="0.25">
      <c r="A583" s="2">
        <f t="shared" ca="1" si="2"/>
        <v>104</v>
      </c>
      <c r="B583" s="1" t="s">
        <v>178</v>
      </c>
      <c r="C583" s="18">
        <v>44521</v>
      </c>
      <c r="D583" s="1" t="s">
        <v>74</v>
      </c>
      <c r="E583" s="1" t="s">
        <v>22</v>
      </c>
      <c r="F583" s="1">
        <v>29</v>
      </c>
      <c r="G583" s="1">
        <v>20</v>
      </c>
      <c r="H583" s="1">
        <v>5</v>
      </c>
      <c r="I583" s="1">
        <v>14</v>
      </c>
      <c r="J583" s="1">
        <v>5</v>
      </c>
      <c r="K583" s="1">
        <v>73</v>
      </c>
      <c r="L583" s="5">
        <f t="shared" ca="1" si="3"/>
        <v>68.2</v>
      </c>
    </row>
    <row r="584" spans="1:12" x14ac:dyDescent="0.25">
      <c r="A584" s="2">
        <f t="shared" ca="1" si="2"/>
        <v>106</v>
      </c>
      <c r="B584" s="29" t="s">
        <v>247</v>
      </c>
      <c r="C584" s="18">
        <v>44850</v>
      </c>
      <c r="D584" s="1" t="s">
        <v>68</v>
      </c>
      <c r="E584" s="1" t="s">
        <v>22</v>
      </c>
      <c r="F584" s="1">
        <v>27</v>
      </c>
      <c r="G584" s="1">
        <v>18</v>
      </c>
      <c r="H584" s="1">
        <v>6</v>
      </c>
      <c r="I584" s="1">
        <v>13</v>
      </c>
      <c r="J584" s="1">
        <v>8</v>
      </c>
      <c r="K584" s="1">
        <v>72</v>
      </c>
      <c r="L584" s="5">
        <f t="shared" ca="1" si="3"/>
        <v>68.099999999999994</v>
      </c>
    </row>
    <row r="585" spans="1:12" x14ac:dyDescent="0.25">
      <c r="A585" s="2">
        <f t="shared" ca="1" si="2"/>
        <v>107</v>
      </c>
      <c r="B585" s="29" t="s">
        <v>164</v>
      </c>
      <c r="C585" s="18">
        <v>44472</v>
      </c>
      <c r="D585" s="1" t="s">
        <v>71</v>
      </c>
      <c r="E585" s="1" t="s">
        <v>22</v>
      </c>
      <c r="F585" s="1">
        <v>29</v>
      </c>
      <c r="G585" s="1">
        <v>19</v>
      </c>
      <c r="H585" s="1">
        <v>5</v>
      </c>
      <c r="I585" s="1">
        <v>14</v>
      </c>
      <c r="J585" s="1">
        <v>6</v>
      </c>
      <c r="K585" s="1">
        <v>73</v>
      </c>
      <c r="L585" s="5">
        <f t="shared" ca="1" si="3"/>
        <v>68</v>
      </c>
    </row>
    <row r="586" spans="1:12" x14ac:dyDescent="0.25">
      <c r="A586" s="2">
        <f t="shared" ca="1" si="2"/>
        <v>107</v>
      </c>
      <c r="B586" s="29" t="s">
        <v>376</v>
      </c>
      <c r="C586" s="18">
        <v>45564</v>
      </c>
      <c r="D586" s="1" t="s">
        <v>71</v>
      </c>
      <c r="E586" s="1" t="s">
        <v>22</v>
      </c>
      <c r="F586" s="1">
        <v>29</v>
      </c>
      <c r="G586" s="1">
        <v>17</v>
      </c>
      <c r="H586" s="1">
        <v>7</v>
      </c>
      <c r="I586" s="1">
        <v>12</v>
      </c>
      <c r="J586" s="1">
        <v>5</v>
      </c>
      <c r="K586" s="1">
        <v>70</v>
      </c>
      <c r="L586" s="5">
        <f t="shared" ca="1" si="3"/>
        <v>68</v>
      </c>
    </row>
    <row r="587" spans="1:12" x14ac:dyDescent="0.25">
      <c r="A587" s="2">
        <f t="shared" ca="1" si="2"/>
        <v>107</v>
      </c>
      <c r="B587" s="1" t="s">
        <v>529</v>
      </c>
      <c r="C587" s="18">
        <v>46271</v>
      </c>
      <c r="D587" s="1" t="s">
        <v>74</v>
      </c>
      <c r="E587" s="1" t="s">
        <v>22</v>
      </c>
      <c r="F587" s="1">
        <v>28</v>
      </c>
      <c r="G587" s="1">
        <v>19</v>
      </c>
      <c r="H587" s="1">
        <v>6</v>
      </c>
      <c r="I587" s="1">
        <v>10</v>
      </c>
      <c r="J587" s="1">
        <v>5</v>
      </c>
      <c r="K587" s="1">
        <v>68</v>
      </c>
      <c r="L587" s="5">
        <f t="shared" ca="1" si="3"/>
        <v>68</v>
      </c>
    </row>
    <row r="588" spans="1:12" x14ac:dyDescent="0.25">
      <c r="A588" s="2">
        <f t="shared" ca="1" si="2"/>
        <v>110</v>
      </c>
      <c r="B588" s="1" t="s">
        <v>144</v>
      </c>
      <c r="C588" s="18">
        <v>44423</v>
      </c>
      <c r="D588" s="1" t="s">
        <v>69</v>
      </c>
      <c r="E588" s="1" t="s">
        <v>22</v>
      </c>
      <c r="F588" s="1">
        <v>26</v>
      </c>
      <c r="G588" s="1">
        <v>19</v>
      </c>
      <c r="H588" s="1">
        <v>5</v>
      </c>
      <c r="I588" s="1">
        <v>16</v>
      </c>
      <c r="J588" s="1">
        <v>7</v>
      </c>
      <c r="K588" s="1">
        <v>73</v>
      </c>
      <c r="L588" s="5">
        <f t="shared" ca="1" si="3"/>
        <v>67.900000000000006</v>
      </c>
    </row>
    <row r="589" spans="1:12" x14ac:dyDescent="0.25">
      <c r="A589" s="2">
        <f t="shared" ca="1" si="2"/>
        <v>111</v>
      </c>
      <c r="B589" s="1" t="s">
        <v>438</v>
      </c>
      <c r="C589" s="18">
        <v>45830</v>
      </c>
      <c r="D589" s="1" t="s">
        <v>69</v>
      </c>
      <c r="E589" s="1" t="s">
        <v>22</v>
      </c>
      <c r="F589" s="1">
        <v>27</v>
      </c>
      <c r="G589" s="1">
        <v>19</v>
      </c>
      <c r="H589" s="1">
        <v>5</v>
      </c>
      <c r="I589" s="1">
        <v>12</v>
      </c>
      <c r="J589" s="1">
        <v>6</v>
      </c>
      <c r="K589" s="1">
        <v>69</v>
      </c>
      <c r="L589" s="5">
        <f t="shared" ca="1" si="3"/>
        <v>67.8</v>
      </c>
    </row>
    <row r="590" spans="1:12" x14ac:dyDescent="0.25">
      <c r="A590" s="2">
        <f t="shared" ca="1" si="2"/>
        <v>112</v>
      </c>
      <c r="B590" s="29" t="s">
        <v>284</v>
      </c>
      <c r="C590" s="18">
        <v>45074</v>
      </c>
      <c r="D590" s="1" t="s">
        <v>154</v>
      </c>
      <c r="E590" s="1" t="s">
        <v>22</v>
      </c>
      <c r="F590" s="1">
        <v>28</v>
      </c>
      <c r="G590" s="1">
        <v>17</v>
      </c>
      <c r="H590" s="1">
        <v>7</v>
      </c>
      <c r="I590" s="1">
        <v>14</v>
      </c>
      <c r="J590" s="1">
        <v>5</v>
      </c>
      <c r="K590" s="1">
        <v>71</v>
      </c>
      <c r="L590" s="5">
        <f t="shared" ca="1" si="3"/>
        <v>67.7</v>
      </c>
    </row>
    <row r="591" spans="1:12" x14ac:dyDescent="0.25">
      <c r="A591" s="2">
        <f t="shared" ca="1" si="2"/>
        <v>113</v>
      </c>
      <c r="B591" s="1" t="s">
        <v>509</v>
      </c>
      <c r="C591" s="18">
        <v>46138</v>
      </c>
      <c r="D591" s="1" t="s">
        <v>483</v>
      </c>
      <c r="E591" s="1" t="s">
        <v>22</v>
      </c>
      <c r="F591" s="1">
        <v>28</v>
      </c>
      <c r="G591" s="1">
        <v>18</v>
      </c>
      <c r="H591" s="1">
        <v>6</v>
      </c>
      <c r="I591" s="1">
        <v>12</v>
      </c>
      <c r="J591" s="1">
        <v>4</v>
      </c>
      <c r="K591" s="1">
        <v>68</v>
      </c>
      <c r="L591" s="5">
        <f t="shared" ca="1" si="3"/>
        <v>67.599999999999994</v>
      </c>
    </row>
    <row r="592" spans="1:12" x14ac:dyDescent="0.25">
      <c r="A592" s="2">
        <f t="shared" ca="1" si="2"/>
        <v>113</v>
      </c>
      <c r="B592" s="1" t="s">
        <v>339</v>
      </c>
      <c r="C592" s="18">
        <v>45389</v>
      </c>
      <c r="D592" s="1" t="s">
        <v>266</v>
      </c>
      <c r="E592" s="1" t="s">
        <v>22</v>
      </c>
      <c r="F592" s="1">
        <v>27</v>
      </c>
      <c r="G592" s="1">
        <v>18</v>
      </c>
      <c r="H592" s="1">
        <v>5</v>
      </c>
      <c r="I592" s="1">
        <v>15</v>
      </c>
      <c r="J592" s="1">
        <v>5</v>
      </c>
      <c r="K592" s="1">
        <v>70</v>
      </c>
      <c r="L592" s="5">
        <f t="shared" ca="1" si="3"/>
        <v>67.599999999999994</v>
      </c>
    </row>
    <row r="593" spans="1:12" x14ac:dyDescent="0.25">
      <c r="A593" s="2">
        <f t="shared" ca="1" si="2"/>
        <v>115</v>
      </c>
      <c r="B593" s="29" t="s">
        <v>113</v>
      </c>
      <c r="C593" s="18">
        <v>44290</v>
      </c>
      <c r="D593" s="1" t="s">
        <v>71</v>
      </c>
      <c r="E593" s="1" t="s">
        <v>22</v>
      </c>
      <c r="F593" s="1">
        <v>28</v>
      </c>
      <c r="G593" s="1">
        <v>19</v>
      </c>
      <c r="H593" s="1">
        <v>5</v>
      </c>
      <c r="I593" s="1">
        <v>14</v>
      </c>
      <c r="J593" s="1">
        <v>7</v>
      </c>
      <c r="K593" s="1">
        <v>73</v>
      </c>
      <c r="L593" s="5">
        <f t="shared" ca="1" si="3"/>
        <v>67.5</v>
      </c>
    </row>
    <row r="594" spans="1:12" x14ac:dyDescent="0.25">
      <c r="A594" s="2">
        <f t="shared" ca="1" si="2"/>
        <v>116</v>
      </c>
      <c r="B594" s="29" t="s">
        <v>327</v>
      </c>
      <c r="C594" s="18">
        <v>45312</v>
      </c>
      <c r="D594" s="1" t="s">
        <v>149</v>
      </c>
      <c r="E594" s="1" t="s">
        <v>22</v>
      </c>
      <c r="F594" s="1">
        <v>28</v>
      </c>
      <c r="G594" s="1">
        <v>18</v>
      </c>
      <c r="H594" s="1">
        <v>7</v>
      </c>
      <c r="I594" s="1">
        <v>11</v>
      </c>
      <c r="J594" s="1">
        <v>6</v>
      </c>
      <c r="K594" s="1">
        <v>70</v>
      </c>
      <c r="L594" s="5">
        <f t="shared" ca="1" si="3"/>
        <v>67.3</v>
      </c>
    </row>
    <row r="595" spans="1:12" x14ac:dyDescent="0.25">
      <c r="A595" s="2">
        <f t="shared" ca="1" si="2"/>
        <v>117</v>
      </c>
      <c r="B595" s="1" t="s">
        <v>177</v>
      </c>
      <c r="C595" s="18">
        <v>44521</v>
      </c>
      <c r="D595" s="1" t="s">
        <v>74</v>
      </c>
      <c r="E595" s="1" t="s">
        <v>22</v>
      </c>
      <c r="F595" s="1">
        <v>27</v>
      </c>
      <c r="G595" s="1">
        <v>19</v>
      </c>
      <c r="H595" s="1">
        <v>6</v>
      </c>
      <c r="I595" s="1">
        <v>15</v>
      </c>
      <c r="J595" s="1">
        <v>5</v>
      </c>
      <c r="K595" s="1">
        <v>72</v>
      </c>
      <c r="L595" s="5">
        <f t="shared" ca="1" si="3"/>
        <v>67.2</v>
      </c>
    </row>
    <row r="596" spans="1:12" x14ac:dyDescent="0.25">
      <c r="A596" s="2">
        <f t="shared" ca="1" si="2"/>
        <v>117</v>
      </c>
      <c r="B596" s="1" t="s">
        <v>253</v>
      </c>
      <c r="C596" s="18">
        <v>44885</v>
      </c>
      <c r="D596" s="1" t="s">
        <v>74</v>
      </c>
      <c r="E596" s="1" t="s">
        <v>22</v>
      </c>
      <c r="F596" s="1">
        <v>27</v>
      </c>
      <c r="G596" s="1">
        <v>16</v>
      </c>
      <c r="H596" s="1">
        <v>6</v>
      </c>
      <c r="I596" s="1">
        <v>16</v>
      </c>
      <c r="J596" s="1">
        <v>6</v>
      </c>
      <c r="K596" s="1">
        <v>71</v>
      </c>
      <c r="L596" s="5">
        <f t="shared" ca="1" si="3"/>
        <v>67.2</v>
      </c>
    </row>
    <row r="597" spans="1:12" x14ac:dyDescent="0.25">
      <c r="A597" s="2">
        <f t="shared" ca="1" si="2"/>
        <v>119</v>
      </c>
      <c r="B597" s="1" t="s">
        <v>158</v>
      </c>
      <c r="C597" s="18">
        <v>44451</v>
      </c>
      <c r="D597" s="1" t="s">
        <v>154</v>
      </c>
      <c r="E597" s="1" t="s">
        <v>22</v>
      </c>
      <c r="F597" s="1">
        <v>27</v>
      </c>
      <c r="G597" s="1">
        <v>21</v>
      </c>
      <c r="H597" s="1">
        <v>6</v>
      </c>
      <c r="I597" s="1">
        <v>12</v>
      </c>
      <c r="J597" s="1">
        <v>6</v>
      </c>
      <c r="K597" s="1">
        <v>72</v>
      </c>
      <c r="L597" s="5">
        <f t="shared" ca="1" si="3"/>
        <v>67</v>
      </c>
    </row>
    <row r="598" spans="1:12" x14ac:dyDescent="0.25">
      <c r="A598" s="2">
        <f t="shared" ca="1" si="2"/>
        <v>120</v>
      </c>
      <c r="B598" s="29" t="s">
        <v>356</v>
      </c>
      <c r="C598" s="18">
        <v>45165</v>
      </c>
      <c r="D598" s="1" t="s">
        <v>67</v>
      </c>
      <c r="E598" s="1" t="s">
        <v>22</v>
      </c>
      <c r="F598" s="1">
        <v>26</v>
      </c>
      <c r="G598" s="1">
        <v>17</v>
      </c>
      <c r="H598" s="1">
        <v>5</v>
      </c>
      <c r="I598" s="1">
        <v>16</v>
      </c>
      <c r="J598" s="1">
        <v>6</v>
      </c>
      <c r="K598" s="1">
        <v>70</v>
      </c>
      <c r="L598" s="5">
        <f t="shared" ca="1" si="3"/>
        <v>66.900000000000006</v>
      </c>
    </row>
    <row r="599" spans="1:12" x14ac:dyDescent="0.25">
      <c r="A599" s="2">
        <f t="shared" ca="1" si="2"/>
        <v>120</v>
      </c>
      <c r="B599" s="29" t="s">
        <v>21</v>
      </c>
      <c r="C599" s="18">
        <v>44409</v>
      </c>
      <c r="D599" s="1" t="s">
        <v>71</v>
      </c>
      <c r="E599" s="1" t="s">
        <v>22</v>
      </c>
      <c r="F599" s="1">
        <v>27</v>
      </c>
      <c r="G599" s="1">
        <v>15</v>
      </c>
      <c r="H599" s="1">
        <v>6</v>
      </c>
      <c r="I599" s="1">
        <v>16</v>
      </c>
      <c r="J599" s="1">
        <v>8</v>
      </c>
      <c r="K599" s="1">
        <v>72</v>
      </c>
      <c r="L599" s="5">
        <f t="shared" ca="1" si="3"/>
        <v>66.900000000000006</v>
      </c>
    </row>
    <row r="600" spans="1:12" x14ac:dyDescent="0.25">
      <c r="A600" s="2">
        <f t="shared" ca="1" si="2"/>
        <v>122</v>
      </c>
      <c r="B600" s="1" t="s">
        <v>420</v>
      </c>
      <c r="C600" s="18">
        <v>45746</v>
      </c>
      <c r="D600" s="1" t="s">
        <v>74</v>
      </c>
      <c r="E600" s="1" t="s">
        <v>22</v>
      </c>
      <c r="F600" s="1">
        <v>27</v>
      </c>
      <c r="G600" s="1">
        <v>19</v>
      </c>
      <c r="H600" s="1">
        <v>5</v>
      </c>
      <c r="I600" s="1">
        <v>12</v>
      </c>
      <c r="J600" s="1">
        <v>5</v>
      </c>
      <c r="K600" s="1">
        <v>68</v>
      </c>
      <c r="L600" s="5">
        <f t="shared" ca="1" si="3"/>
        <v>66.5</v>
      </c>
    </row>
    <row r="601" spans="1:12" x14ac:dyDescent="0.25">
      <c r="A601" s="2">
        <f t="shared" ca="1" si="2"/>
        <v>122</v>
      </c>
      <c r="B601" s="29" t="s">
        <v>501</v>
      </c>
      <c r="C601" s="18">
        <v>46110</v>
      </c>
      <c r="D601" s="1" t="s">
        <v>73</v>
      </c>
      <c r="E601" s="1" t="s">
        <v>22</v>
      </c>
      <c r="F601" s="1">
        <v>27</v>
      </c>
      <c r="G601" s="1">
        <v>18</v>
      </c>
      <c r="H601" s="1">
        <v>4</v>
      </c>
      <c r="I601" s="1">
        <v>13</v>
      </c>
      <c r="J601" s="1">
        <v>5</v>
      </c>
      <c r="K601" s="1">
        <v>67</v>
      </c>
      <c r="L601" s="5">
        <f t="shared" ca="1" si="3"/>
        <v>66.5</v>
      </c>
    </row>
    <row r="602" spans="1:12" x14ac:dyDescent="0.25">
      <c r="A602" s="2">
        <f t="shared" ca="1" si="2"/>
        <v>122</v>
      </c>
      <c r="B602" s="29" t="s">
        <v>419</v>
      </c>
      <c r="C602" s="18">
        <v>45739</v>
      </c>
      <c r="D602" s="1" t="s">
        <v>68</v>
      </c>
      <c r="E602" s="1" t="s">
        <v>22</v>
      </c>
      <c r="F602" s="1">
        <v>28</v>
      </c>
      <c r="G602" s="1">
        <v>17</v>
      </c>
      <c r="H602" s="1">
        <v>7</v>
      </c>
      <c r="I602" s="1">
        <v>11</v>
      </c>
      <c r="J602" s="1">
        <v>5</v>
      </c>
      <c r="K602" s="1">
        <v>68</v>
      </c>
      <c r="L602" s="5">
        <f t="shared" ca="1" si="3"/>
        <v>66.5</v>
      </c>
    </row>
    <row r="603" spans="1:12" x14ac:dyDescent="0.25">
      <c r="A603" s="2">
        <f t="shared" ca="1" si="2"/>
        <v>125</v>
      </c>
      <c r="B603" s="1" t="s">
        <v>193</v>
      </c>
      <c r="C603" s="18">
        <v>44605</v>
      </c>
      <c r="D603" s="1" t="s">
        <v>68</v>
      </c>
      <c r="E603" s="1" t="s">
        <v>22</v>
      </c>
      <c r="F603" s="1">
        <v>30</v>
      </c>
      <c r="G603" s="1">
        <v>17</v>
      </c>
      <c r="H603" s="1">
        <v>4</v>
      </c>
      <c r="I603" s="1">
        <v>14</v>
      </c>
      <c r="J603" s="1">
        <v>6</v>
      </c>
      <c r="K603" s="1">
        <v>71</v>
      </c>
      <c r="L603" s="5">
        <f t="shared" ca="1" si="3"/>
        <v>66.400000000000006</v>
      </c>
    </row>
    <row r="604" spans="1:12" x14ac:dyDescent="0.25">
      <c r="A604" s="2">
        <f t="shared" ca="1" si="2"/>
        <v>125</v>
      </c>
      <c r="B604" s="1" t="s">
        <v>269</v>
      </c>
      <c r="C604" s="18">
        <v>44962</v>
      </c>
      <c r="D604" s="1" t="s">
        <v>154</v>
      </c>
      <c r="E604" s="1" t="s">
        <v>22</v>
      </c>
      <c r="F604" s="1">
        <v>28</v>
      </c>
      <c r="G604" s="1">
        <v>17</v>
      </c>
      <c r="H604" s="1">
        <v>6</v>
      </c>
      <c r="I604" s="1">
        <v>13</v>
      </c>
      <c r="J604" s="1">
        <v>6</v>
      </c>
      <c r="K604" s="1">
        <v>70</v>
      </c>
      <c r="L604" s="5">
        <f t="shared" ca="1" si="3"/>
        <v>66.400000000000006</v>
      </c>
    </row>
    <row r="605" spans="1:12" x14ac:dyDescent="0.25">
      <c r="A605" s="2">
        <f t="shared" ca="1" si="2"/>
        <v>127</v>
      </c>
      <c r="B605" s="1" t="s">
        <v>406</v>
      </c>
      <c r="C605" s="18">
        <v>45676</v>
      </c>
      <c r="D605" s="1" t="s">
        <v>68</v>
      </c>
      <c r="E605" s="1" t="s">
        <v>22</v>
      </c>
      <c r="F605" s="1">
        <v>28</v>
      </c>
      <c r="G605" s="1">
        <v>16</v>
      </c>
      <c r="H605" s="1">
        <v>6</v>
      </c>
      <c r="I605" s="1">
        <v>10</v>
      </c>
      <c r="J605" s="1">
        <v>8</v>
      </c>
      <c r="K605" s="1">
        <v>68</v>
      </c>
      <c r="L605" s="5">
        <f t="shared" ca="1" si="3"/>
        <v>66.3</v>
      </c>
    </row>
    <row r="606" spans="1:12" x14ac:dyDescent="0.25">
      <c r="A606" s="2">
        <f t="shared" ca="1" si="2"/>
        <v>127</v>
      </c>
      <c r="B606" s="1" t="s">
        <v>261</v>
      </c>
      <c r="C606" s="18">
        <v>44934</v>
      </c>
      <c r="D606" s="1" t="s">
        <v>72</v>
      </c>
      <c r="E606" s="1" t="s">
        <v>22</v>
      </c>
      <c r="F606" s="1">
        <v>27</v>
      </c>
      <c r="G606" s="1">
        <v>17</v>
      </c>
      <c r="H606" s="1">
        <v>6</v>
      </c>
      <c r="I606" s="1">
        <v>13</v>
      </c>
      <c r="J606" s="1">
        <v>7</v>
      </c>
      <c r="K606" s="1">
        <v>70</v>
      </c>
      <c r="L606" s="5">
        <f t="shared" ca="1" si="3"/>
        <v>66.3</v>
      </c>
    </row>
    <row r="607" spans="1:12" x14ac:dyDescent="0.25">
      <c r="A607" s="2">
        <f t="shared" ref="A607:A670" ca="1" si="4">RANK(L607,$L$479:$L$718,0)</f>
        <v>129</v>
      </c>
      <c r="B607" s="1" t="s">
        <v>390</v>
      </c>
      <c r="C607" s="18">
        <v>45627</v>
      </c>
      <c r="D607" s="1" t="s">
        <v>66</v>
      </c>
      <c r="E607" s="1" t="s">
        <v>22</v>
      </c>
      <c r="F607" s="1">
        <v>28</v>
      </c>
      <c r="G607" s="1">
        <v>18</v>
      </c>
      <c r="H607" s="1">
        <v>5</v>
      </c>
      <c r="I607" s="1">
        <v>12</v>
      </c>
      <c r="J607" s="1">
        <v>5</v>
      </c>
      <c r="K607" s="1">
        <v>68</v>
      </c>
      <c r="L607" s="5">
        <f t="shared" ref="L607:L670" ca="1" si="5">K607-(ROUNDDOWN((($G$1-C607)/365),1))</f>
        <v>66.2</v>
      </c>
    </row>
    <row r="608" spans="1:12" x14ac:dyDescent="0.25">
      <c r="A608" s="2">
        <f t="shared" ca="1" si="4"/>
        <v>129</v>
      </c>
      <c r="B608" s="29" t="s">
        <v>471</v>
      </c>
      <c r="C608" s="18">
        <v>45983</v>
      </c>
      <c r="D608" s="1" t="s">
        <v>378</v>
      </c>
      <c r="E608" s="1" t="s">
        <v>22</v>
      </c>
      <c r="F608" s="1">
        <v>28</v>
      </c>
      <c r="G608" s="1">
        <v>16</v>
      </c>
      <c r="H608" s="1">
        <v>6</v>
      </c>
      <c r="I608" s="1">
        <v>9</v>
      </c>
      <c r="J608" s="1">
        <v>8</v>
      </c>
      <c r="K608" s="1">
        <v>67</v>
      </c>
      <c r="L608" s="5">
        <f t="shared" ca="1" si="5"/>
        <v>66.2</v>
      </c>
    </row>
    <row r="609" spans="1:12" x14ac:dyDescent="0.25">
      <c r="A609" s="2">
        <f t="shared" ca="1" si="4"/>
        <v>131</v>
      </c>
      <c r="B609" s="1" t="s">
        <v>152</v>
      </c>
      <c r="C609" s="18">
        <v>44437</v>
      </c>
      <c r="D609" s="1" t="s">
        <v>72</v>
      </c>
      <c r="E609" s="1" t="s">
        <v>22</v>
      </c>
      <c r="F609" s="1">
        <v>27</v>
      </c>
      <c r="G609" s="1">
        <v>18</v>
      </c>
      <c r="H609" s="1">
        <v>6</v>
      </c>
      <c r="I609" s="1">
        <v>14</v>
      </c>
      <c r="J609" s="1">
        <v>6</v>
      </c>
      <c r="K609" s="1">
        <v>71</v>
      </c>
      <c r="L609" s="5">
        <f t="shared" ca="1" si="5"/>
        <v>65.900000000000006</v>
      </c>
    </row>
    <row r="610" spans="1:12" x14ac:dyDescent="0.25">
      <c r="A610" s="2">
        <f t="shared" ca="1" si="4"/>
        <v>131</v>
      </c>
      <c r="B610" s="1" t="s">
        <v>296</v>
      </c>
      <c r="C610" s="18">
        <v>45144</v>
      </c>
      <c r="D610" s="1" t="s">
        <v>154</v>
      </c>
      <c r="E610" s="1" t="s">
        <v>22</v>
      </c>
      <c r="F610" s="1">
        <v>26</v>
      </c>
      <c r="G610" s="1">
        <v>18</v>
      </c>
      <c r="H610" s="1">
        <v>5</v>
      </c>
      <c r="I610" s="1">
        <v>12</v>
      </c>
      <c r="J610" s="1">
        <v>8</v>
      </c>
      <c r="K610" s="1">
        <v>69</v>
      </c>
      <c r="L610" s="5">
        <f t="shared" ca="1" si="5"/>
        <v>65.900000000000006</v>
      </c>
    </row>
    <row r="611" spans="1:12" x14ac:dyDescent="0.25">
      <c r="A611" s="2">
        <f t="shared" ca="1" si="4"/>
        <v>131</v>
      </c>
      <c r="B611" s="1" t="s">
        <v>36</v>
      </c>
      <c r="C611" s="18">
        <v>44409</v>
      </c>
      <c r="D611" s="1" t="s">
        <v>70</v>
      </c>
      <c r="E611" s="1" t="s">
        <v>22</v>
      </c>
      <c r="F611" s="1">
        <v>28</v>
      </c>
      <c r="G611" s="1">
        <v>16</v>
      </c>
      <c r="H611" s="1">
        <v>7</v>
      </c>
      <c r="I611" s="1">
        <v>13</v>
      </c>
      <c r="J611" s="1">
        <v>7</v>
      </c>
      <c r="K611" s="1">
        <v>71</v>
      </c>
      <c r="L611" s="5">
        <f t="shared" ca="1" si="5"/>
        <v>65.900000000000006</v>
      </c>
    </row>
    <row r="612" spans="1:12" x14ac:dyDescent="0.25">
      <c r="A612" s="2">
        <f t="shared" ca="1" si="4"/>
        <v>134</v>
      </c>
      <c r="B612" s="1" t="s">
        <v>222</v>
      </c>
      <c r="C612" s="18">
        <v>44745</v>
      </c>
      <c r="D612" s="1" t="s">
        <v>71</v>
      </c>
      <c r="E612" s="1" t="s">
        <v>22</v>
      </c>
      <c r="F612" s="1">
        <v>29</v>
      </c>
      <c r="G612" s="1">
        <v>22</v>
      </c>
      <c r="H612" s="1">
        <v>6</v>
      </c>
      <c r="I612" s="1">
        <v>8</v>
      </c>
      <c r="J612" s="1">
        <v>5</v>
      </c>
      <c r="K612" s="1">
        <v>70</v>
      </c>
      <c r="L612" s="5">
        <f t="shared" ca="1" si="5"/>
        <v>65.8</v>
      </c>
    </row>
    <row r="613" spans="1:12" x14ac:dyDescent="0.25">
      <c r="A613" s="2">
        <f t="shared" ca="1" si="4"/>
        <v>134</v>
      </c>
      <c r="B613" s="1" t="s">
        <v>134</v>
      </c>
      <c r="C613" s="18">
        <v>44367</v>
      </c>
      <c r="D613" s="1" t="s">
        <v>74</v>
      </c>
      <c r="E613" s="1" t="s">
        <v>22</v>
      </c>
      <c r="F613" s="1">
        <v>28</v>
      </c>
      <c r="G613" s="1">
        <v>15</v>
      </c>
      <c r="H613" s="1">
        <v>7</v>
      </c>
      <c r="I613" s="1">
        <v>14</v>
      </c>
      <c r="J613" s="1">
        <v>7</v>
      </c>
      <c r="K613" s="1">
        <v>71</v>
      </c>
      <c r="L613" s="5">
        <f t="shared" ca="1" si="5"/>
        <v>65.8</v>
      </c>
    </row>
    <row r="614" spans="1:12" x14ac:dyDescent="0.25">
      <c r="A614" s="2">
        <f t="shared" ca="1" si="4"/>
        <v>136</v>
      </c>
      <c r="B614" s="29" t="s">
        <v>128</v>
      </c>
      <c r="C614" s="18">
        <v>44346</v>
      </c>
      <c r="D614" s="1" t="s">
        <v>72</v>
      </c>
      <c r="E614" s="1" t="s">
        <v>22</v>
      </c>
      <c r="F614" s="1">
        <v>28</v>
      </c>
      <c r="G614" s="1">
        <v>17</v>
      </c>
      <c r="H614" s="1">
        <v>6</v>
      </c>
      <c r="I614" s="1">
        <v>14</v>
      </c>
      <c r="J614" s="1">
        <v>6</v>
      </c>
      <c r="K614" s="1">
        <v>71</v>
      </c>
      <c r="L614" s="5">
        <f t="shared" ca="1" si="5"/>
        <v>65.7</v>
      </c>
    </row>
    <row r="615" spans="1:12" x14ac:dyDescent="0.25">
      <c r="A615" s="2">
        <f t="shared" ca="1" si="4"/>
        <v>136</v>
      </c>
      <c r="B615" s="29" t="s">
        <v>347</v>
      </c>
      <c r="C615" s="18">
        <v>45438</v>
      </c>
      <c r="D615" s="1" t="s">
        <v>71</v>
      </c>
      <c r="E615" s="1" t="s">
        <v>22</v>
      </c>
      <c r="F615" s="1">
        <v>30</v>
      </c>
      <c r="G615" s="1">
        <v>18</v>
      </c>
      <c r="H615" s="1">
        <v>7</v>
      </c>
      <c r="I615" s="1">
        <v>10</v>
      </c>
      <c r="J615" s="1">
        <v>3</v>
      </c>
      <c r="K615" s="1">
        <v>68</v>
      </c>
      <c r="L615" s="5">
        <f t="shared" ca="1" si="5"/>
        <v>65.7</v>
      </c>
    </row>
    <row r="616" spans="1:12" x14ac:dyDescent="0.25">
      <c r="A616" s="2">
        <f t="shared" ca="1" si="4"/>
        <v>138</v>
      </c>
      <c r="B616" s="1" t="s">
        <v>505</v>
      </c>
      <c r="C616" s="18">
        <v>46124</v>
      </c>
      <c r="D616" s="1" t="s">
        <v>378</v>
      </c>
      <c r="E616" s="1" t="s">
        <v>22</v>
      </c>
      <c r="F616" s="1">
        <v>26</v>
      </c>
      <c r="G616" s="1">
        <v>23</v>
      </c>
      <c r="H616" s="1">
        <v>3</v>
      </c>
      <c r="I616" s="1">
        <v>10</v>
      </c>
      <c r="J616" s="1">
        <v>4</v>
      </c>
      <c r="K616" s="1">
        <v>66</v>
      </c>
      <c r="L616" s="5">
        <f t="shared" ca="1" si="5"/>
        <v>65.599999999999994</v>
      </c>
    </row>
    <row r="617" spans="1:12" x14ac:dyDescent="0.25">
      <c r="A617" s="2">
        <f t="shared" ca="1" si="4"/>
        <v>139</v>
      </c>
      <c r="B617" s="1" t="s">
        <v>492</v>
      </c>
      <c r="C617" s="18">
        <v>46061</v>
      </c>
      <c r="D617" s="1" t="s">
        <v>71</v>
      </c>
      <c r="E617" s="1" t="s">
        <v>22</v>
      </c>
      <c r="F617" s="1">
        <v>28</v>
      </c>
      <c r="G617" s="1">
        <v>16</v>
      </c>
      <c r="H617" s="1">
        <v>6</v>
      </c>
      <c r="I617" s="1">
        <v>12</v>
      </c>
      <c r="J617" s="1">
        <v>4</v>
      </c>
      <c r="K617" s="1">
        <v>66</v>
      </c>
      <c r="L617" s="5">
        <f t="shared" ca="1" si="5"/>
        <v>65.400000000000006</v>
      </c>
    </row>
    <row r="618" spans="1:12" x14ac:dyDescent="0.25">
      <c r="A618" s="2">
        <f t="shared" ca="1" si="4"/>
        <v>140</v>
      </c>
      <c r="B618" s="1" t="s">
        <v>186</v>
      </c>
      <c r="C618" s="18">
        <v>44577</v>
      </c>
      <c r="D618" s="1" t="s">
        <v>70</v>
      </c>
      <c r="E618" s="1" t="s">
        <v>22</v>
      </c>
      <c r="F618" s="1">
        <v>27</v>
      </c>
      <c r="G618" s="1">
        <v>18</v>
      </c>
      <c r="H618" s="1">
        <v>6</v>
      </c>
      <c r="I618" s="1">
        <v>13</v>
      </c>
      <c r="J618" s="1">
        <v>6</v>
      </c>
      <c r="K618" s="1">
        <v>70</v>
      </c>
      <c r="L618" s="5">
        <f t="shared" ca="1" si="5"/>
        <v>65.3</v>
      </c>
    </row>
    <row r="619" spans="1:12" x14ac:dyDescent="0.25">
      <c r="A619" s="2">
        <f t="shared" ca="1" si="4"/>
        <v>141</v>
      </c>
      <c r="B619" s="1" t="s">
        <v>320</v>
      </c>
      <c r="C619" s="18">
        <v>45277</v>
      </c>
      <c r="D619" s="1" t="s">
        <v>266</v>
      </c>
      <c r="E619" s="1" t="s">
        <v>22</v>
      </c>
      <c r="F619" s="1">
        <v>28</v>
      </c>
      <c r="G619" s="1">
        <v>19</v>
      </c>
      <c r="H619" s="1">
        <v>6</v>
      </c>
      <c r="I619" s="1">
        <v>9</v>
      </c>
      <c r="J619" s="1">
        <v>6</v>
      </c>
      <c r="K619" s="1">
        <v>68</v>
      </c>
      <c r="L619" s="5">
        <f t="shared" ca="1" si="5"/>
        <v>65.2</v>
      </c>
    </row>
    <row r="620" spans="1:12" x14ac:dyDescent="0.25">
      <c r="A620" s="2">
        <f t="shared" ca="1" si="4"/>
        <v>142</v>
      </c>
      <c r="B620" s="1" t="s">
        <v>275</v>
      </c>
      <c r="C620" s="18">
        <v>45220</v>
      </c>
      <c r="D620" s="1" t="s">
        <v>309</v>
      </c>
      <c r="E620" s="1" t="s">
        <v>22</v>
      </c>
      <c r="F620" s="1">
        <v>27</v>
      </c>
      <c r="G620" s="1">
        <v>17</v>
      </c>
      <c r="H620" s="1">
        <v>7</v>
      </c>
      <c r="I620" s="1">
        <v>11</v>
      </c>
      <c r="J620" s="1">
        <v>6</v>
      </c>
      <c r="K620" s="1">
        <v>68</v>
      </c>
      <c r="L620" s="5">
        <f t="shared" ca="1" si="5"/>
        <v>65.099999999999994</v>
      </c>
    </row>
    <row r="621" spans="1:12" x14ac:dyDescent="0.25">
      <c r="A621" s="2">
        <f t="shared" ca="1" si="4"/>
        <v>143</v>
      </c>
      <c r="B621" s="1" t="s">
        <v>234</v>
      </c>
      <c r="C621" s="18">
        <v>44815</v>
      </c>
      <c r="D621" s="1" t="s">
        <v>184</v>
      </c>
      <c r="E621" s="1" t="s">
        <v>22</v>
      </c>
      <c r="F621" s="1">
        <v>27</v>
      </c>
      <c r="G621" s="1">
        <v>17</v>
      </c>
      <c r="H621" s="1">
        <v>5</v>
      </c>
      <c r="I621" s="1">
        <v>14</v>
      </c>
      <c r="J621" s="1">
        <v>6</v>
      </c>
      <c r="K621" s="1">
        <v>69</v>
      </c>
      <c r="L621" s="5">
        <f t="shared" ca="1" si="5"/>
        <v>65</v>
      </c>
    </row>
    <row r="622" spans="1:12" x14ac:dyDescent="0.25">
      <c r="A622" s="2">
        <f t="shared" ca="1" si="4"/>
        <v>144</v>
      </c>
      <c r="B622" s="29" t="s">
        <v>364</v>
      </c>
      <c r="C622" s="18">
        <v>45522</v>
      </c>
      <c r="D622" s="1" t="s">
        <v>71</v>
      </c>
      <c r="E622" s="1" t="s">
        <v>22</v>
      </c>
      <c r="F622" s="1">
        <v>29</v>
      </c>
      <c r="G622" s="1">
        <v>15</v>
      </c>
      <c r="H622" s="1">
        <v>6</v>
      </c>
      <c r="I622" s="1">
        <v>14</v>
      </c>
      <c r="J622" s="1">
        <v>3</v>
      </c>
      <c r="K622" s="1">
        <v>67</v>
      </c>
      <c r="L622" s="5">
        <f t="shared" ca="1" si="5"/>
        <v>64.900000000000006</v>
      </c>
    </row>
    <row r="623" spans="1:12" x14ac:dyDescent="0.25">
      <c r="A623" s="2">
        <f t="shared" ca="1" si="4"/>
        <v>145</v>
      </c>
      <c r="B623" s="29" t="s">
        <v>213</v>
      </c>
      <c r="C623" s="18">
        <v>44710</v>
      </c>
      <c r="D623" s="1" t="s">
        <v>68</v>
      </c>
      <c r="E623" s="1" t="s">
        <v>22</v>
      </c>
      <c r="F623" s="1">
        <v>28</v>
      </c>
      <c r="G623" s="1">
        <v>18</v>
      </c>
      <c r="H623" s="1">
        <v>5</v>
      </c>
      <c r="I623" s="1">
        <v>12</v>
      </c>
      <c r="J623" s="1">
        <v>6</v>
      </c>
      <c r="K623" s="1">
        <v>69</v>
      </c>
      <c r="L623" s="5">
        <f t="shared" ca="1" si="5"/>
        <v>64.7</v>
      </c>
    </row>
    <row r="624" spans="1:12" x14ac:dyDescent="0.25">
      <c r="A624" s="2">
        <f t="shared" ca="1" si="4"/>
        <v>145</v>
      </c>
      <c r="B624" s="1" t="s">
        <v>116</v>
      </c>
      <c r="C624" s="18">
        <v>44703</v>
      </c>
      <c r="D624" s="1" t="s">
        <v>72</v>
      </c>
      <c r="E624" s="1" t="s">
        <v>22</v>
      </c>
      <c r="F624" s="1">
        <v>28</v>
      </c>
      <c r="G624" s="1">
        <v>18</v>
      </c>
      <c r="H624" s="1">
        <v>7</v>
      </c>
      <c r="I624" s="1">
        <v>10</v>
      </c>
      <c r="J624" s="1">
        <v>6</v>
      </c>
      <c r="K624" s="1">
        <v>69</v>
      </c>
      <c r="L624" s="5">
        <f t="shared" ca="1" si="5"/>
        <v>64.7</v>
      </c>
    </row>
    <row r="625" spans="1:12" x14ac:dyDescent="0.25">
      <c r="A625" s="2">
        <f t="shared" ca="1" si="4"/>
        <v>147</v>
      </c>
      <c r="B625" s="29" t="s">
        <v>279</v>
      </c>
      <c r="C625" s="18">
        <v>45046</v>
      </c>
      <c r="D625" s="1" t="s">
        <v>71</v>
      </c>
      <c r="E625" s="1" t="s">
        <v>22</v>
      </c>
      <c r="F625" s="1">
        <v>28</v>
      </c>
      <c r="G625" s="1">
        <v>16</v>
      </c>
      <c r="H625" s="1">
        <v>6</v>
      </c>
      <c r="I625" s="1">
        <v>12</v>
      </c>
      <c r="J625" s="1">
        <v>6</v>
      </c>
      <c r="K625" s="1">
        <v>68</v>
      </c>
      <c r="L625" s="5">
        <f t="shared" ca="1" si="5"/>
        <v>64.599999999999994</v>
      </c>
    </row>
    <row r="626" spans="1:12" x14ac:dyDescent="0.25">
      <c r="A626" s="2">
        <f t="shared" ca="1" si="4"/>
        <v>148</v>
      </c>
      <c r="B626" s="29" t="s">
        <v>205</v>
      </c>
      <c r="C626" s="18">
        <v>44654</v>
      </c>
      <c r="D626" s="1" t="s">
        <v>71</v>
      </c>
      <c r="E626" s="1" t="s">
        <v>22</v>
      </c>
      <c r="F626" s="1">
        <v>27</v>
      </c>
      <c r="G626" s="1">
        <v>15</v>
      </c>
      <c r="H626" s="1">
        <v>6</v>
      </c>
      <c r="I626" s="1">
        <v>14</v>
      </c>
      <c r="J626" s="1">
        <v>7</v>
      </c>
      <c r="K626" s="1">
        <v>69</v>
      </c>
      <c r="L626" s="5">
        <f t="shared" ca="1" si="5"/>
        <v>64.5</v>
      </c>
    </row>
    <row r="627" spans="1:12" x14ac:dyDescent="0.25">
      <c r="A627" s="2">
        <f t="shared" ca="1" si="4"/>
        <v>149</v>
      </c>
      <c r="B627" s="1" t="s">
        <v>332</v>
      </c>
      <c r="C627" s="18">
        <v>45347</v>
      </c>
      <c r="D627" s="1" t="s">
        <v>67</v>
      </c>
      <c r="E627" s="1" t="s">
        <v>22</v>
      </c>
      <c r="F627" s="1">
        <v>27</v>
      </c>
      <c r="G627" s="1">
        <v>16</v>
      </c>
      <c r="H627" s="1">
        <v>5</v>
      </c>
      <c r="I627" s="1">
        <v>12</v>
      </c>
      <c r="J627" s="1">
        <v>7</v>
      </c>
      <c r="K627" s="1">
        <v>67</v>
      </c>
      <c r="L627" s="5">
        <f t="shared" ca="1" si="5"/>
        <v>64.400000000000006</v>
      </c>
    </row>
    <row r="628" spans="1:12" x14ac:dyDescent="0.25">
      <c r="A628" s="2">
        <f t="shared" ca="1" si="4"/>
        <v>150</v>
      </c>
      <c r="B628" s="29" t="s">
        <v>479</v>
      </c>
      <c r="C628" s="18">
        <v>46026</v>
      </c>
      <c r="D628" s="1" t="s">
        <v>67</v>
      </c>
      <c r="E628" s="1" t="s">
        <v>22</v>
      </c>
      <c r="F628" s="1">
        <v>28</v>
      </c>
      <c r="G628" s="1">
        <v>17</v>
      </c>
      <c r="H628" s="1">
        <v>5</v>
      </c>
      <c r="I628" s="1">
        <v>10</v>
      </c>
      <c r="J628" s="1">
        <v>5</v>
      </c>
      <c r="K628" s="1">
        <v>65</v>
      </c>
      <c r="L628" s="5">
        <f t="shared" ca="1" si="5"/>
        <v>64.3</v>
      </c>
    </row>
    <row r="629" spans="1:12" x14ac:dyDescent="0.25">
      <c r="A629" s="2">
        <f t="shared" ca="1" si="4"/>
        <v>150</v>
      </c>
      <c r="B629" s="29" t="s">
        <v>183</v>
      </c>
      <c r="C629" s="18">
        <v>44556</v>
      </c>
      <c r="D629" s="1" t="s">
        <v>70</v>
      </c>
      <c r="E629" s="1" t="s">
        <v>22</v>
      </c>
      <c r="F629" s="1">
        <v>26</v>
      </c>
      <c r="G629" s="1">
        <v>17</v>
      </c>
      <c r="H629" s="1">
        <v>6</v>
      </c>
      <c r="I629" s="1">
        <v>13</v>
      </c>
      <c r="J629" s="1">
        <v>7</v>
      </c>
      <c r="K629" s="1">
        <v>69</v>
      </c>
      <c r="L629" s="5">
        <f t="shared" ca="1" si="5"/>
        <v>64.3</v>
      </c>
    </row>
    <row r="630" spans="1:12" x14ac:dyDescent="0.25">
      <c r="A630" s="2">
        <f t="shared" ca="1" si="4"/>
        <v>152</v>
      </c>
      <c r="B630" s="1" t="s">
        <v>206</v>
      </c>
      <c r="C630" s="18">
        <v>45220</v>
      </c>
      <c r="D630" s="1" t="s">
        <v>308</v>
      </c>
      <c r="E630" s="1" t="s">
        <v>22</v>
      </c>
      <c r="F630" s="1">
        <v>28</v>
      </c>
      <c r="G630" s="1">
        <v>16</v>
      </c>
      <c r="H630" s="1">
        <v>7</v>
      </c>
      <c r="I630" s="1">
        <v>10</v>
      </c>
      <c r="J630" s="1">
        <v>6</v>
      </c>
      <c r="K630" s="1">
        <v>67</v>
      </c>
      <c r="L630" s="5">
        <f t="shared" ca="1" si="5"/>
        <v>64.099999999999994</v>
      </c>
    </row>
    <row r="631" spans="1:12" x14ac:dyDescent="0.25">
      <c r="A631" s="2">
        <f t="shared" ca="1" si="4"/>
        <v>153</v>
      </c>
      <c r="B631" s="29" t="s">
        <v>229</v>
      </c>
      <c r="C631" s="18">
        <v>44780</v>
      </c>
      <c r="D631" s="1" t="s">
        <v>72</v>
      </c>
      <c r="E631" s="1" t="s">
        <v>22</v>
      </c>
      <c r="F631" s="1">
        <v>27</v>
      </c>
      <c r="G631" s="1">
        <v>16</v>
      </c>
      <c r="H631" s="1">
        <v>6</v>
      </c>
      <c r="I631" s="1">
        <v>14</v>
      </c>
      <c r="J631" s="1">
        <v>5</v>
      </c>
      <c r="K631" s="1">
        <v>68</v>
      </c>
      <c r="L631" s="5">
        <f t="shared" ca="1" si="5"/>
        <v>63.9</v>
      </c>
    </row>
    <row r="632" spans="1:12" x14ac:dyDescent="0.25">
      <c r="A632" s="2">
        <f t="shared" ca="1" si="4"/>
        <v>154</v>
      </c>
      <c r="B632" s="29" t="s">
        <v>225</v>
      </c>
      <c r="C632" s="18">
        <v>44752</v>
      </c>
      <c r="D632" s="1" t="s">
        <v>71</v>
      </c>
      <c r="E632" s="1" t="s">
        <v>22</v>
      </c>
      <c r="F632" s="1">
        <v>27</v>
      </c>
      <c r="G632" s="1">
        <v>18</v>
      </c>
      <c r="H632" s="1">
        <v>5</v>
      </c>
      <c r="I632" s="1">
        <v>13</v>
      </c>
      <c r="J632" s="1">
        <v>5</v>
      </c>
      <c r="K632" s="1">
        <v>68</v>
      </c>
      <c r="L632" s="5">
        <f t="shared" ca="1" si="5"/>
        <v>63.8</v>
      </c>
    </row>
    <row r="633" spans="1:12" x14ac:dyDescent="0.25">
      <c r="A633" s="2">
        <f t="shared" ca="1" si="4"/>
        <v>155</v>
      </c>
      <c r="B633" s="29" t="s">
        <v>348</v>
      </c>
      <c r="C633" s="18">
        <v>45452</v>
      </c>
      <c r="D633" s="1" t="s">
        <v>71</v>
      </c>
      <c r="E633" s="1" t="s">
        <v>22</v>
      </c>
      <c r="F633" s="1">
        <v>27</v>
      </c>
      <c r="G633" s="1">
        <v>18</v>
      </c>
      <c r="H633" s="1">
        <v>4</v>
      </c>
      <c r="I633" s="1">
        <v>10</v>
      </c>
      <c r="J633" s="1">
        <v>7</v>
      </c>
      <c r="K633" s="1">
        <v>66</v>
      </c>
      <c r="L633" s="5">
        <f t="shared" ca="1" si="5"/>
        <v>63.7</v>
      </c>
    </row>
    <row r="634" spans="1:12" x14ac:dyDescent="0.25">
      <c r="A634" s="2">
        <f t="shared" ca="1" si="4"/>
        <v>155</v>
      </c>
      <c r="B634" s="1" t="s">
        <v>107</v>
      </c>
      <c r="C634" s="18">
        <v>44703</v>
      </c>
      <c r="D634" s="1" t="s">
        <v>69</v>
      </c>
      <c r="E634" s="1" t="s">
        <v>22</v>
      </c>
      <c r="F634" s="1">
        <v>27</v>
      </c>
      <c r="G634" s="1">
        <v>16</v>
      </c>
      <c r="H634" s="1">
        <v>4</v>
      </c>
      <c r="I634" s="1">
        <v>15</v>
      </c>
      <c r="J634" s="1">
        <v>6</v>
      </c>
      <c r="K634" s="1">
        <v>68</v>
      </c>
      <c r="L634" s="5">
        <f t="shared" ca="1" si="5"/>
        <v>63.7</v>
      </c>
    </row>
    <row r="635" spans="1:12" x14ac:dyDescent="0.25">
      <c r="A635" s="2">
        <f t="shared" ca="1" si="4"/>
        <v>157</v>
      </c>
      <c r="B635" s="1" t="s">
        <v>203</v>
      </c>
      <c r="C635" s="18">
        <v>44640</v>
      </c>
      <c r="D635" s="1" t="s">
        <v>149</v>
      </c>
      <c r="E635" s="1" t="s">
        <v>22</v>
      </c>
      <c r="F635" s="1">
        <v>26</v>
      </c>
      <c r="G635" s="1">
        <v>17</v>
      </c>
      <c r="H635" s="1">
        <v>7</v>
      </c>
      <c r="I635" s="1">
        <v>11</v>
      </c>
      <c r="J635" s="1">
        <v>7</v>
      </c>
      <c r="K635" s="1">
        <v>68</v>
      </c>
      <c r="L635" s="5">
        <f t="shared" ca="1" si="5"/>
        <v>63.5</v>
      </c>
    </row>
    <row r="636" spans="1:12" x14ac:dyDescent="0.25">
      <c r="A636" s="2">
        <f t="shared" ca="1" si="4"/>
        <v>157</v>
      </c>
      <c r="B636" s="1" t="s">
        <v>335</v>
      </c>
      <c r="C636" s="18">
        <v>45368</v>
      </c>
      <c r="D636" s="1" t="s">
        <v>68</v>
      </c>
      <c r="E636" s="1" t="s">
        <v>22</v>
      </c>
      <c r="F636" s="1">
        <v>28</v>
      </c>
      <c r="G636" s="1">
        <v>17</v>
      </c>
      <c r="H636" s="1">
        <v>6</v>
      </c>
      <c r="I636" s="1">
        <v>10</v>
      </c>
      <c r="J636" s="1">
        <v>5</v>
      </c>
      <c r="K636" s="1">
        <v>66</v>
      </c>
      <c r="L636" s="5">
        <f t="shared" ca="1" si="5"/>
        <v>63.5</v>
      </c>
    </row>
    <row r="637" spans="1:12" x14ac:dyDescent="0.25">
      <c r="A637" s="2">
        <f t="shared" ca="1" si="4"/>
        <v>159</v>
      </c>
      <c r="B637" s="1" t="s">
        <v>191</v>
      </c>
      <c r="C637" s="18">
        <v>44591</v>
      </c>
      <c r="D637" s="1" t="s">
        <v>69</v>
      </c>
      <c r="E637" s="1" t="s">
        <v>22</v>
      </c>
      <c r="F637" s="1">
        <v>27</v>
      </c>
      <c r="G637" s="1">
        <v>17</v>
      </c>
      <c r="H637" s="1">
        <v>6</v>
      </c>
      <c r="I637" s="1">
        <v>12</v>
      </c>
      <c r="J637" s="1">
        <v>6</v>
      </c>
      <c r="K637" s="1">
        <v>68</v>
      </c>
      <c r="L637" s="5">
        <f t="shared" ca="1" si="5"/>
        <v>63.4</v>
      </c>
    </row>
    <row r="638" spans="1:12" x14ac:dyDescent="0.25">
      <c r="A638" s="2">
        <f t="shared" ca="1" si="4"/>
        <v>160</v>
      </c>
      <c r="B638" s="1" t="s">
        <v>387</v>
      </c>
      <c r="C638" s="18">
        <v>45613</v>
      </c>
      <c r="D638" s="1" t="s">
        <v>154</v>
      </c>
      <c r="E638" s="1" t="s">
        <v>22</v>
      </c>
      <c r="F638" s="1">
        <v>27</v>
      </c>
      <c r="G638" s="1">
        <v>16</v>
      </c>
      <c r="H638" s="1">
        <v>6</v>
      </c>
      <c r="I638" s="1">
        <v>11</v>
      </c>
      <c r="J638" s="1">
        <v>5</v>
      </c>
      <c r="K638" s="1">
        <v>65</v>
      </c>
      <c r="L638" s="5">
        <f t="shared" ca="1" si="5"/>
        <v>63.2</v>
      </c>
    </row>
    <row r="639" spans="1:12" x14ac:dyDescent="0.25">
      <c r="A639" s="2">
        <f t="shared" ca="1" si="4"/>
        <v>160</v>
      </c>
      <c r="B639" s="29" t="s">
        <v>312</v>
      </c>
      <c r="C639" s="18">
        <v>45242</v>
      </c>
      <c r="D639" s="1" t="s">
        <v>266</v>
      </c>
      <c r="E639" s="1" t="s">
        <v>22</v>
      </c>
      <c r="F639" s="1">
        <v>27</v>
      </c>
      <c r="G639" s="1">
        <v>17</v>
      </c>
      <c r="H639" s="1">
        <v>6</v>
      </c>
      <c r="I639" s="1">
        <v>13</v>
      </c>
      <c r="J639" s="1">
        <v>3</v>
      </c>
      <c r="K639" s="1">
        <v>66</v>
      </c>
      <c r="L639" s="5">
        <f t="shared" ca="1" si="5"/>
        <v>63.2</v>
      </c>
    </row>
    <row r="640" spans="1:12" x14ac:dyDescent="0.25">
      <c r="A640" s="2">
        <f t="shared" ca="1" si="4"/>
        <v>162</v>
      </c>
      <c r="B640" s="1" t="s">
        <v>167</v>
      </c>
      <c r="C640" s="18">
        <v>44479</v>
      </c>
      <c r="D640" s="1" t="s">
        <v>72</v>
      </c>
      <c r="E640" s="1" t="s">
        <v>22</v>
      </c>
      <c r="F640" s="1">
        <v>25</v>
      </c>
      <c r="G640" s="1">
        <v>18</v>
      </c>
      <c r="H640" s="1">
        <v>6</v>
      </c>
      <c r="I640" s="1">
        <v>13</v>
      </c>
      <c r="J640" s="1">
        <v>6</v>
      </c>
      <c r="K640" s="1">
        <v>68</v>
      </c>
      <c r="L640" s="5">
        <f t="shared" ca="1" si="5"/>
        <v>63.1</v>
      </c>
    </row>
    <row r="641" spans="1:12" x14ac:dyDescent="0.25">
      <c r="A641" s="2">
        <f t="shared" ca="1" si="4"/>
        <v>163</v>
      </c>
      <c r="B641" s="1" t="s">
        <v>45</v>
      </c>
      <c r="C641" s="18">
        <v>44409</v>
      </c>
      <c r="D641" s="1" t="s">
        <v>73</v>
      </c>
      <c r="E641" s="1" t="s">
        <v>22</v>
      </c>
      <c r="F641" s="1">
        <v>27</v>
      </c>
      <c r="G641" s="1">
        <v>15</v>
      </c>
      <c r="H641" s="1">
        <v>6</v>
      </c>
      <c r="I641" s="1">
        <v>14</v>
      </c>
      <c r="J641" s="1">
        <v>6</v>
      </c>
      <c r="K641" s="1">
        <v>68</v>
      </c>
      <c r="L641" s="5">
        <f t="shared" ca="1" si="5"/>
        <v>62.9</v>
      </c>
    </row>
    <row r="642" spans="1:12" x14ac:dyDescent="0.25">
      <c r="A642" s="2">
        <f t="shared" ca="1" si="4"/>
        <v>164</v>
      </c>
      <c r="B642" s="29" t="s">
        <v>357</v>
      </c>
      <c r="C642" s="18">
        <v>45494</v>
      </c>
      <c r="D642" s="1" t="s">
        <v>67</v>
      </c>
      <c r="E642" s="1" t="s">
        <v>22</v>
      </c>
      <c r="F642" s="1">
        <v>25</v>
      </c>
      <c r="G642" s="1">
        <v>17</v>
      </c>
      <c r="H642" s="1">
        <v>5</v>
      </c>
      <c r="I642" s="1">
        <v>13</v>
      </c>
      <c r="J642" s="1">
        <v>5</v>
      </c>
      <c r="K642" s="1">
        <v>65</v>
      </c>
      <c r="L642" s="5">
        <f t="shared" ca="1" si="5"/>
        <v>62.8</v>
      </c>
    </row>
    <row r="643" spans="1:12" x14ac:dyDescent="0.25">
      <c r="A643" s="2">
        <f t="shared" ca="1" si="4"/>
        <v>164</v>
      </c>
      <c r="B643" s="29" t="s">
        <v>220</v>
      </c>
      <c r="C643" s="18">
        <v>44738</v>
      </c>
      <c r="D643" s="1" t="s">
        <v>69</v>
      </c>
      <c r="E643" s="1" t="s">
        <v>22</v>
      </c>
      <c r="F643" s="1">
        <v>27</v>
      </c>
      <c r="G643" s="1">
        <v>16</v>
      </c>
      <c r="H643" s="1">
        <v>6</v>
      </c>
      <c r="I643" s="1">
        <v>11</v>
      </c>
      <c r="J643" s="1">
        <v>7</v>
      </c>
      <c r="K643" s="1">
        <v>67</v>
      </c>
      <c r="L643" s="5">
        <f t="shared" ca="1" si="5"/>
        <v>62.8</v>
      </c>
    </row>
    <row r="644" spans="1:12" x14ac:dyDescent="0.25">
      <c r="A644" s="2">
        <f t="shared" ca="1" si="4"/>
        <v>166</v>
      </c>
      <c r="B644" s="1" t="s">
        <v>96</v>
      </c>
      <c r="C644" s="18">
        <v>44250</v>
      </c>
      <c r="D644" s="1" t="s">
        <v>266</v>
      </c>
      <c r="E644" s="1" t="s">
        <v>22</v>
      </c>
      <c r="F644" s="1">
        <v>29</v>
      </c>
      <c r="G644" s="1">
        <v>15</v>
      </c>
      <c r="H644" s="1">
        <v>6</v>
      </c>
      <c r="I644" s="1">
        <v>13</v>
      </c>
      <c r="J644" s="1">
        <v>5</v>
      </c>
      <c r="K644" s="1">
        <v>68</v>
      </c>
      <c r="L644" s="5">
        <f t="shared" ca="1" si="5"/>
        <v>62.4</v>
      </c>
    </row>
    <row r="645" spans="1:12" x14ac:dyDescent="0.25">
      <c r="A645" s="2">
        <f t="shared" ca="1" si="4"/>
        <v>166</v>
      </c>
      <c r="B645" s="29" t="s">
        <v>105</v>
      </c>
      <c r="C645" s="18">
        <v>43874</v>
      </c>
      <c r="D645" s="1" t="s">
        <v>69</v>
      </c>
      <c r="E645" s="1" t="s">
        <v>22</v>
      </c>
      <c r="F645" s="1">
        <v>28</v>
      </c>
      <c r="G645" s="1">
        <v>15</v>
      </c>
      <c r="H645" s="1">
        <v>6</v>
      </c>
      <c r="I645" s="1">
        <v>14</v>
      </c>
      <c r="J645" s="1">
        <v>6</v>
      </c>
      <c r="K645" s="1">
        <v>69</v>
      </c>
      <c r="L645" s="5">
        <f t="shared" ca="1" si="5"/>
        <v>62.4</v>
      </c>
    </row>
    <row r="646" spans="1:12" x14ac:dyDescent="0.25">
      <c r="A646" s="2">
        <f t="shared" ca="1" si="4"/>
        <v>168</v>
      </c>
      <c r="B646" s="1" t="s">
        <v>174</v>
      </c>
      <c r="C646" s="18">
        <v>44507</v>
      </c>
      <c r="D646" s="1" t="s">
        <v>71</v>
      </c>
      <c r="E646" s="1" t="s">
        <v>22</v>
      </c>
      <c r="F646" s="1">
        <v>27</v>
      </c>
      <c r="G646" s="1">
        <v>16</v>
      </c>
      <c r="H646" s="1">
        <v>5</v>
      </c>
      <c r="I646" s="1">
        <v>14</v>
      </c>
      <c r="J646" s="1">
        <v>5</v>
      </c>
      <c r="K646" s="1">
        <v>67</v>
      </c>
      <c r="L646" s="5">
        <f t="shared" ca="1" si="5"/>
        <v>62.1</v>
      </c>
    </row>
    <row r="647" spans="1:12" x14ac:dyDescent="0.25">
      <c r="A647" s="2">
        <f t="shared" ca="1" si="4"/>
        <v>168</v>
      </c>
      <c r="B647" s="1" t="s">
        <v>175</v>
      </c>
      <c r="C647" s="18">
        <v>44507</v>
      </c>
      <c r="D647" s="1" t="s">
        <v>71</v>
      </c>
      <c r="E647" s="1" t="s">
        <v>22</v>
      </c>
      <c r="F647" s="1">
        <v>24</v>
      </c>
      <c r="G647" s="1">
        <v>15</v>
      </c>
      <c r="H647" s="1">
        <v>5</v>
      </c>
      <c r="I647" s="1">
        <v>15</v>
      </c>
      <c r="J647" s="1">
        <v>8</v>
      </c>
      <c r="K647" s="1">
        <v>67</v>
      </c>
      <c r="L647" s="5">
        <f t="shared" ca="1" si="5"/>
        <v>62.1</v>
      </c>
    </row>
    <row r="648" spans="1:12" x14ac:dyDescent="0.25">
      <c r="A648" s="2">
        <f t="shared" ca="1" si="4"/>
        <v>170</v>
      </c>
      <c r="B648" s="1" t="s">
        <v>55</v>
      </c>
      <c r="C648" s="18">
        <v>44451</v>
      </c>
      <c r="D648" s="1" t="s">
        <v>74</v>
      </c>
      <c r="E648" s="1" t="s">
        <v>22</v>
      </c>
      <c r="F648" s="1">
        <v>27</v>
      </c>
      <c r="G648" s="1">
        <v>14</v>
      </c>
      <c r="H648" s="1">
        <v>7</v>
      </c>
      <c r="I648" s="1">
        <v>13</v>
      </c>
      <c r="J648" s="1">
        <v>6</v>
      </c>
      <c r="K648" s="1">
        <v>67</v>
      </c>
      <c r="L648" s="5">
        <f t="shared" ca="1" si="5"/>
        <v>62</v>
      </c>
    </row>
    <row r="649" spans="1:12" x14ac:dyDescent="0.25">
      <c r="A649" s="2">
        <f t="shared" ca="1" si="4"/>
        <v>171</v>
      </c>
      <c r="B649" s="1" t="s">
        <v>451</v>
      </c>
      <c r="C649" s="18">
        <v>45872</v>
      </c>
      <c r="D649" s="1" t="s">
        <v>73</v>
      </c>
      <c r="E649" s="1" t="s">
        <v>22</v>
      </c>
      <c r="F649" s="1">
        <v>28</v>
      </c>
      <c r="G649" s="1">
        <v>18</v>
      </c>
      <c r="H649" s="1">
        <v>5</v>
      </c>
      <c r="I649" s="1">
        <v>9</v>
      </c>
      <c r="J649" s="1">
        <v>3</v>
      </c>
      <c r="K649" s="1">
        <v>63</v>
      </c>
      <c r="L649" s="5">
        <f t="shared" ca="1" si="5"/>
        <v>61.9</v>
      </c>
    </row>
    <row r="650" spans="1:12" x14ac:dyDescent="0.25">
      <c r="A650" s="2">
        <f t="shared" ca="1" si="4"/>
        <v>172</v>
      </c>
      <c r="B650" s="1" t="s">
        <v>133</v>
      </c>
      <c r="C650" s="18">
        <v>44367</v>
      </c>
      <c r="D650" s="1" t="s">
        <v>74</v>
      </c>
      <c r="E650" s="1" t="s">
        <v>22</v>
      </c>
      <c r="F650" s="1">
        <v>27</v>
      </c>
      <c r="G650" s="1">
        <v>14</v>
      </c>
      <c r="H650" s="1">
        <v>7</v>
      </c>
      <c r="I650" s="1">
        <v>13</v>
      </c>
      <c r="J650" s="1">
        <v>6</v>
      </c>
      <c r="K650" s="1">
        <v>67</v>
      </c>
      <c r="L650" s="5">
        <f t="shared" ca="1" si="5"/>
        <v>61.8</v>
      </c>
    </row>
    <row r="651" spans="1:12" x14ac:dyDescent="0.25">
      <c r="A651" s="2">
        <f t="shared" ca="1" si="4"/>
        <v>173</v>
      </c>
      <c r="B651" s="1" t="s">
        <v>340</v>
      </c>
      <c r="C651" s="18">
        <v>45389</v>
      </c>
      <c r="D651" s="1" t="s">
        <v>69</v>
      </c>
      <c r="E651" s="1" t="s">
        <v>22</v>
      </c>
      <c r="F651" s="1">
        <v>26</v>
      </c>
      <c r="G651" s="1">
        <v>20</v>
      </c>
      <c r="H651" s="1">
        <v>5</v>
      </c>
      <c r="I651" s="1">
        <v>9</v>
      </c>
      <c r="J651" s="1">
        <v>4</v>
      </c>
      <c r="K651" s="1">
        <v>64</v>
      </c>
      <c r="L651" s="5">
        <f t="shared" ca="1" si="5"/>
        <v>61.6</v>
      </c>
    </row>
    <row r="652" spans="1:12" x14ac:dyDescent="0.25">
      <c r="A652" s="2">
        <f t="shared" ca="1" si="4"/>
        <v>174</v>
      </c>
      <c r="B652" s="1" t="s">
        <v>58</v>
      </c>
      <c r="C652" s="18">
        <v>45011</v>
      </c>
      <c r="D652" s="1" t="s">
        <v>68</v>
      </c>
      <c r="E652" s="1" t="s">
        <v>22</v>
      </c>
      <c r="F652" s="1">
        <v>26</v>
      </c>
      <c r="G652" s="1">
        <v>15</v>
      </c>
      <c r="H652" s="1">
        <v>7</v>
      </c>
      <c r="I652" s="1">
        <v>10</v>
      </c>
      <c r="J652" s="1">
        <v>7</v>
      </c>
      <c r="K652" s="1">
        <v>65</v>
      </c>
      <c r="L652" s="5">
        <f t="shared" ca="1" si="5"/>
        <v>61.5</v>
      </c>
    </row>
    <row r="653" spans="1:12" x14ac:dyDescent="0.25">
      <c r="A653" s="2">
        <f t="shared" ca="1" si="4"/>
        <v>175</v>
      </c>
      <c r="B653" s="1" t="s">
        <v>396</v>
      </c>
      <c r="C653" s="18">
        <v>45648</v>
      </c>
      <c r="D653" s="1" t="s">
        <v>68</v>
      </c>
      <c r="E653" s="1" t="s">
        <v>22</v>
      </c>
      <c r="F653" s="1">
        <v>27</v>
      </c>
      <c r="G653" s="1">
        <v>17</v>
      </c>
      <c r="H653" s="1">
        <v>5</v>
      </c>
      <c r="I653" s="1">
        <v>8</v>
      </c>
      <c r="J653" s="1">
        <v>6</v>
      </c>
      <c r="K653" s="1">
        <v>63</v>
      </c>
      <c r="L653" s="5">
        <f t="shared" ca="1" si="5"/>
        <v>61.3</v>
      </c>
    </row>
    <row r="654" spans="1:12" x14ac:dyDescent="0.25">
      <c r="A654" s="2">
        <f t="shared" ca="1" si="4"/>
        <v>176</v>
      </c>
      <c r="B654" s="29" t="s">
        <v>226</v>
      </c>
      <c r="C654" s="18">
        <v>44766</v>
      </c>
      <c r="D654" s="1" t="s">
        <v>71</v>
      </c>
      <c r="E654" s="1" t="s">
        <v>22</v>
      </c>
      <c r="F654" s="1">
        <v>29</v>
      </c>
      <c r="G654" s="1">
        <v>20</v>
      </c>
      <c r="H654" s="1">
        <v>6</v>
      </c>
      <c r="I654" s="1">
        <v>5</v>
      </c>
      <c r="J654" s="1">
        <v>5</v>
      </c>
      <c r="K654" s="1">
        <v>65</v>
      </c>
      <c r="L654" s="5">
        <f t="shared" ca="1" si="5"/>
        <v>60.8</v>
      </c>
    </row>
    <row r="655" spans="1:12" x14ac:dyDescent="0.25">
      <c r="A655" s="2">
        <f t="shared" ca="1" si="4"/>
        <v>176</v>
      </c>
      <c r="B655" s="1" t="s">
        <v>295</v>
      </c>
      <c r="C655" s="18">
        <v>45130</v>
      </c>
      <c r="D655" s="1" t="s">
        <v>69</v>
      </c>
      <c r="E655" s="1" t="s">
        <v>22</v>
      </c>
      <c r="F655" s="1">
        <v>25</v>
      </c>
      <c r="G655" s="1">
        <v>17</v>
      </c>
      <c r="H655" s="1">
        <v>5</v>
      </c>
      <c r="I655" s="1">
        <v>13</v>
      </c>
      <c r="J655" s="1">
        <v>4</v>
      </c>
      <c r="K655" s="1">
        <v>64</v>
      </c>
      <c r="L655" s="5">
        <f t="shared" ca="1" si="5"/>
        <v>60.8</v>
      </c>
    </row>
    <row r="656" spans="1:12" x14ac:dyDescent="0.25">
      <c r="A656" s="2">
        <f t="shared" ca="1" si="4"/>
        <v>178</v>
      </c>
      <c r="B656" s="1" t="s">
        <v>286</v>
      </c>
      <c r="C656" s="18">
        <v>45081</v>
      </c>
      <c r="D656" s="1" t="s">
        <v>71</v>
      </c>
      <c r="E656" s="1" t="s">
        <v>22</v>
      </c>
      <c r="F656" s="1">
        <v>26</v>
      </c>
      <c r="G656" s="1">
        <v>18</v>
      </c>
      <c r="H656" s="1">
        <v>4</v>
      </c>
      <c r="I656" s="1">
        <v>11</v>
      </c>
      <c r="J656" s="1">
        <v>5</v>
      </c>
      <c r="K656" s="1">
        <v>64</v>
      </c>
      <c r="L656" s="5">
        <f t="shared" ca="1" si="5"/>
        <v>60.7</v>
      </c>
    </row>
    <row r="657" spans="1:12" x14ac:dyDescent="0.25">
      <c r="A657" s="2">
        <f t="shared" ca="1" si="4"/>
        <v>178</v>
      </c>
      <c r="B657" s="1" t="s">
        <v>282</v>
      </c>
      <c r="C657" s="18">
        <v>45067</v>
      </c>
      <c r="D657" s="1" t="s">
        <v>69</v>
      </c>
      <c r="E657" s="1" t="s">
        <v>22</v>
      </c>
      <c r="F657" s="1">
        <v>25</v>
      </c>
      <c r="G657" s="1">
        <v>17</v>
      </c>
      <c r="H657" s="1">
        <v>4</v>
      </c>
      <c r="I657" s="1">
        <v>12</v>
      </c>
      <c r="J657" s="1">
        <v>6</v>
      </c>
      <c r="K657" s="1">
        <v>64</v>
      </c>
      <c r="L657" s="5">
        <f t="shared" ca="1" si="5"/>
        <v>60.7</v>
      </c>
    </row>
    <row r="658" spans="1:12" x14ac:dyDescent="0.25">
      <c r="A658" s="2">
        <f t="shared" ca="1" si="4"/>
        <v>180</v>
      </c>
      <c r="B658" s="1" t="s">
        <v>122</v>
      </c>
      <c r="C658" s="18">
        <v>44325</v>
      </c>
      <c r="D658" s="1" t="s">
        <v>68</v>
      </c>
      <c r="E658" s="1" t="s">
        <v>22</v>
      </c>
      <c r="F658" s="1">
        <v>25</v>
      </c>
      <c r="G658" s="1">
        <v>16</v>
      </c>
      <c r="H658" s="1">
        <v>5</v>
      </c>
      <c r="I658" s="1">
        <v>14</v>
      </c>
      <c r="J658" s="1">
        <v>6</v>
      </c>
      <c r="K658" s="1">
        <v>66</v>
      </c>
      <c r="L658" s="5">
        <f t="shared" ca="1" si="5"/>
        <v>60.6</v>
      </c>
    </row>
    <row r="659" spans="1:12" x14ac:dyDescent="0.25">
      <c r="A659" s="2">
        <f t="shared" ca="1" si="4"/>
        <v>180</v>
      </c>
      <c r="B659" s="1" t="s">
        <v>421</v>
      </c>
      <c r="C659" s="18">
        <v>45753</v>
      </c>
      <c r="D659" s="1" t="s">
        <v>72</v>
      </c>
      <c r="E659" s="1" t="s">
        <v>22</v>
      </c>
      <c r="F659" s="1">
        <v>27</v>
      </c>
      <c r="G659" s="1">
        <v>15</v>
      </c>
      <c r="H659" s="1">
        <v>6</v>
      </c>
      <c r="I659" s="1">
        <v>10</v>
      </c>
      <c r="J659" s="1">
        <v>4</v>
      </c>
      <c r="K659" s="1">
        <v>62</v>
      </c>
      <c r="L659" s="5">
        <f t="shared" ca="1" si="5"/>
        <v>60.6</v>
      </c>
    </row>
    <row r="660" spans="1:12" x14ac:dyDescent="0.25">
      <c r="A660" s="2">
        <f t="shared" ca="1" si="4"/>
        <v>182</v>
      </c>
      <c r="B660" s="1" t="s">
        <v>268</v>
      </c>
      <c r="C660" s="18">
        <v>44962</v>
      </c>
      <c r="D660" s="1" t="s">
        <v>266</v>
      </c>
      <c r="E660" s="1" t="s">
        <v>22</v>
      </c>
      <c r="F660" s="1">
        <v>27</v>
      </c>
      <c r="G660" s="1">
        <v>16</v>
      </c>
      <c r="H660" s="1">
        <v>5</v>
      </c>
      <c r="I660" s="1">
        <v>11</v>
      </c>
      <c r="J660" s="1">
        <v>5</v>
      </c>
      <c r="K660" s="1">
        <v>64</v>
      </c>
      <c r="L660" s="5">
        <f t="shared" ca="1" si="5"/>
        <v>60.4</v>
      </c>
    </row>
    <row r="661" spans="1:12" x14ac:dyDescent="0.25">
      <c r="A661" s="2">
        <f t="shared" ca="1" si="4"/>
        <v>182</v>
      </c>
      <c r="B661" s="1" t="s">
        <v>409</v>
      </c>
      <c r="C661" s="18">
        <v>45690</v>
      </c>
      <c r="D661" s="1" t="s">
        <v>149</v>
      </c>
      <c r="E661" s="1" t="s">
        <v>22</v>
      </c>
      <c r="F661" s="1">
        <v>26</v>
      </c>
      <c r="G661" s="1">
        <v>15</v>
      </c>
      <c r="H661" s="1">
        <v>5</v>
      </c>
      <c r="I661" s="1">
        <v>10</v>
      </c>
      <c r="J661" s="1">
        <v>6</v>
      </c>
      <c r="K661" s="1">
        <v>62</v>
      </c>
      <c r="L661" s="5">
        <f t="shared" ca="1" si="5"/>
        <v>60.4</v>
      </c>
    </row>
    <row r="662" spans="1:12" x14ac:dyDescent="0.25">
      <c r="A662" s="2">
        <f t="shared" ca="1" si="4"/>
        <v>184</v>
      </c>
      <c r="B662" s="1" t="s">
        <v>208</v>
      </c>
      <c r="C662" s="18">
        <v>45220</v>
      </c>
      <c r="D662" s="1" t="s">
        <v>308</v>
      </c>
      <c r="E662" s="1" t="s">
        <v>22</v>
      </c>
      <c r="F662" s="1">
        <v>26</v>
      </c>
      <c r="G662" s="1">
        <v>17</v>
      </c>
      <c r="H662" s="1">
        <v>5</v>
      </c>
      <c r="I662" s="1">
        <v>10</v>
      </c>
      <c r="J662" s="1">
        <v>5</v>
      </c>
      <c r="K662" s="1">
        <v>63</v>
      </c>
      <c r="L662" s="5">
        <f t="shared" ca="1" si="5"/>
        <v>60.1</v>
      </c>
    </row>
    <row r="663" spans="1:12" x14ac:dyDescent="0.25">
      <c r="A663" s="2">
        <f t="shared" ca="1" si="4"/>
        <v>185</v>
      </c>
      <c r="B663" s="1" t="s">
        <v>214</v>
      </c>
      <c r="C663" s="18">
        <v>44717</v>
      </c>
      <c r="D663" s="1" t="s">
        <v>154</v>
      </c>
      <c r="E663" s="1" t="s">
        <v>22</v>
      </c>
      <c r="F663" s="1">
        <v>24</v>
      </c>
      <c r="G663" s="1">
        <v>21</v>
      </c>
      <c r="H663" s="1">
        <v>4</v>
      </c>
      <c r="I663" s="1">
        <v>11</v>
      </c>
      <c r="J663" s="1">
        <v>4</v>
      </c>
      <c r="K663" s="1">
        <v>64</v>
      </c>
      <c r="L663" s="5">
        <f t="shared" ca="1" si="5"/>
        <v>59.7</v>
      </c>
    </row>
    <row r="664" spans="1:12" x14ac:dyDescent="0.25">
      <c r="A664" s="2">
        <f t="shared" ca="1" si="4"/>
        <v>186</v>
      </c>
      <c r="B664" s="1" t="s">
        <v>97</v>
      </c>
      <c r="C664" s="18">
        <v>44230</v>
      </c>
      <c r="D664" s="1" t="s">
        <v>69</v>
      </c>
      <c r="E664" s="1" t="s">
        <v>22</v>
      </c>
      <c r="F664" s="1">
        <v>27</v>
      </c>
      <c r="G664" s="1">
        <v>18</v>
      </c>
      <c r="H664" s="1">
        <v>3</v>
      </c>
      <c r="I664" s="1">
        <v>12</v>
      </c>
      <c r="J664" s="1">
        <v>5</v>
      </c>
      <c r="K664" s="1">
        <v>65</v>
      </c>
      <c r="L664" s="5">
        <f t="shared" ca="1" si="5"/>
        <v>59.4</v>
      </c>
    </row>
    <row r="665" spans="1:12" x14ac:dyDescent="0.25">
      <c r="A665" s="2">
        <f t="shared" ca="1" si="4"/>
        <v>186</v>
      </c>
      <c r="B665" s="1" t="s">
        <v>189</v>
      </c>
      <c r="C665" s="18">
        <v>44591</v>
      </c>
      <c r="D665" s="1" t="s">
        <v>70</v>
      </c>
      <c r="E665" s="1" t="s">
        <v>22</v>
      </c>
      <c r="F665" s="1">
        <v>26</v>
      </c>
      <c r="G665" s="1">
        <v>16</v>
      </c>
      <c r="H665" s="1">
        <v>6</v>
      </c>
      <c r="I665" s="1">
        <v>11</v>
      </c>
      <c r="J665" s="1">
        <v>5</v>
      </c>
      <c r="K665" s="1">
        <v>64</v>
      </c>
      <c r="L665" s="5">
        <f t="shared" ca="1" si="5"/>
        <v>59.4</v>
      </c>
    </row>
    <row r="666" spans="1:12" x14ac:dyDescent="0.25">
      <c r="A666" s="2">
        <f t="shared" ca="1" si="4"/>
        <v>188</v>
      </c>
      <c r="B666" s="1" t="s">
        <v>82</v>
      </c>
      <c r="C666" s="18">
        <v>44577</v>
      </c>
      <c r="D666" s="1" t="s">
        <v>68</v>
      </c>
      <c r="E666" s="1" t="s">
        <v>22</v>
      </c>
      <c r="F666" s="1">
        <v>25</v>
      </c>
      <c r="G666" s="1">
        <v>14</v>
      </c>
      <c r="H666" s="1">
        <v>5</v>
      </c>
      <c r="I666" s="1">
        <v>13</v>
      </c>
      <c r="J666" s="1">
        <v>7</v>
      </c>
      <c r="K666" s="1">
        <v>64</v>
      </c>
      <c r="L666" s="5">
        <f t="shared" ca="1" si="5"/>
        <v>59.3</v>
      </c>
    </row>
    <row r="667" spans="1:12" x14ac:dyDescent="0.25">
      <c r="A667" s="2">
        <f t="shared" ca="1" si="4"/>
        <v>189</v>
      </c>
      <c r="B667" s="1" t="s">
        <v>314</v>
      </c>
      <c r="C667" s="18">
        <v>45249</v>
      </c>
      <c r="D667" s="1" t="s">
        <v>68</v>
      </c>
      <c r="E667" s="1" t="s">
        <v>22</v>
      </c>
      <c r="F667" s="1">
        <v>27</v>
      </c>
      <c r="G667" s="1">
        <v>18</v>
      </c>
      <c r="H667" s="1">
        <v>4</v>
      </c>
      <c r="I667" s="1">
        <v>9</v>
      </c>
      <c r="J667" s="1">
        <v>4</v>
      </c>
      <c r="K667" s="1">
        <v>62</v>
      </c>
      <c r="L667" s="5">
        <f t="shared" ca="1" si="5"/>
        <v>59.2</v>
      </c>
    </row>
    <row r="668" spans="1:12" x14ac:dyDescent="0.25">
      <c r="A668" s="2">
        <f t="shared" ca="1" si="4"/>
        <v>190</v>
      </c>
      <c r="B668" s="1" t="s">
        <v>171</v>
      </c>
      <c r="C668" s="18">
        <v>44493</v>
      </c>
      <c r="D668" s="1" t="s">
        <v>149</v>
      </c>
      <c r="E668" s="1" t="s">
        <v>22</v>
      </c>
      <c r="F668" s="1">
        <v>24</v>
      </c>
      <c r="G668" s="1">
        <v>15</v>
      </c>
      <c r="H668" s="1">
        <v>6</v>
      </c>
      <c r="I668" s="1">
        <v>14</v>
      </c>
      <c r="J668" s="1">
        <v>5</v>
      </c>
      <c r="K668" s="1">
        <v>64</v>
      </c>
      <c r="L668" s="5">
        <f t="shared" ca="1" si="5"/>
        <v>59.1</v>
      </c>
    </row>
    <row r="669" spans="1:12" x14ac:dyDescent="0.25">
      <c r="A669" s="2">
        <f t="shared" ca="1" si="4"/>
        <v>191</v>
      </c>
      <c r="B669" s="1" t="s">
        <v>447</v>
      </c>
      <c r="C669" s="18">
        <v>45858</v>
      </c>
      <c r="D669" s="1" t="s">
        <v>368</v>
      </c>
      <c r="E669" s="1" t="s">
        <v>22</v>
      </c>
      <c r="F669" s="1">
        <v>26</v>
      </c>
      <c r="G669" s="1">
        <v>17</v>
      </c>
      <c r="H669" s="1">
        <v>3</v>
      </c>
      <c r="I669" s="1">
        <v>10</v>
      </c>
      <c r="J669" s="1">
        <v>4</v>
      </c>
      <c r="K669" s="1">
        <v>60</v>
      </c>
      <c r="L669" s="5">
        <f t="shared" ca="1" si="5"/>
        <v>58.8</v>
      </c>
    </row>
    <row r="670" spans="1:12" x14ac:dyDescent="0.25">
      <c r="A670" s="2">
        <f t="shared" ca="1" si="4"/>
        <v>192</v>
      </c>
      <c r="B670" s="1" t="s">
        <v>130</v>
      </c>
      <c r="C670" s="18">
        <v>44353</v>
      </c>
      <c r="D670" s="1" t="s">
        <v>72</v>
      </c>
      <c r="E670" s="1" t="s">
        <v>22</v>
      </c>
      <c r="F670" s="1">
        <v>24</v>
      </c>
      <c r="G670" s="1">
        <v>18</v>
      </c>
      <c r="H670" s="1">
        <v>6</v>
      </c>
      <c r="I670" s="1">
        <v>11</v>
      </c>
      <c r="J670" s="1">
        <v>5</v>
      </c>
      <c r="K670" s="1">
        <v>64</v>
      </c>
      <c r="L670" s="5">
        <f t="shared" ca="1" si="5"/>
        <v>58.7</v>
      </c>
    </row>
    <row r="671" spans="1:12" x14ac:dyDescent="0.25">
      <c r="A671" s="2">
        <f t="shared" ref="A671:A717" ca="1" si="6">RANK(L671,$L$479:$L$718,0)</f>
        <v>193</v>
      </c>
      <c r="B671" s="1" t="s">
        <v>336</v>
      </c>
      <c r="C671" s="18">
        <v>45368</v>
      </c>
      <c r="D671" s="1" t="s">
        <v>72</v>
      </c>
      <c r="E671" s="1" t="s">
        <v>22</v>
      </c>
      <c r="F671" s="1">
        <v>26</v>
      </c>
      <c r="G671" s="1">
        <v>12</v>
      </c>
      <c r="H671" s="1">
        <v>5</v>
      </c>
      <c r="I671" s="1">
        <v>11</v>
      </c>
      <c r="J671" s="1">
        <v>7</v>
      </c>
      <c r="K671" s="1">
        <v>61</v>
      </c>
      <c r="L671" s="5">
        <f t="shared" ref="L671:L717" ca="1" si="7">K671-(ROUNDDOWN((($G$1-C671)/365),1))</f>
        <v>58.5</v>
      </c>
    </row>
    <row r="672" spans="1:12" x14ac:dyDescent="0.25">
      <c r="A672" s="2">
        <f t="shared" ca="1" si="6"/>
        <v>194</v>
      </c>
      <c r="B672" s="29" t="s">
        <v>49</v>
      </c>
      <c r="C672" s="18">
        <v>45220</v>
      </c>
      <c r="D672" s="1" t="s">
        <v>149</v>
      </c>
      <c r="E672" s="1" t="s">
        <v>22</v>
      </c>
      <c r="F672" s="1">
        <v>25</v>
      </c>
      <c r="G672" s="1">
        <v>15</v>
      </c>
      <c r="H672" s="1">
        <v>4</v>
      </c>
      <c r="I672" s="1">
        <v>12</v>
      </c>
      <c r="J672" s="1">
        <v>5</v>
      </c>
      <c r="K672" s="1">
        <v>61</v>
      </c>
      <c r="L672" s="5">
        <f t="shared" ca="1" si="7"/>
        <v>58.1</v>
      </c>
    </row>
    <row r="673" spans="1:12" x14ac:dyDescent="0.25">
      <c r="A673" s="2">
        <f t="shared" ca="1" si="6"/>
        <v>195</v>
      </c>
      <c r="B673" s="1" t="s">
        <v>54</v>
      </c>
      <c r="C673" s="18">
        <v>44451</v>
      </c>
      <c r="D673" s="1" t="s">
        <v>74</v>
      </c>
      <c r="E673" s="1" t="s">
        <v>22</v>
      </c>
      <c r="F673" s="1">
        <v>26</v>
      </c>
      <c r="G673" s="1">
        <v>14</v>
      </c>
      <c r="H673" s="1">
        <v>6</v>
      </c>
      <c r="I673" s="1">
        <v>12</v>
      </c>
      <c r="J673" s="1">
        <v>5</v>
      </c>
      <c r="K673" s="1">
        <v>63</v>
      </c>
      <c r="L673" s="5">
        <f t="shared" ca="1" si="7"/>
        <v>58</v>
      </c>
    </row>
    <row r="674" spans="1:12" x14ac:dyDescent="0.25">
      <c r="A674" s="2">
        <f t="shared" ca="1" si="6"/>
        <v>196</v>
      </c>
      <c r="B674" s="29" t="s">
        <v>148</v>
      </c>
      <c r="C674" s="18">
        <v>44430</v>
      </c>
      <c r="D674" s="1" t="s">
        <v>149</v>
      </c>
      <c r="E674" s="1" t="s">
        <v>22</v>
      </c>
      <c r="F674" s="1">
        <v>20</v>
      </c>
      <c r="G674" s="1">
        <v>22</v>
      </c>
      <c r="H674" s="1">
        <v>6</v>
      </c>
      <c r="I674" s="1">
        <v>10</v>
      </c>
      <c r="J674" s="1">
        <v>5</v>
      </c>
      <c r="K674" s="1">
        <v>63</v>
      </c>
      <c r="L674" s="5">
        <f t="shared" ca="1" si="7"/>
        <v>57.9</v>
      </c>
    </row>
    <row r="675" spans="1:12" x14ac:dyDescent="0.25">
      <c r="A675" s="2">
        <f t="shared" ca="1" si="6"/>
        <v>197</v>
      </c>
      <c r="B675" s="1" t="s">
        <v>215</v>
      </c>
      <c r="C675" s="18">
        <v>44717</v>
      </c>
      <c r="D675" s="1" t="s">
        <v>74</v>
      </c>
      <c r="E675" s="1" t="s">
        <v>22</v>
      </c>
      <c r="F675" s="1">
        <v>27</v>
      </c>
      <c r="G675" s="1">
        <v>15</v>
      </c>
      <c r="H675" s="1">
        <v>5</v>
      </c>
      <c r="I675" s="1">
        <v>11</v>
      </c>
      <c r="J675" s="1">
        <v>4</v>
      </c>
      <c r="K675" s="1">
        <v>62</v>
      </c>
      <c r="L675" s="5">
        <f t="shared" ca="1" si="7"/>
        <v>57.7</v>
      </c>
    </row>
    <row r="676" spans="1:12" x14ac:dyDescent="0.25">
      <c r="A676" s="2">
        <f t="shared" ca="1" si="6"/>
        <v>197</v>
      </c>
      <c r="B676" s="1" t="s">
        <v>129</v>
      </c>
      <c r="C676" s="18">
        <v>44353</v>
      </c>
      <c r="D676" s="1" t="s">
        <v>69</v>
      </c>
      <c r="E676" s="1" t="s">
        <v>22</v>
      </c>
      <c r="F676" s="1">
        <v>26</v>
      </c>
      <c r="G676" s="1">
        <v>17</v>
      </c>
      <c r="H676" s="1">
        <v>4</v>
      </c>
      <c r="I676" s="1">
        <v>11</v>
      </c>
      <c r="J676" s="1">
        <v>5</v>
      </c>
      <c r="K676" s="1">
        <v>63</v>
      </c>
      <c r="L676" s="5">
        <f t="shared" ca="1" si="7"/>
        <v>57.7</v>
      </c>
    </row>
    <row r="677" spans="1:12" x14ac:dyDescent="0.25">
      <c r="A677" s="2">
        <f t="shared" ca="1" si="6"/>
        <v>199</v>
      </c>
      <c r="B677" s="29" t="s">
        <v>51</v>
      </c>
      <c r="C677" s="18">
        <v>45220</v>
      </c>
      <c r="D677" s="1" t="s">
        <v>149</v>
      </c>
      <c r="E677" s="1" t="s">
        <v>22</v>
      </c>
      <c r="F677" s="1">
        <v>25</v>
      </c>
      <c r="G677" s="1">
        <v>13</v>
      </c>
      <c r="H677" s="1">
        <v>4</v>
      </c>
      <c r="I677" s="1">
        <v>12</v>
      </c>
      <c r="J677" s="1">
        <v>6</v>
      </c>
      <c r="K677" s="1">
        <v>60</v>
      </c>
      <c r="L677" s="5">
        <f t="shared" ca="1" si="7"/>
        <v>57.1</v>
      </c>
    </row>
    <row r="678" spans="1:12" x14ac:dyDescent="0.25">
      <c r="A678" s="2">
        <f t="shared" ca="1" si="6"/>
        <v>200</v>
      </c>
      <c r="B678" s="1" t="s">
        <v>162</v>
      </c>
      <c r="C678" s="18">
        <v>44465</v>
      </c>
      <c r="D678" s="1" t="s">
        <v>68</v>
      </c>
      <c r="E678" s="1" t="s">
        <v>22</v>
      </c>
      <c r="F678" s="1">
        <v>25</v>
      </c>
      <c r="G678" s="1">
        <v>17</v>
      </c>
      <c r="H678" s="1">
        <v>5</v>
      </c>
      <c r="I678" s="1">
        <v>12</v>
      </c>
      <c r="J678" s="1">
        <v>3</v>
      </c>
      <c r="K678" s="1">
        <v>62</v>
      </c>
      <c r="L678" s="5">
        <f t="shared" ca="1" si="7"/>
        <v>57</v>
      </c>
    </row>
    <row r="679" spans="1:12" x14ac:dyDescent="0.25">
      <c r="A679" s="2">
        <f t="shared" ca="1" si="6"/>
        <v>200</v>
      </c>
      <c r="B679" s="1" t="s">
        <v>98</v>
      </c>
      <c r="C679" s="18">
        <v>44092</v>
      </c>
      <c r="D679" s="1" t="s">
        <v>69</v>
      </c>
      <c r="E679" s="1" t="s">
        <v>22</v>
      </c>
      <c r="F679" s="1">
        <v>28</v>
      </c>
      <c r="G679" s="1">
        <v>17</v>
      </c>
      <c r="H679" s="1">
        <v>4</v>
      </c>
      <c r="I679" s="1">
        <v>10</v>
      </c>
      <c r="J679" s="1">
        <v>4</v>
      </c>
      <c r="K679" s="1">
        <v>63</v>
      </c>
      <c r="L679" s="5">
        <f t="shared" ca="1" si="7"/>
        <v>57</v>
      </c>
    </row>
    <row r="680" spans="1:12" x14ac:dyDescent="0.25">
      <c r="A680" s="2">
        <f t="shared" ca="1" si="6"/>
        <v>202</v>
      </c>
      <c r="B680" s="1" t="s">
        <v>450</v>
      </c>
      <c r="C680" s="18">
        <v>45872</v>
      </c>
      <c r="D680" s="1" t="s">
        <v>149</v>
      </c>
      <c r="E680" s="1" t="s">
        <v>22</v>
      </c>
      <c r="F680" s="1">
        <v>26</v>
      </c>
      <c r="G680" s="1">
        <v>14</v>
      </c>
      <c r="H680" s="1">
        <v>4</v>
      </c>
      <c r="I680" s="1">
        <v>10</v>
      </c>
      <c r="J680" s="1">
        <v>4</v>
      </c>
      <c r="K680" s="1">
        <v>58</v>
      </c>
      <c r="L680" s="5">
        <f t="shared" ca="1" si="7"/>
        <v>56.9</v>
      </c>
    </row>
    <row r="681" spans="1:12" x14ac:dyDescent="0.25">
      <c r="A681" s="2">
        <f t="shared" ca="1" si="6"/>
        <v>203</v>
      </c>
      <c r="B681" s="1" t="s">
        <v>449</v>
      </c>
      <c r="C681" s="18">
        <v>45858</v>
      </c>
      <c r="D681" s="1" t="s">
        <v>68</v>
      </c>
      <c r="E681" s="1" t="s">
        <v>22</v>
      </c>
      <c r="F681" s="1">
        <v>25</v>
      </c>
      <c r="G681" s="1">
        <v>18</v>
      </c>
      <c r="H681" s="1">
        <v>3</v>
      </c>
      <c r="I681" s="1">
        <v>8</v>
      </c>
      <c r="J681" s="1">
        <v>4</v>
      </c>
      <c r="K681" s="1">
        <v>58</v>
      </c>
      <c r="L681" s="5">
        <f t="shared" ca="1" si="7"/>
        <v>56.8</v>
      </c>
    </row>
    <row r="682" spans="1:12" x14ac:dyDescent="0.25">
      <c r="A682" s="2">
        <f t="shared" ca="1" si="6"/>
        <v>204</v>
      </c>
      <c r="B682" s="1" t="s">
        <v>118</v>
      </c>
      <c r="C682" s="18">
        <v>44703</v>
      </c>
      <c r="D682" s="1" t="s">
        <v>71</v>
      </c>
      <c r="E682" s="1" t="s">
        <v>22</v>
      </c>
      <c r="F682" s="1">
        <v>26</v>
      </c>
      <c r="G682" s="1">
        <v>15</v>
      </c>
      <c r="H682" s="1">
        <v>4</v>
      </c>
      <c r="I682" s="1">
        <v>11</v>
      </c>
      <c r="J682" s="1">
        <v>5</v>
      </c>
      <c r="K682" s="1">
        <v>61</v>
      </c>
      <c r="L682" s="5">
        <f t="shared" ca="1" si="7"/>
        <v>56.7</v>
      </c>
    </row>
    <row r="683" spans="1:12" x14ac:dyDescent="0.25">
      <c r="A683" s="2">
        <f t="shared" ca="1" si="6"/>
        <v>204</v>
      </c>
      <c r="B683" s="1" t="s">
        <v>90</v>
      </c>
      <c r="C683" s="18">
        <v>44703</v>
      </c>
      <c r="D683" s="1" t="s">
        <v>69</v>
      </c>
      <c r="E683" s="1" t="s">
        <v>22</v>
      </c>
      <c r="F683" s="1">
        <v>26</v>
      </c>
      <c r="G683" s="1">
        <v>16</v>
      </c>
      <c r="H683" s="1">
        <v>5</v>
      </c>
      <c r="I683" s="1">
        <v>9</v>
      </c>
      <c r="J683" s="1">
        <v>5</v>
      </c>
      <c r="K683" s="1">
        <v>61</v>
      </c>
      <c r="L683" s="5">
        <f t="shared" ca="1" si="7"/>
        <v>56.7</v>
      </c>
    </row>
    <row r="684" spans="1:12" x14ac:dyDescent="0.25">
      <c r="A684" s="2">
        <f t="shared" ca="1" si="6"/>
        <v>206</v>
      </c>
      <c r="B684" s="1" t="s">
        <v>190</v>
      </c>
      <c r="C684" s="18">
        <v>44591</v>
      </c>
      <c r="D684" s="1" t="s">
        <v>69</v>
      </c>
      <c r="E684" s="1" t="s">
        <v>22</v>
      </c>
      <c r="F684" s="1">
        <v>24</v>
      </c>
      <c r="G684" s="1">
        <v>18</v>
      </c>
      <c r="H684" s="1">
        <v>4</v>
      </c>
      <c r="I684" s="1">
        <v>8</v>
      </c>
      <c r="J684" s="1">
        <v>7</v>
      </c>
      <c r="K684" s="1">
        <v>61</v>
      </c>
      <c r="L684" s="5">
        <f t="shared" ca="1" si="7"/>
        <v>56.4</v>
      </c>
    </row>
    <row r="685" spans="1:12" x14ac:dyDescent="0.25">
      <c r="A685" s="2">
        <f t="shared" ca="1" si="6"/>
        <v>207</v>
      </c>
      <c r="B685" s="1" t="s">
        <v>94</v>
      </c>
      <c r="C685" s="18">
        <v>44577</v>
      </c>
      <c r="D685" s="1" t="s">
        <v>71</v>
      </c>
      <c r="E685" s="1" t="s">
        <v>22</v>
      </c>
      <c r="F685" s="1">
        <v>23</v>
      </c>
      <c r="G685" s="1">
        <v>13</v>
      </c>
      <c r="H685" s="1">
        <v>5</v>
      </c>
      <c r="I685" s="1">
        <v>14</v>
      </c>
      <c r="J685" s="1">
        <v>6</v>
      </c>
      <c r="K685" s="1">
        <v>61</v>
      </c>
      <c r="L685" s="5">
        <f t="shared" ca="1" si="7"/>
        <v>56.3</v>
      </c>
    </row>
    <row r="686" spans="1:12" x14ac:dyDescent="0.25">
      <c r="A686" s="2">
        <f t="shared" ca="1" si="6"/>
        <v>208</v>
      </c>
      <c r="B686" s="29" t="s">
        <v>50</v>
      </c>
      <c r="C686" s="18">
        <v>45220</v>
      </c>
      <c r="D686" s="1" t="s">
        <v>149</v>
      </c>
      <c r="E686" s="1" t="s">
        <v>22</v>
      </c>
      <c r="F686" s="1">
        <v>25</v>
      </c>
      <c r="G686" s="1">
        <v>13</v>
      </c>
      <c r="H686" s="1">
        <v>4</v>
      </c>
      <c r="I686" s="1">
        <v>12</v>
      </c>
      <c r="J686" s="1">
        <v>5</v>
      </c>
      <c r="K686" s="1">
        <v>59</v>
      </c>
      <c r="L686" s="5">
        <f t="shared" ca="1" si="7"/>
        <v>56.1</v>
      </c>
    </row>
    <row r="687" spans="1:12" x14ac:dyDescent="0.25">
      <c r="A687" s="2">
        <f t="shared" ca="1" si="6"/>
        <v>209</v>
      </c>
      <c r="B687" s="1" t="s">
        <v>23</v>
      </c>
      <c r="C687" s="18">
        <v>44409</v>
      </c>
      <c r="D687" s="1" t="s">
        <v>69</v>
      </c>
      <c r="E687" s="1" t="s">
        <v>22</v>
      </c>
      <c r="F687" s="1">
        <v>26</v>
      </c>
      <c r="G687" s="1">
        <v>12</v>
      </c>
      <c r="H687" s="1">
        <v>5</v>
      </c>
      <c r="I687" s="1">
        <v>12</v>
      </c>
      <c r="J687" s="1">
        <v>6</v>
      </c>
      <c r="K687" s="1">
        <v>61</v>
      </c>
      <c r="L687" s="5">
        <f t="shared" ca="1" si="7"/>
        <v>55.9</v>
      </c>
    </row>
    <row r="688" spans="1:12" x14ac:dyDescent="0.25">
      <c r="A688" s="2">
        <f t="shared" ca="1" si="6"/>
        <v>210</v>
      </c>
      <c r="B688" s="29" t="s">
        <v>342</v>
      </c>
      <c r="C688" s="18">
        <v>45396</v>
      </c>
      <c r="D688" s="1" t="s">
        <v>75</v>
      </c>
      <c r="E688" s="1" t="s">
        <v>22</v>
      </c>
      <c r="F688" s="1">
        <v>26</v>
      </c>
      <c r="G688" s="1">
        <v>14</v>
      </c>
      <c r="H688" s="1">
        <v>4</v>
      </c>
      <c r="I688" s="1">
        <v>8</v>
      </c>
      <c r="J688" s="1">
        <v>6</v>
      </c>
      <c r="K688" s="1">
        <v>58</v>
      </c>
      <c r="L688" s="5">
        <f t="shared" ca="1" si="7"/>
        <v>55.6</v>
      </c>
    </row>
    <row r="689" spans="1:12" x14ac:dyDescent="0.25">
      <c r="A689" s="2">
        <f t="shared" ca="1" si="6"/>
        <v>211</v>
      </c>
      <c r="B689" s="1" t="s">
        <v>405</v>
      </c>
      <c r="C689" s="18">
        <v>45676</v>
      </c>
      <c r="D689" s="1" t="s">
        <v>149</v>
      </c>
      <c r="E689" s="1" t="s">
        <v>22</v>
      </c>
      <c r="F689" s="1">
        <v>25</v>
      </c>
      <c r="G689" s="1">
        <v>15</v>
      </c>
      <c r="H689" s="1">
        <v>3</v>
      </c>
      <c r="I689" s="1">
        <v>10</v>
      </c>
      <c r="J689" s="1">
        <v>4</v>
      </c>
      <c r="K689" s="1">
        <v>57</v>
      </c>
      <c r="L689" s="5">
        <f t="shared" ca="1" si="7"/>
        <v>55.3</v>
      </c>
    </row>
    <row r="690" spans="1:12" x14ac:dyDescent="0.25">
      <c r="A690" s="2">
        <f t="shared" ca="1" si="6"/>
        <v>212</v>
      </c>
      <c r="B690" s="1" t="s">
        <v>182</v>
      </c>
      <c r="C690" s="18">
        <v>44535</v>
      </c>
      <c r="D690" s="1" t="s">
        <v>69</v>
      </c>
      <c r="E690" s="1" t="s">
        <v>22</v>
      </c>
      <c r="F690" s="1">
        <v>26</v>
      </c>
      <c r="G690" s="1">
        <v>16</v>
      </c>
      <c r="H690" s="1">
        <v>2</v>
      </c>
      <c r="I690" s="1">
        <v>11</v>
      </c>
      <c r="J690" s="1">
        <v>5</v>
      </c>
      <c r="K690" s="1">
        <v>60</v>
      </c>
      <c r="L690" s="5">
        <f t="shared" ca="1" si="7"/>
        <v>55.2</v>
      </c>
    </row>
    <row r="691" spans="1:12" x14ac:dyDescent="0.25">
      <c r="A691" s="2">
        <f t="shared" ca="1" si="6"/>
        <v>213</v>
      </c>
      <c r="B691" s="1" t="s">
        <v>52</v>
      </c>
      <c r="C691" s="18">
        <v>44451</v>
      </c>
      <c r="D691" s="1" t="s">
        <v>71</v>
      </c>
      <c r="E691" s="1" t="s">
        <v>22</v>
      </c>
      <c r="F691" s="1">
        <v>25</v>
      </c>
      <c r="G691" s="1">
        <v>16</v>
      </c>
      <c r="H691" s="1">
        <v>4</v>
      </c>
      <c r="I691" s="1">
        <v>10</v>
      </c>
      <c r="J691" s="1">
        <v>5</v>
      </c>
      <c r="K691" s="1">
        <v>60</v>
      </c>
      <c r="L691" s="5">
        <f t="shared" ca="1" si="7"/>
        <v>55</v>
      </c>
    </row>
    <row r="692" spans="1:12" x14ac:dyDescent="0.25">
      <c r="A692" s="2">
        <f t="shared" ca="1" si="6"/>
        <v>213</v>
      </c>
      <c r="B692" s="1" t="s">
        <v>157</v>
      </c>
      <c r="C692" s="18">
        <v>44451</v>
      </c>
      <c r="D692" s="1" t="s">
        <v>71</v>
      </c>
      <c r="E692" s="1" t="s">
        <v>22</v>
      </c>
      <c r="F692" s="1">
        <v>23</v>
      </c>
      <c r="G692" s="1">
        <v>16</v>
      </c>
      <c r="H692" s="1">
        <v>4</v>
      </c>
      <c r="I692" s="1">
        <v>12</v>
      </c>
      <c r="J692" s="1">
        <v>5</v>
      </c>
      <c r="K692" s="1">
        <v>60</v>
      </c>
      <c r="L692" s="5">
        <f t="shared" ca="1" si="7"/>
        <v>55</v>
      </c>
    </row>
    <row r="693" spans="1:12" x14ac:dyDescent="0.25">
      <c r="A693" s="2">
        <f t="shared" ca="1" si="6"/>
        <v>215</v>
      </c>
      <c r="B693" s="1" t="s">
        <v>291</v>
      </c>
      <c r="C693" s="18">
        <v>45102</v>
      </c>
      <c r="D693" s="1" t="s">
        <v>236</v>
      </c>
      <c r="E693" s="1" t="s">
        <v>22</v>
      </c>
      <c r="F693" s="1">
        <v>22</v>
      </c>
      <c r="G693" s="1">
        <v>17</v>
      </c>
      <c r="H693" s="1">
        <v>3</v>
      </c>
      <c r="I693" s="1">
        <v>11</v>
      </c>
      <c r="J693" s="1">
        <v>5</v>
      </c>
      <c r="K693" s="1">
        <v>58</v>
      </c>
      <c r="L693" s="5">
        <f t="shared" ca="1" si="7"/>
        <v>54.8</v>
      </c>
    </row>
    <row r="694" spans="1:12" x14ac:dyDescent="0.25">
      <c r="A694" s="2">
        <f t="shared" ca="1" si="6"/>
        <v>216</v>
      </c>
      <c r="B694" s="1" t="s">
        <v>166</v>
      </c>
      <c r="C694" s="18">
        <v>44479</v>
      </c>
      <c r="D694" s="1" t="s">
        <v>68</v>
      </c>
      <c r="E694" s="1" t="s">
        <v>22</v>
      </c>
      <c r="F694" s="1">
        <v>26</v>
      </c>
      <c r="G694" s="1">
        <v>13</v>
      </c>
      <c r="H694" s="1">
        <v>2</v>
      </c>
      <c r="I694" s="1">
        <v>14</v>
      </c>
      <c r="J694" s="1">
        <v>4</v>
      </c>
      <c r="K694" s="1">
        <v>59</v>
      </c>
      <c r="L694" s="5">
        <f t="shared" ca="1" si="7"/>
        <v>54.1</v>
      </c>
    </row>
    <row r="695" spans="1:12" x14ac:dyDescent="0.25">
      <c r="A695" s="2">
        <f t="shared" ca="1" si="6"/>
        <v>217</v>
      </c>
      <c r="B695" s="1" t="s">
        <v>46</v>
      </c>
      <c r="C695" s="18">
        <v>44451</v>
      </c>
      <c r="D695" s="1" t="s">
        <v>69</v>
      </c>
      <c r="E695" s="1" t="s">
        <v>22</v>
      </c>
      <c r="F695" s="1">
        <v>26</v>
      </c>
      <c r="G695" s="1">
        <v>14</v>
      </c>
      <c r="H695" s="1">
        <v>4</v>
      </c>
      <c r="I695" s="1">
        <v>10</v>
      </c>
      <c r="J695" s="1">
        <v>5</v>
      </c>
      <c r="K695" s="1">
        <v>59</v>
      </c>
      <c r="L695" s="5">
        <f t="shared" ca="1" si="7"/>
        <v>54</v>
      </c>
    </row>
    <row r="696" spans="1:12" x14ac:dyDescent="0.25">
      <c r="A696" s="2">
        <f t="shared" ca="1" si="6"/>
        <v>218</v>
      </c>
      <c r="B696" s="29" t="s">
        <v>138</v>
      </c>
      <c r="C696" s="18">
        <v>44402</v>
      </c>
      <c r="D696" s="1" t="s">
        <v>69</v>
      </c>
      <c r="E696" s="1" t="s">
        <v>22</v>
      </c>
      <c r="F696" s="1">
        <v>24</v>
      </c>
      <c r="G696" s="1">
        <v>16</v>
      </c>
      <c r="H696" s="1">
        <v>4</v>
      </c>
      <c r="I696" s="1">
        <v>10</v>
      </c>
      <c r="J696" s="1">
        <v>5</v>
      </c>
      <c r="K696" s="1">
        <v>59</v>
      </c>
      <c r="L696" s="5">
        <f t="shared" ca="1" si="7"/>
        <v>53.9</v>
      </c>
    </row>
    <row r="697" spans="1:12" x14ac:dyDescent="0.25">
      <c r="A697" s="2">
        <f t="shared" ca="1" si="6"/>
        <v>219</v>
      </c>
      <c r="B697" s="1" t="s">
        <v>468</v>
      </c>
      <c r="C697" s="18">
        <v>45816</v>
      </c>
      <c r="D697" s="1" t="s">
        <v>469</v>
      </c>
      <c r="E697" s="1" t="s">
        <v>22</v>
      </c>
      <c r="F697" s="1">
        <v>25</v>
      </c>
      <c r="G697" s="1">
        <v>15</v>
      </c>
      <c r="H697" s="1">
        <v>4</v>
      </c>
      <c r="I697" s="1">
        <v>8</v>
      </c>
      <c r="J697" s="1">
        <v>3</v>
      </c>
      <c r="K697" s="1">
        <v>55</v>
      </c>
      <c r="L697" s="5">
        <f t="shared" ca="1" si="7"/>
        <v>53.7</v>
      </c>
    </row>
    <row r="698" spans="1:12" x14ac:dyDescent="0.25">
      <c r="A698" s="2">
        <f t="shared" ca="1" si="6"/>
        <v>220</v>
      </c>
      <c r="B698" s="29" t="s">
        <v>331</v>
      </c>
      <c r="C698" s="18">
        <v>45340</v>
      </c>
      <c r="D698" s="1" t="s">
        <v>72</v>
      </c>
      <c r="E698" s="1" t="s">
        <v>22</v>
      </c>
      <c r="F698" s="1">
        <v>22</v>
      </c>
      <c r="G698" s="1">
        <v>17</v>
      </c>
      <c r="H698" s="1">
        <v>2</v>
      </c>
      <c r="I698" s="1">
        <v>9</v>
      </c>
      <c r="J698" s="1">
        <v>6</v>
      </c>
      <c r="K698" s="1">
        <v>56</v>
      </c>
      <c r="L698" s="5">
        <f t="shared" ca="1" si="7"/>
        <v>53.4</v>
      </c>
    </row>
    <row r="699" spans="1:12" x14ac:dyDescent="0.25">
      <c r="A699" s="2">
        <f t="shared" ca="1" si="6"/>
        <v>221</v>
      </c>
      <c r="B699" s="29" t="s">
        <v>257</v>
      </c>
      <c r="C699" s="18">
        <v>44913</v>
      </c>
      <c r="D699" s="1" t="s">
        <v>69</v>
      </c>
      <c r="E699" s="1" t="s">
        <v>22</v>
      </c>
      <c r="F699" s="1">
        <v>20</v>
      </c>
      <c r="G699" s="1">
        <v>14</v>
      </c>
      <c r="H699" s="1">
        <v>5</v>
      </c>
      <c r="I699" s="1">
        <v>11</v>
      </c>
      <c r="J699" s="1">
        <v>6</v>
      </c>
      <c r="K699" s="1">
        <v>56</v>
      </c>
      <c r="L699" s="5">
        <f t="shared" ca="1" si="7"/>
        <v>52.3</v>
      </c>
    </row>
    <row r="700" spans="1:12" x14ac:dyDescent="0.25">
      <c r="A700" s="2">
        <f t="shared" ca="1" si="6"/>
        <v>222</v>
      </c>
      <c r="B700" s="1" t="s">
        <v>433</v>
      </c>
      <c r="C700" s="18">
        <v>45802</v>
      </c>
      <c r="D700" s="1" t="s">
        <v>262</v>
      </c>
      <c r="E700" s="1" t="s">
        <v>22</v>
      </c>
      <c r="F700" s="1">
        <v>22</v>
      </c>
      <c r="G700" s="1">
        <v>15</v>
      </c>
      <c r="H700" s="1">
        <v>3</v>
      </c>
      <c r="I700" s="1">
        <v>8</v>
      </c>
      <c r="J700" s="1">
        <v>5</v>
      </c>
      <c r="K700" s="1">
        <v>53</v>
      </c>
      <c r="L700" s="5">
        <f t="shared" ca="1" si="7"/>
        <v>51.7</v>
      </c>
    </row>
    <row r="701" spans="1:12" x14ac:dyDescent="0.25">
      <c r="A701" s="2">
        <f t="shared" ca="1" si="6"/>
        <v>223</v>
      </c>
      <c r="B701" s="1" t="s">
        <v>93</v>
      </c>
      <c r="C701" s="18">
        <v>44217</v>
      </c>
      <c r="D701" s="1" t="s">
        <v>71</v>
      </c>
      <c r="E701" s="1" t="s">
        <v>22</v>
      </c>
      <c r="F701" s="1">
        <v>24</v>
      </c>
      <c r="G701" s="1">
        <v>13</v>
      </c>
      <c r="H701" s="1">
        <v>4</v>
      </c>
      <c r="I701" s="1">
        <v>12</v>
      </c>
      <c r="J701" s="1">
        <v>4</v>
      </c>
      <c r="K701" s="1">
        <v>57</v>
      </c>
      <c r="L701" s="5">
        <f t="shared" ca="1" si="7"/>
        <v>51.3</v>
      </c>
    </row>
    <row r="702" spans="1:12" x14ac:dyDescent="0.25">
      <c r="A702" s="2">
        <f t="shared" ca="1" si="6"/>
        <v>224</v>
      </c>
      <c r="B702" s="1" t="s">
        <v>34</v>
      </c>
      <c r="C702" s="18">
        <v>44423</v>
      </c>
      <c r="D702" s="1" t="s">
        <v>71</v>
      </c>
      <c r="E702" s="1" t="s">
        <v>22</v>
      </c>
      <c r="F702" s="1">
        <v>24</v>
      </c>
      <c r="G702" s="1">
        <v>14</v>
      </c>
      <c r="H702" s="1">
        <v>5</v>
      </c>
      <c r="I702" s="1">
        <v>8</v>
      </c>
      <c r="J702" s="1">
        <v>5</v>
      </c>
      <c r="K702" s="1">
        <v>56</v>
      </c>
      <c r="L702" s="5">
        <f t="shared" ca="1" si="7"/>
        <v>50.9</v>
      </c>
    </row>
    <row r="703" spans="1:12" x14ac:dyDescent="0.25">
      <c r="A703" s="2">
        <f t="shared" ca="1" si="6"/>
        <v>224</v>
      </c>
      <c r="B703" s="1" t="s">
        <v>25</v>
      </c>
      <c r="C703" s="18">
        <v>44409</v>
      </c>
      <c r="D703" s="1" t="s">
        <v>69</v>
      </c>
      <c r="E703" s="1" t="s">
        <v>22</v>
      </c>
      <c r="F703" s="1">
        <v>24</v>
      </c>
      <c r="G703" s="1">
        <v>12</v>
      </c>
      <c r="H703" s="1">
        <v>5</v>
      </c>
      <c r="I703" s="1">
        <v>10</v>
      </c>
      <c r="J703" s="1">
        <v>5</v>
      </c>
      <c r="K703" s="1">
        <v>56</v>
      </c>
      <c r="L703" s="5">
        <f t="shared" ca="1" si="7"/>
        <v>50.9</v>
      </c>
    </row>
    <row r="704" spans="1:12" x14ac:dyDescent="0.25">
      <c r="A704" s="2">
        <f t="shared" ca="1" si="6"/>
        <v>226</v>
      </c>
      <c r="B704" s="1" t="s">
        <v>135</v>
      </c>
      <c r="C704" s="18">
        <v>44367</v>
      </c>
      <c r="D704" s="1" t="s">
        <v>68</v>
      </c>
      <c r="E704" s="1" t="s">
        <v>22</v>
      </c>
      <c r="F704" s="1">
        <v>24</v>
      </c>
      <c r="G704" s="1">
        <v>14</v>
      </c>
      <c r="H704" s="1">
        <v>3</v>
      </c>
      <c r="I704" s="1">
        <v>10</v>
      </c>
      <c r="J704" s="1">
        <v>5</v>
      </c>
      <c r="K704" s="1">
        <v>56</v>
      </c>
      <c r="L704" s="5">
        <f t="shared" ca="1" si="7"/>
        <v>50.8</v>
      </c>
    </row>
    <row r="705" spans="1:12" x14ac:dyDescent="0.25">
      <c r="A705" s="2">
        <f t="shared" ca="1" si="6"/>
        <v>227</v>
      </c>
      <c r="B705" s="1" t="s">
        <v>100</v>
      </c>
      <c r="C705" s="18">
        <v>44703</v>
      </c>
      <c r="D705" s="1" t="s">
        <v>69</v>
      </c>
      <c r="E705" s="1" t="s">
        <v>22</v>
      </c>
      <c r="F705" s="1">
        <v>26</v>
      </c>
      <c r="G705" s="1">
        <v>14</v>
      </c>
      <c r="H705" s="1">
        <v>5</v>
      </c>
      <c r="I705" s="1">
        <v>7</v>
      </c>
      <c r="J705" s="1">
        <v>3</v>
      </c>
      <c r="K705" s="1">
        <v>55</v>
      </c>
      <c r="L705" s="5">
        <f t="shared" ca="1" si="7"/>
        <v>50.7</v>
      </c>
    </row>
    <row r="706" spans="1:12" x14ac:dyDescent="0.25">
      <c r="A706" s="2">
        <f t="shared" ca="1" si="6"/>
        <v>228</v>
      </c>
      <c r="B706" s="1" t="s">
        <v>198</v>
      </c>
      <c r="C706" s="18">
        <v>44626</v>
      </c>
      <c r="D706" s="1" t="s">
        <v>71</v>
      </c>
      <c r="E706" s="1" t="s">
        <v>22</v>
      </c>
      <c r="F706" s="1">
        <v>23</v>
      </c>
      <c r="G706" s="1">
        <v>13</v>
      </c>
      <c r="H706" s="1">
        <v>4</v>
      </c>
      <c r="I706" s="1">
        <v>11</v>
      </c>
      <c r="J706" s="1">
        <v>4</v>
      </c>
      <c r="K706" s="1">
        <v>55</v>
      </c>
      <c r="L706" s="5">
        <f t="shared" ca="1" si="7"/>
        <v>50.5</v>
      </c>
    </row>
    <row r="707" spans="1:12" x14ac:dyDescent="0.25">
      <c r="A707" s="2">
        <f t="shared" ca="1" si="6"/>
        <v>229</v>
      </c>
      <c r="B707" s="1" t="s">
        <v>263</v>
      </c>
      <c r="C707" s="18">
        <v>44934</v>
      </c>
      <c r="D707" s="1" t="s">
        <v>262</v>
      </c>
      <c r="E707" s="1" t="s">
        <v>22</v>
      </c>
      <c r="F707" s="1">
        <v>21</v>
      </c>
      <c r="G707" s="1">
        <v>18</v>
      </c>
      <c r="H707" s="1">
        <v>3</v>
      </c>
      <c r="I707" s="1">
        <v>8</v>
      </c>
      <c r="J707" s="1">
        <v>4</v>
      </c>
      <c r="K707" s="1">
        <v>54</v>
      </c>
      <c r="L707" s="5">
        <f t="shared" ca="1" si="7"/>
        <v>50.3</v>
      </c>
    </row>
    <row r="708" spans="1:12" x14ac:dyDescent="0.25">
      <c r="A708" s="2">
        <f t="shared" ca="1" si="6"/>
        <v>230</v>
      </c>
      <c r="B708" s="1" t="s">
        <v>170</v>
      </c>
      <c r="C708" s="18">
        <v>44493</v>
      </c>
      <c r="D708" s="1" t="s">
        <v>154</v>
      </c>
      <c r="E708" s="1" t="s">
        <v>22</v>
      </c>
      <c r="F708" s="1">
        <v>23</v>
      </c>
      <c r="G708" s="1">
        <v>13</v>
      </c>
      <c r="H708" s="1">
        <v>4</v>
      </c>
      <c r="I708" s="1">
        <v>11</v>
      </c>
      <c r="J708" s="1">
        <v>4</v>
      </c>
      <c r="K708" s="1">
        <v>55</v>
      </c>
      <c r="L708" s="5">
        <f t="shared" ca="1" si="7"/>
        <v>50.1</v>
      </c>
    </row>
    <row r="709" spans="1:12" x14ac:dyDescent="0.25">
      <c r="A709" s="2">
        <f t="shared" ca="1" si="6"/>
        <v>231</v>
      </c>
      <c r="B709" s="1" t="s">
        <v>150</v>
      </c>
      <c r="C709" s="18">
        <v>44437</v>
      </c>
      <c r="D709" s="1" t="s">
        <v>72</v>
      </c>
      <c r="E709" s="1" t="s">
        <v>22</v>
      </c>
      <c r="F709" s="1">
        <v>23</v>
      </c>
      <c r="G709" s="1">
        <v>14</v>
      </c>
      <c r="H709" s="1">
        <v>4</v>
      </c>
      <c r="I709" s="1">
        <v>9</v>
      </c>
      <c r="J709" s="1">
        <v>5</v>
      </c>
      <c r="K709" s="1">
        <v>55</v>
      </c>
      <c r="L709" s="5">
        <f t="shared" ca="1" si="7"/>
        <v>49.9</v>
      </c>
    </row>
    <row r="710" spans="1:12" x14ac:dyDescent="0.25">
      <c r="A710" s="2">
        <f t="shared" ca="1" si="6"/>
        <v>232</v>
      </c>
      <c r="B710" s="1" t="s">
        <v>351</v>
      </c>
      <c r="C710" s="18">
        <v>45459</v>
      </c>
      <c r="D710" s="1" t="s">
        <v>149</v>
      </c>
      <c r="E710" s="1" t="s">
        <v>22</v>
      </c>
      <c r="F710" s="1">
        <v>22</v>
      </c>
      <c r="G710" s="1">
        <v>16</v>
      </c>
      <c r="H710" s="1">
        <v>2</v>
      </c>
      <c r="I710" s="1">
        <v>9</v>
      </c>
      <c r="J710" s="1">
        <v>3</v>
      </c>
      <c r="K710" s="1">
        <v>52</v>
      </c>
      <c r="L710" s="5">
        <f t="shared" ca="1" si="7"/>
        <v>49.7</v>
      </c>
    </row>
    <row r="711" spans="1:12" x14ac:dyDescent="0.25">
      <c r="A711" s="2">
        <f t="shared" ca="1" si="6"/>
        <v>233</v>
      </c>
      <c r="B711" s="1" t="s">
        <v>24</v>
      </c>
      <c r="C711" s="18">
        <v>44409</v>
      </c>
      <c r="D711" s="1" t="s">
        <v>69</v>
      </c>
      <c r="E711" s="1" t="s">
        <v>22</v>
      </c>
      <c r="F711" s="1">
        <v>22</v>
      </c>
      <c r="G711" s="1">
        <v>12</v>
      </c>
      <c r="H711" s="1">
        <v>5</v>
      </c>
      <c r="I711" s="1">
        <v>10</v>
      </c>
      <c r="J711" s="1">
        <v>5</v>
      </c>
      <c r="K711" s="1">
        <v>54</v>
      </c>
      <c r="L711" s="5">
        <f t="shared" ca="1" si="7"/>
        <v>48.9</v>
      </c>
    </row>
    <row r="712" spans="1:12" x14ac:dyDescent="0.25">
      <c r="A712" s="2">
        <f t="shared" ca="1" si="6"/>
        <v>234</v>
      </c>
      <c r="B712" s="1" t="s">
        <v>62</v>
      </c>
      <c r="C712" s="18">
        <v>44577</v>
      </c>
      <c r="D712" s="1" t="s">
        <v>75</v>
      </c>
      <c r="E712" s="1" t="s">
        <v>22</v>
      </c>
      <c r="F712" s="1">
        <v>23</v>
      </c>
      <c r="G712" s="1">
        <v>13</v>
      </c>
      <c r="H712" s="1">
        <v>5</v>
      </c>
      <c r="I712" s="1">
        <v>7</v>
      </c>
      <c r="J712" s="1">
        <v>4</v>
      </c>
      <c r="K712" s="1">
        <v>52</v>
      </c>
      <c r="L712" s="5">
        <f t="shared" ca="1" si="7"/>
        <v>47.3</v>
      </c>
    </row>
    <row r="713" spans="1:12" x14ac:dyDescent="0.25">
      <c r="A713" s="2">
        <f t="shared" ca="1" si="6"/>
        <v>235</v>
      </c>
      <c r="B713" s="1" t="s">
        <v>243</v>
      </c>
      <c r="C713" s="18">
        <v>44843</v>
      </c>
      <c r="D713" s="1" t="s">
        <v>149</v>
      </c>
      <c r="E713" s="1" t="s">
        <v>22</v>
      </c>
      <c r="F713" s="1">
        <v>19</v>
      </c>
      <c r="G713" s="1">
        <v>13</v>
      </c>
      <c r="H713" s="1">
        <v>3</v>
      </c>
      <c r="I713" s="1">
        <v>9</v>
      </c>
      <c r="J713" s="1">
        <v>6</v>
      </c>
      <c r="K713" s="1">
        <v>50</v>
      </c>
      <c r="L713" s="5">
        <f t="shared" ca="1" si="7"/>
        <v>46.1</v>
      </c>
    </row>
    <row r="714" spans="1:12" x14ac:dyDescent="0.25">
      <c r="A714" s="2">
        <f t="shared" ca="1" si="6"/>
        <v>236</v>
      </c>
      <c r="B714" s="1" t="s">
        <v>35</v>
      </c>
      <c r="C714" s="18">
        <v>44423</v>
      </c>
      <c r="D714" s="1" t="s">
        <v>72</v>
      </c>
      <c r="E714" s="1" t="s">
        <v>22</v>
      </c>
      <c r="F714" s="1">
        <v>22</v>
      </c>
      <c r="G714" s="1">
        <v>11</v>
      </c>
      <c r="H714" s="1">
        <v>5</v>
      </c>
      <c r="I714" s="1">
        <v>7</v>
      </c>
      <c r="J714" s="1">
        <v>5</v>
      </c>
      <c r="K714" s="1">
        <v>50</v>
      </c>
      <c r="L714" s="5">
        <f t="shared" ca="1" si="7"/>
        <v>44.9</v>
      </c>
    </row>
    <row r="715" spans="1:12" x14ac:dyDescent="0.25">
      <c r="A715" s="2">
        <f t="shared" ca="1" si="6"/>
        <v>237</v>
      </c>
      <c r="B715" s="1" t="s">
        <v>99</v>
      </c>
      <c r="C715" s="18">
        <v>44577</v>
      </c>
      <c r="D715" s="1" t="s">
        <v>154</v>
      </c>
      <c r="E715" s="1" t="s">
        <v>22</v>
      </c>
      <c r="F715" s="1">
        <v>19</v>
      </c>
      <c r="G715" s="1">
        <v>13</v>
      </c>
      <c r="H715" s="1">
        <v>4</v>
      </c>
      <c r="I715" s="1">
        <v>9</v>
      </c>
      <c r="J715" s="1">
        <v>4</v>
      </c>
      <c r="K715" s="1">
        <v>49</v>
      </c>
      <c r="L715" s="5">
        <f t="shared" ca="1" si="7"/>
        <v>44.3</v>
      </c>
    </row>
    <row r="716" spans="1:12" x14ac:dyDescent="0.25">
      <c r="A716" s="2">
        <f t="shared" ca="1" si="6"/>
        <v>238</v>
      </c>
      <c r="B716" s="1" t="s">
        <v>283</v>
      </c>
      <c r="C716" s="18">
        <v>45067</v>
      </c>
      <c r="D716" s="1" t="s">
        <v>149</v>
      </c>
      <c r="E716" s="1" t="s">
        <v>22</v>
      </c>
      <c r="F716" s="1">
        <v>17</v>
      </c>
      <c r="G716" s="1">
        <v>14</v>
      </c>
      <c r="H716" s="1">
        <v>3</v>
      </c>
      <c r="I716" s="1">
        <v>9</v>
      </c>
      <c r="J716" s="1">
        <v>4</v>
      </c>
      <c r="K716" s="1">
        <f>SUM(F716:J716)</f>
        <v>47</v>
      </c>
      <c r="L716" s="5">
        <f t="shared" ca="1" si="7"/>
        <v>43.7</v>
      </c>
    </row>
    <row r="717" spans="1:12" x14ac:dyDescent="0.25">
      <c r="A717" s="2">
        <f t="shared" ca="1" si="6"/>
        <v>239</v>
      </c>
      <c r="B717" s="1" t="s">
        <v>242</v>
      </c>
      <c r="C717" s="18">
        <v>44843</v>
      </c>
      <c r="D717" s="1" t="s">
        <v>73</v>
      </c>
      <c r="E717" s="1" t="s">
        <v>22</v>
      </c>
      <c r="F717" s="1">
        <v>20</v>
      </c>
      <c r="G717" s="1">
        <v>14</v>
      </c>
      <c r="H717" s="1">
        <v>3</v>
      </c>
      <c r="I717" s="1">
        <v>7</v>
      </c>
      <c r="J717" s="1">
        <v>3</v>
      </c>
      <c r="K717" s="1">
        <v>47</v>
      </c>
      <c r="L717" s="5">
        <f t="shared" ca="1" si="7"/>
        <v>43.1</v>
      </c>
    </row>
    <row r="718" spans="1:12" x14ac:dyDescent="0.25">
      <c r="A718" s="2"/>
      <c r="L718" s="3"/>
    </row>
    <row r="719" spans="1:12" x14ac:dyDescent="0.25">
      <c r="A719" s="2" t="s">
        <v>27</v>
      </c>
      <c r="B719" s="1" t="s">
        <v>28</v>
      </c>
      <c r="D719" s="1" t="s">
        <v>29</v>
      </c>
      <c r="E719" s="1" t="s">
        <v>29</v>
      </c>
      <c r="F719" s="4">
        <f t="shared" ref="F719:L719" si="8">AVERAGE(F479:F718)</f>
        <v>27.305439330543933</v>
      </c>
      <c r="G719" s="4">
        <f t="shared" si="8"/>
        <v>17.98326359832636</v>
      </c>
      <c r="H719" s="4">
        <f t="shared" si="8"/>
        <v>5.7489539748953975</v>
      </c>
      <c r="I719" s="4">
        <f t="shared" si="8"/>
        <v>12.347280334728033</v>
      </c>
      <c r="J719" s="4">
        <f t="shared" si="8"/>
        <v>5.8870292887029292</v>
      </c>
      <c r="K719" s="4">
        <f t="shared" si="8"/>
        <v>69.271966527196653</v>
      </c>
      <c r="L719" s="5">
        <f t="shared" ca="1" si="8"/>
        <v>66.079079497907941</v>
      </c>
    </row>
    <row r="720" spans="1:12" x14ac:dyDescent="0.25">
      <c r="A720" s="39" t="s">
        <v>13</v>
      </c>
      <c r="B720" s="40"/>
      <c r="C720" s="40"/>
      <c r="D720" s="40"/>
      <c r="E720" s="40"/>
      <c r="F720" s="40"/>
      <c r="G720" s="40"/>
      <c r="H720" s="40"/>
      <c r="I720" s="40"/>
      <c r="J720" s="40"/>
      <c r="K720" s="40"/>
      <c r="L720" s="41"/>
    </row>
    <row r="721" spans="1:24" s="14" customFormat="1" ht="30" x14ac:dyDescent="0.25">
      <c r="A721" s="10" t="s">
        <v>1</v>
      </c>
      <c r="B721" s="11" t="s">
        <v>0</v>
      </c>
      <c r="C721" s="11" t="s">
        <v>359</v>
      </c>
      <c r="D721" s="11" t="s">
        <v>65</v>
      </c>
      <c r="E721" s="11" t="s">
        <v>2</v>
      </c>
      <c r="F721" s="11" t="s">
        <v>3</v>
      </c>
      <c r="G721" s="11" t="s">
        <v>4</v>
      </c>
      <c r="H721" s="11" t="s">
        <v>5</v>
      </c>
      <c r="I721" s="11" t="s">
        <v>6</v>
      </c>
      <c r="J721" s="11" t="s">
        <v>7</v>
      </c>
      <c r="K721" s="21" t="s">
        <v>361</v>
      </c>
      <c r="L721" s="22" t="s">
        <v>360</v>
      </c>
      <c r="M721" s="11"/>
      <c r="O721" s="1"/>
      <c r="P721" s="1"/>
      <c r="Q721" s="1"/>
      <c r="R721" s="1"/>
      <c r="S721" s="1"/>
      <c r="T721" s="1"/>
      <c r="U721" s="1"/>
      <c r="V721" s="1"/>
      <c r="W721" s="4"/>
      <c r="X721"/>
    </row>
    <row r="722" spans="1:24" x14ac:dyDescent="0.25">
      <c r="A722" s="2">
        <f ca="1">RANK(L722,$L$722:$L$861,0)</f>
        <v>1</v>
      </c>
      <c r="B722" s="1" t="s">
        <v>89</v>
      </c>
      <c r="C722" s="18">
        <v>45011</v>
      </c>
      <c r="D722" s="1" t="s">
        <v>66</v>
      </c>
      <c r="E722" s="1" t="s">
        <v>17</v>
      </c>
      <c r="F722" s="1">
        <v>32</v>
      </c>
      <c r="G722" s="1">
        <v>23</v>
      </c>
      <c r="H722" s="1">
        <v>8</v>
      </c>
      <c r="I722" s="1">
        <v>15</v>
      </c>
      <c r="J722" s="1">
        <v>8</v>
      </c>
      <c r="K722" s="1">
        <v>86</v>
      </c>
      <c r="L722" s="5">
        <f ca="1">K722-(ROUNDDOWN((($G$1-C722)/365),1))</f>
        <v>82.5</v>
      </c>
    </row>
    <row r="723" spans="1:24" x14ac:dyDescent="0.25">
      <c r="A723" s="2">
        <f ca="1">RANK(L723,$L$722:$L$861,0)</f>
        <v>1</v>
      </c>
      <c r="B723" s="29" t="s">
        <v>414</v>
      </c>
      <c r="C723" s="18">
        <v>45725</v>
      </c>
      <c r="D723" s="1" t="s">
        <v>72</v>
      </c>
      <c r="E723" s="1" t="s">
        <v>17</v>
      </c>
      <c r="F723" s="1">
        <v>29</v>
      </c>
      <c r="G723" s="1">
        <v>24</v>
      </c>
      <c r="H723" s="1">
        <v>6</v>
      </c>
      <c r="I723" s="1">
        <v>15</v>
      </c>
      <c r="J723" s="1">
        <v>10</v>
      </c>
      <c r="K723" s="1">
        <v>84</v>
      </c>
      <c r="L723" s="5">
        <f ca="1">K723-(ROUNDDOWN((($G$1-C723)/365),1))</f>
        <v>82.5</v>
      </c>
    </row>
    <row r="724" spans="1:24" x14ac:dyDescent="0.25">
      <c r="A724" s="2">
        <f ca="1">RANK(L724,$L$722:$L$861,0)</f>
        <v>3</v>
      </c>
      <c r="B724" s="29" t="s">
        <v>457</v>
      </c>
      <c r="C724" s="18">
        <v>45914</v>
      </c>
      <c r="D724" s="1" t="s">
        <v>71</v>
      </c>
      <c r="E724" s="1" t="s">
        <v>17</v>
      </c>
      <c r="F724" s="1">
        <v>32</v>
      </c>
      <c r="G724" s="1">
        <v>18</v>
      </c>
      <c r="H724" s="1">
        <v>6</v>
      </c>
      <c r="I724" s="1">
        <v>17</v>
      </c>
      <c r="J724" s="1">
        <v>9</v>
      </c>
      <c r="K724" s="1">
        <v>82</v>
      </c>
      <c r="L724" s="5">
        <f ca="1">K724-(ROUNDDOWN((($G$1-C724)/365),1))</f>
        <v>81</v>
      </c>
    </row>
    <row r="725" spans="1:24" x14ac:dyDescent="0.25">
      <c r="A725" s="2">
        <f ca="1">RANK(L725,$L$722:$L$861,0)</f>
        <v>4</v>
      </c>
      <c r="B725" s="29" t="s">
        <v>372</v>
      </c>
      <c r="C725" s="18">
        <v>45550</v>
      </c>
      <c r="D725" s="1" t="s">
        <v>266</v>
      </c>
      <c r="E725" s="1" t="s">
        <v>17</v>
      </c>
      <c r="F725" s="1">
        <v>30</v>
      </c>
      <c r="G725" s="1">
        <v>21</v>
      </c>
      <c r="H725" s="1">
        <v>7</v>
      </c>
      <c r="I725" s="1">
        <v>16</v>
      </c>
      <c r="J725" s="1">
        <v>8</v>
      </c>
      <c r="K725" s="1">
        <v>82</v>
      </c>
      <c r="L725" s="5">
        <f ca="1">K725-(ROUNDDOWN((($G$1-C725)/365),1))</f>
        <v>80</v>
      </c>
    </row>
    <row r="726" spans="1:24" x14ac:dyDescent="0.25">
      <c r="A726" s="2">
        <f ca="1">RANK(L726,$L$722:$L$861,0)</f>
        <v>5</v>
      </c>
      <c r="B726" s="1" t="s">
        <v>504</v>
      </c>
      <c r="C726" s="18">
        <v>46124</v>
      </c>
      <c r="D726" s="1" t="s">
        <v>483</v>
      </c>
      <c r="E726" s="1" t="s">
        <v>17</v>
      </c>
      <c r="F726" s="1">
        <v>29</v>
      </c>
      <c r="G726" s="1">
        <v>24</v>
      </c>
      <c r="H726" s="1">
        <v>7</v>
      </c>
      <c r="I726" s="1">
        <v>13</v>
      </c>
      <c r="J726" s="1">
        <v>6</v>
      </c>
      <c r="K726" s="1">
        <v>79</v>
      </c>
      <c r="L726" s="5">
        <f ca="1">K726-(ROUNDDOWN((($G$1-C726)/365),1))</f>
        <v>78.599999999999994</v>
      </c>
    </row>
    <row r="727" spans="1:24" x14ac:dyDescent="0.25">
      <c r="A727" s="2">
        <f ca="1">RANK(L727,$L$722:$L$861,0)</f>
        <v>6</v>
      </c>
      <c r="B727" s="29" t="s">
        <v>403</v>
      </c>
      <c r="C727" s="18">
        <v>45669</v>
      </c>
      <c r="D727" s="1" t="s">
        <v>71</v>
      </c>
      <c r="E727" s="1" t="s">
        <v>17</v>
      </c>
      <c r="F727" s="1">
        <v>31</v>
      </c>
      <c r="G727" s="1">
        <v>18</v>
      </c>
      <c r="H727" s="1">
        <v>8</v>
      </c>
      <c r="I727" s="1">
        <v>14</v>
      </c>
      <c r="J727" s="1">
        <v>9</v>
      </c>
      <c r="K727" s="1">
        <v>80</v>
      </c>
      <c r="L727" s="5">
        <f ca="1">K727-(ROUNDDOWN((($G$1-C727)/365),1))</f>
        <v>78.3</v>
      </c>
    </row>
    <row r="728" spans="1:24" x14ac:dyDescent="0.25">
      <c r="A728" s="2">
        <f ca="1">RANK(L728,$L$722:$L$861,0)</f>
        <v>7</v>
      </c>
      <c r="B728" s="1" t="s">
        <v>443</v>
      </c>
      <c r="C728" s="18">
        <v>45844</v>
      </c>
      <c r="D728" s="1" t="s">
        <v>71</v>
      </c>
      <c r="E728" s="1" t="s">
        <v>17</v>
      </c>
      <c r="F728" s="1">
        <v>29</v>
      </c>
      <c r="G728" s="1">
        <v>23</v>
      </c>
      <c r="H728" s="1">
        <v>6</v>
      </c>
      <c r="I728" s="1">
        <v>15</v>
      </c>
      <c r="J728" s="1">
        <v>6</v>
      </c>
      <c r="K728" s="1">
        <v>79</v>
      </c>
      <c r="L728" s="5">
        <f ca="1">K728-(ROUNDDOWN((($G$1-C728)/365),1))</f>
        <v>77.8</v>
      </c>
    </row>
    <row r="729" spans="1:24" x14ac:dyDescent="0.25">
      <c r="A729" s="2">
        <f ca="1">RANK(L729,$L$722:$L$861,0)</f>
        <v>8</v>
      </c>
      <c r="B729" s="1" t="s">
        <v>101</v>
      </c>
      <c r="C729" s="18">
        <v>45011</v>
      </c>
      <c r="D729" s="1" t="s">
        <v>69</v>
      </c>
      <c r="E729" s="1" t="s">
        <v>17</v>
      </c>
      <c r="F729" s="1">
        <v>27</v>
      </c>
      <c r="G729" s="1">
        <v>22</v>
      </c>
      <c r="H729" s="1">
        <v>6</v>
      </c>
      <c r="I729" s="1">
        <v>17</v>
      </c>
      <c r="J729" s="1">
        <v>8</v>
      </c>
      <c r="K729" s="1">
        <v>80</v>
      </c>
      <c r="L729" s="5">
        <f ca="1">K729-(ROUNDDOWN((($G$1-C729)/365),1))</f>
        <v>76.5</v>
      </c>
    </row>
    <row r="730" spans="1:24" x14ac:dyDescent="0.25">
      <c r="A730" s="2">
        <f ca="1">RANK(L730,$L$722:$L$861,0)</f>
        <v>9</v>
      </c>
      <c r="B730" s="1" t="s">
        <v>536</v>
      </c>
      <c r="C730" s="18">
        <v>46299</v>
      </c>
      <c r="D730" s="1" t="s">
        <v>378</v>
      </c>
      <c r="E730" s="1" t="s">
        <v>17</v>
      </c>
      <c r="F730" s="1">
        <v>29</v>
      </c>
      <c r="G730" s="1">
        <v>22</v>
      </c>
      <c r="H730" s="1">
        <v>5</v>
      </c>
      <c r="I730" s="1">
        <v>14</v>
      </c>
      <c r="J730" s="1">
        <v>6</v>
      </c>
      <c r="K730" s="1">
        <v>76</v>
      </c>
      <c r="L730" s="5">
        <f ca="1">K730-(ROUNDDOWN((($G$1-C730)/365),1))</f>
        <v>76</v>
      </c>
      <c r="O730" s="14"/>
      <c r="P730" s="14"/>
      <c r="Q730" s="14"/>
      <c r="R730" s="14"/>
      <c r="S730" s="14"/>
      <c r="T730" s="14"/>
      <c r="U730" s="14"/>
      <c r="V730" s="14"/>
      <c r="W730" s="14"/>
      <c r="X730" s="14"/>
    </row>
    <row r="731" spans="1:24" x14ac:dyDescent="0.25">
      <c r="A731" s="2">
        <f ca="1">RANK(L731,$L$722:$L$861,0)</f>
        <v>10</v>
      </c>
      <c r="B731" s="29" t="s">
        <v>495</v>
      </c>
      <c r="C731" s="18">
        <v>46082</v>
      </c>
      <c r="D731" s="1" t="s">
        <v>266</v>
      </c>
      <c r="E731" s="1" t="s">
        <v>17</v>
      </c>
      <c r="F731" s="1">
        <v>30</v>
      </c>
      <c r="G731" s="1">
        <v>21</v>
      </c>
      <c r="H731" s="1">
        <v>9</v>
      </c>
      <c r="I731" s="1">
        <v>10</v>
      </c>
      <c r="J731" s="1">
        <v>6</v>
      </c>
      <c r="K731" s="1">
        <v>76</v>
      </c>
      <c r="L731" s="5">
        <f ca="1">K731-(ROUNDDOWN((($G$1-C731)/365),1))</f>
        <v>75.5</v>
      </c>
    </row>
    <row r="732" spans="1:24" x14ac:dyDescent="0.25">
      <c r="A732" s="2">
        <f ca="1">RANK(L732,$L$722:$L$861,0)</f>
        <v>11</v>
      </c>
      <c r="B732" s="29" t="s">
        <v>265</v>
      </c>
      <c r="C732" s="18">
        <v>45320</v>
      </c>
      <c r="D732" s="1" t="s">
        <v>74</v>
      </c>
      <c r="E732" s="1" t="s">
        <v>17</v>
      </c>
      <c r="F732" s="1">
        <v>28</v>
      </c>
      <c r="G732" s="1">
        <v>22</v>
      </c>
      <c r="H732" s="1">
        <v>5</v>
      </c>
      <c r="I732" s="1">
        <v>16</v>
      </c>
      <c r="J732" s="1">
        <v>7</v>
      </c>
      <c r="K732" s="1">
        <v>78</v>
      </c>
      <c r="L732" s="5">
        <f ca="1">K732-(ROUNDDOWN((($G$1-C732)/365),1))</f>
        <v>75.400000000000006</v>
      </c>
    </row>
    <row r="733" spans="1:24" x14ac:dyDescent="0.25">
      <c r="A733" s="2">
        <f ca="1">RANK(L733,$L$722:$L$861,0)</f>
        <v>12</v>
      </c>
      <c r="B733" s="1" t="s">
        <v>535</v>
      </c>
      <c r="C733" s="18">
        <v>46299</v>
      </c>
      <c r="D733" s="1" t="s">
        <v>378</v>
      </c>
      <c r="E733" s="1" t="s">
        <v>17</v>
      </c>
      <c r="F733" s="1">
        <v>28</v>
      </c>
      <c r="G733" s="1">
        <v>24</v>
      </c>
      <c r="H733" s="1">
        <v>5</v>
      </c>
      <c r="I733" s="1">
        <v>13</v>
      </c>
      <c r="J733" s="1">
        <v>5</v>
      </c>
      <c r="K733" s="1">
        <v>75</v>
      </c>
      <c r="L733" s="5">
        <f ca="1">K733-(ROUNDDOWN((($G$1-C733)/365),1))</f>
        <v>75</v>
      </c>
    </row>
    <row r="734" spans="1:24" x14ac:dyDescent="0.25">
      <c r="A734" s="2">
        <f ca="1">RANK(L734,$L$722:$L$861,0)</f>
        <v>13</v>
      </c>
      <c r="B734" s="1" t="s">
        <v>349</v>
      </c>
      <c r="C734" s="18">
        <v>45459</v>
      </c>
      <c r="D734" s="1" t="s">
        <v>236</v>
      </c>
      <c r="E734" s="1" t="s">
        <v>17</v>
      </c>
      <c r="F734" s="1">
        <v>29</v>
      </c>
      <c r="G734" s="1">
        <v>18</v>
      </c>
      <c r="H734" s="1">
        <v>8</v>
      </c>
      <c r="I734" s="1">
        <v>16</v>
      </c>
      <c r="J734" s="1">
        <v>6</v>
      </c>
      <c r="K734" s="1">
        <v>77</v>
      </c>
      <c r="L734" s="5">
        <f ca="1">K734-(ROUNDDOWN((($G$1-C734)/365),1))</f>
        <v>74.7</v>
      </c>
    </row>
    <row r="735" spans="1:24" x14ac:dyDescent="0.25">
      <c r="A735" s="2">
        <f ca="1">RANK(L735,$L$722:$L$861,0)</f>
        <v>13</v>
      </c>
      <c r="B735" s="29" t="s">
        <v>432</v>
      </c>
      <c r="C735" s="18">
        <v>45795</v>
      </c>
      <c r="D735" s="1" t="s">
        <v>378</v>
      </c>
      <c r="E735" s="1" t="s">
        <v>17</v>
      </c>
      <c r="F735" s="1">
        <v>28</v>
      </c>
      <c r="G735" s="1">
        <v>23</v>
      </c>
      <c r="H735" s="1">
        <v>5</v>
      </c>
      <c r="I735" s="1">
        <v>15</v>
      </c>
      <c r="J735" s="1">
        <v>5</v>
      </c>
      <c r="K735" s="1">
        <v>76</v>
      </c>
      <c r="L735" s="5">
        <f ca="1">K735-(ROUNDDOWN((($G$1-C735)/365),1))</f>
        <v>74.7</v>
      </c>
    </row>
    <row r="736" spans="1:24" x14ac:dyDescent="0.25">
      <c r="A736" s="2">
        <f ca="1">RANK(L736,$L$722:$L$861,0)</f>
        <v>15</v>
      </c>
      <c r="B736" s="1" t="s">
        <v>466</v>
      </c>
      <c r="C736" s="18">
        <v>45963</v>
      </c>
      <c r="D736" s="1" t="s">
        <v>378</v>
      </c>
      <c r="E736" s="1" t="s">
        <v>17</v>
      </c>
      <c r="F736" s="1">
        <v>28</v>
      </c>
      <c r="G736" s="1">
        <v>23</v>
      </c>
      <c r="H736" s="1">
        <v>5</v>
      </c>
      <c r="I736" s="1">
        <v>12</v>
      </c>
      <c r="J736" s="1">
        <v>7</v>
      </c>
      <c r="K736" s="1">
        <v>75</v>
      </c>
      <c r="L736" s="5">
        <f ca="1">K736-(ROUNDDOWN((($G$1-C736)/365),1))</f>
        <v>74.099999999999994</v>
      </c>
    </row>
    <row r="737" spans="1:12" x14ac:dyDescent="0.25">
      <c r="A737" s="2">
        <f ca="1">RANK(L737,$L$722:$L$861,0)</f>
        <v>16</v>
      </c>
      <c r="B737" s="29" t="s">
        <v>232</v>
      </c>
      <c r="C737" s="18">
        <v>44794</v>
      </c>
      <c r="D737" s="1" t="s">
        <v>184</v>
      </c>
      <c r="E737" s="1" t="s">
        <v>17</v>
      </c>
      <c r="F737" s="1">
        <v>28</v>
      </c>
      <c r="G737" s="1">
        <v>20</v>
      </c>
      <c r="H737" s="1">
        <v>6</v>
      </c>
      <c r="I737" s="1">
        <v>17</v>
      </c>
      <c r="J737" s="1">
        <v>7</v>
      </c>
      <c r="K737" s="1">
        <v>78</v>
      </c>
      <c r="L737" s="5">
        <f ca="1">K737-(ROUNDDOWN((($G$1-C737)/365),1))</f>
        <v>73.900000000000006</v>
      </c>
    </row>
    <row r="738" spans="1:12" x14ac:dyDescent="0.25">
      <c r="A738" s="2">
        <f ca="1">RANK(L738,$L$722:$L$861,0)</f>
        <v>16</v>
      </c>
      <c r="B738" s="1" t="s">
        <v>64</v>
      </c>
      <c r="C738" s="18">
        <v>44409</v>
      </c>
      <c r="D738" s="1" t="s">
        <v>69</v>
      </c>
      <c r="E738" s="1" t="s">
        <v>17</v>
      </c>
      <c r="F738" s="1">
        <v>29</v>
      </c>
      <c r="G738" s="1">
        <v>19</v>
      </c>
      <c r="H738" s="1">
        <v>8</v>
      </c>
      <c r="I738" s="1">
        <v>15</v>
      </c>
      <c r="J738" s="1">
        <v>8</v>
      </c>
      <c r="K738" s="1">
        <v>79</v>
      </c>
      <c r="L738" s="5">
        <f ca="1">K738-(ROUNDDOWN((($G$1-C738)/365),1))</f>
        <v>73.900000000000006</v>
      </c>
    </row>
    <row r="739" spans="1:12" x14ac:dyDescent="0.25">
      <c r="A739" s="2">
        <f ca="1">RANK(L739,$L$722:$L$861,0)</f>
        <v>18</v>
      </c>
      <c r="B739" s="29" t="s">
        <v>224</v>
      </c>
      <c r="C739" s="18">
        <v>44752</v>
      </c>
      <c r="D739" s="1" t="s">
        <v>71</v>
      </c>
      <c r="E739" s="1" t="s">
        <v>17</v>
      </c>
      <c r="F739" s="1">
        <v>28</v>
      </c>
      <c r="G739" s="1">
        <v>20</v>
      </c>
      <c r="H739" s="1">
        <v>7</v>
      </c>
      <c r="I739" s="1">
        <v>15</v>
      </c>
      <c r="J739" s="1">
        <v>8</v>
      </c>
      <c r="K739" s="1">
        <v>78</v>
      </c>
      <c r="L739" s="5">
        <f ca="1">K739-(ROUNDDOWN((($G$1-C739)/365),1))</f>
        <v>73.8</v>
      </c>
    </row>
    <row r="740" spans="1:12" x14ac:dyDescent="0.25">
      <c r="A740" s="2">
        <f ca="1">RANK(L740,$L$722:$L$861,0)</f>
        <v>19</v>
      </c>
      <c r="B740" s="1" t="s">
        <v>124</v>
      </c>
      <c r="C740" s="18">
        <v>44325</v>
      </c>
      <c r="D740" s="1" t="s">
        <v>72</v>
      </c>
      <c r="E740" s="1" t="s">
        <v>17</v>
      </c>
      <c r="F740" s="1">
        <v>29</v>
      </c>
      <c r="G740" s="1">
        <v>22</v>
      </c>
      <c r="H740" s="1">
        <v>8</v>
      </c>
      <c r="I740" s="1">
        <v>14</v>
      </c>
      <c r="J740" s="1">
        <v>6</v>
      </c>
      <c r="K740" s="1">
        <v>79</v>
      </c>
      <c r="L740" s="5">
        <f ca="1">K740-(ROUNDDOWN((($G$1-C740)/365),1))</f>
        <v>73.599999999999994</v>
      </c>
    </row>
    <row r="741" spans="1:12" x14ac:dyDescent="0.25">
      <c r="A741" s="2">
        <f ca="1">RANK(L741,$L$722:$L$861,0)</f>
        <v>20</v>
      </c>
      <c r="B741" s="29" t="s">
        <v>137</v>
      </c>
      <c r="C741" s="18">
        <v>45011</v>
      </c>
      <c r="D741" s="1" t="s">
        <v>70</v>
      </c>
      <c r="E741" s="1" t="s">
        <v>17</v>
      </c>
      <c r="F741" s="1">
        <v>30</v>
      </c>
      <c r="G741" s="1">
        <v>17</v>
      </c>
      <c r="H741" s="1">
        <v>8</v>
      </c>
      <c r="I741" s="1">
        <v>16</v>
      </c>
      <c r="J741" s="1">
        <v>6</v>
      </c>
      <c r="K741" s="1">
        <v>77</v>
      </c>
      <c r="L741" s="5">
        <f ca="1">K741-(ROUNDDOWN((($G$1-C741)/365),1))</f>
        <v>73.5</v>
      </c>
    </row>
    <row r="742" spans="1:12" x14ac:dyDescent="0.25">
      <c r="A742" s="2">
        <f ca="1">RANK(L742,$L$722:$L$861,0)</f>
        <v>21</v>
      </c>
      <c r="B742" s="1" t="s">
        <v>494</v>
      </c>
      <c r="C742" s="18">
        <v>46075</v>
      </c>
      <c r="D742" s="1" t="s">
        <v>378</v>
      </c>
      <c r="E742" s="1" t="s">
        <v>17</v>
      </c>
      <c r="F742" s="1">
        <v>29</v>
      </c>
      <c r="G742" s="1">
        <v>19</v>
      </c>
      <c r="H742" s="1">
        <v>7</v>
      </c>
      <c r="I742" s="1">
        <v>14</v>
      </c>
      <c r="J742" s="1">
        <v>5</v>
      </c>
      <c r="K742" s="1">
        <v>74</v>
      </c>
      <c r="L742" s="5">
        <f ca="1">K742-(ROUNDDOWN((($G$1-C742)/365),1))</f>
        <v>73.400000000000006</v>
      </c>
    </row>
    <row r="743" spans="1:12" x14ac:dyDescent="0.25">
      <c r="A743" s="2">
        <f ca="1">RANK(L743,$L$722:$L$861,0)</f>
        <v>22</v>
      </c>
      <c r="B743" s="29" t="s">
        <v>484</v>
      </c>
      <c r="C743" s="18">
        <v>46040</v>
      </c>
      <c r="D743" s="1" t="s">
        <v>378</v>
      </c>
      <c r="E743" s="1" t="s">
        <v>17</v>
      </c>
      <c r="F743" s="1">
        <v>29</v>
      </c>
      <c r="G743" s="1">
        <v>23</v>
      </c>
      <c r="H743" s="1">
        <v>5</v>
      </c>
      <c r="I743" s="1">
        <v>12</v>
      </c>
      <c r="J743" s="1">
        <v>5</v>
      </c>
      <c r="K743" s="1">
        <v>74</v>
      </c>
      <c r="L743" s="5">
        <f ca="1">K743-(ROUNDDOWN((($G$1-C743)/365),1))</f>
        <v>73.3</v>
      </c>
    </row>
    <row r="744" spans="1:12" x14ac:dyDescent="0.25">
      <c r="A744" s="2">
        <f ca="1">RANK(L744,$L$722:$L$861,0)</f>
        <v>23</v>
      </c>
      <c r="B744" s="1" t="s">
        <v>459</v>
      </c>
      <c r="C744" s="18">
        <v>45921</v>
      </c>
      <c r="D744" s="1" t="s">
        <v>266</v>
      </c>
      <c r="E744" s="1" t="s">
        <v>17</v>
      </c>
      <c r="F744" s="1">
        <v>29</v>
      </c>
      <c r="G744" s="1">
        <v>19</v>
      </c>
      <c r="H744" s="1">
        <v>7</v>
      </c>
      <c r="I744" s="1">
        <v>13</v>
      </c>
      <c r="J744" s="1">
        <v>6</v>
      </c>
      <c r="K744" s="1">
        <v>74</v>
      </c>
      <c r="L744" s="5">
        <f ca="1">K744-(ROUNDDOWN((($G$1-C744)/365),1))</f>
        <v>73</v>
      </c>
    </row>
    <row r="745" spans="1:12" x14ac:dyDescent="0.25">
      <c r="A745" s="2">
        <f ca="1">RANK(L745,$L$722:$L$861,0)</f>
        <v>24</v>
      </c>
      <c r="B745" s="29" t="s">
        <v>141</v>
      </c>
      <c r="C745" s="18">
        <v>44416</v>
      </c>
      <c r="D745" s="1" t="s">
        <v>69</v>
      </c>
      <c r="E745" s="1" t="s">
        <v>17</v>
      </c>
      <c r="F745" s="1">
        <v>30</v>
      </c>
      <c r="G745" s="1">
        <v>19</v>
      </c>
      <c r="H745" s="1">
        <v>6</v>
      </c>
      <c r="I745" s="1">
        <v>16</v>
      </c>
      <c r="J745" s="1">
        <v>7</v>
      </c>
      <c r="K745" s="1">
        <v>78</v>
      </c>
      <c r="L745" s="5">
        <f ca="1">K745-(ROUNDDOWN((($G$1-C745)/365),1))</f>
        <v>72.900000000000006</v>
      </c>
    </row>
    <row r="746" spans="1:12" x14ac:dyDescent="0.25">
      <c r="A746" s="2">
        <f ca="1">RANK(L746,$L$722:$L$861,0)</f>
        <v>24</v>
      </c>
      <c r="B746" s="1" t="s">
        <v>522</v>
      </c>
      <c r="C746" s="18">
        <v>46229</v>
      </c>
      <c r="D746" s="1" t="s">
        <v>236</v>
      </c>
      <c r="E746" s="1" t="s">
        <v>17</v>
      </c>
      <c r="F746" s="1">
        <v>29</v>
      </c>
      <c r="G746" s="1">
        <v>21</v>
      </c>
      <c r="H746" s="1">
        <v>4</v>
      </c>
      <c r="I746" s="1">
        <v>13</v>
      </c>
      <c r="J746" s="1">
        <v>6</v>
      </c>
      <c r="K746" s="1">
        <v>73</v>
      </c>
      <c r="L746" s="5">
        <f ca="1">K746-(ROUNDDOWN((($G$1-C746)/365),1))</f>
        <v>72.900000000000006</v>
      </c>
    </row>
    <row r="747" spans="1:12" x14ac:dyDescent="0.25">
      <c r="A747" s="2">
        <f ca="1">RANK(L747,$L$722:$L$861,0)</f>
        <v>26</v>
      </c>
      <c r="B747" s="1" t="s">
        <v>503</v>
      </c>
      <c r="C747" s="18">
        <v>46124</v>
      </c>
      <c r="D747" s="1" t="s">
        <v>378</v>
      </c>
      <c r="E747" s="1" t="s">
        <v>17</v>
      </c>
      <c r="F747" s="1">
        <v>28</v>
      </c>
      <c r="G747" s="1">
        <v>22</v>
      </c>
      <c r="H747" s="1">
        <v>5</v>
      </c>
      <c r="I747" s="1">
        <v>13</v>
      </c>
      <c r="J747" s="1">
        <v>5</v>
      </c>
      <c r="K747" s="1">
        <v>73</v>
      </c>
      <c r="L747" s="5">
        <f ca="1">K747-(ROUNDDOWN((($G$1-C747)/365),1))</f>
        <v>72.599999999999994</v>
      </c>
    </row>
    <row r="748" spans="1:12" x14ac:dyDescent="0.25">
      <c r="A748" s="2">
        <f ca="1">RANK(L748,$L$722:$L$861,0)</f>
        <v>26</v>
      </c>
      <c r="B748" s="1" t="s">
        <v>502</v>
      </c>
      <c r="C748" s="18">
        <v>46117</v>
      </c>
      <c r="D748" s="1" t="s">
        <v>378</v>
      </c>
      <c r="E748" s="1" t="s">
        <v>17</v>
      </c>
      <c r="F748" s="1">
        <v>29</v>
      </c>
      <c r="G748" s="1">
        <v>19</v>
      </c>
      <c r="H748" s="1">
        <v>6</v>
      </c>
      <c r="I748" s="1">
        <v>13</v>
      </c>
      <c r="J748" s="1">
        <v>6</v>
      </c>
      <c r="K748" s="1">
        <v>73</v>
      </c>
      <c r="L748" s="5">
        <f ca="1">K748-(ROUNDDOWN((($G$1-C748)/365),1))</f>
        <v>72.599999999999994</v>
      </c>
    </row>
    <row r="749" spans="1:12" x14ac:dyDescent="0.25">
      <c r="A749" s="2">
        <f ca="1">RANK(L749,$L$722:$L$861,0)</f>
        <v>28</v>
      </c>
      <c r="B749" s="29" t="s">
        <v>264</v>
      </c>
      <c r="C749" s="18">
        <v>44941</v>
      </c>
      <c r="D749" s="1" t="s">
        <v>66</v>
      </c>
      <c r="E749" s="1" t="s">
        <v>17</v>
      </c>
      <c r="F749" s="1">
        <v>28</v>
      </c>
      <c r="G749" s="1">
        <v>20</v>
      </c>
      <c r="H749" s="1">
        <v>6</v>
      </c>
      <c r="I749" s="1">
        <v>16</v>
      </c>
      <c r="J749" s="1">
        <v>6</v>
      </c>
      <c r="K749" s="1">
        <v>76</v>
      </c>
      <c r="L749" s="5">
        <f ca="1">K749-(ROUNDDOWN((($G$1-C749)/365),1))</f>
        <v>72.3</v>
      </c>
    </row>
    <row r="750" spans="1:12" x14ac:dyDescent="0.25">
      <c r="A750" s="2">
        <f ca="1">RANK(L750,$L$722:$L$861,0)</f>
        <v>28</v>
      </c>
      <c r="B750" s="1" t="s">
        <v>480</v>
      </c>
      <c r="C750" s="18">
        <v>46033</v>
      </c>
      <c r="D750" s="1" t="s">
        <v>378</v>
      </c>
      <c r="E750" s="1" t="s">
        <v>17</v>
      </c>
      <c r="F750" s="1">
        <v>26</v>
      </c>
      <c r="G750" s="1">
        <v>23</v>
      </c>
      <c r="H750" s="1">
        <v>5</v>
      </c>
      <c r="I750" s="1">
        <v>13</v>
      </c>
      <c r="J750" s="1">
        <v>6</v>
      </c>
      <c r="K750" s="1">
        <v>73</v>
      </c>
      <c r="L750" s="5">
        <f ca="1">K750-(ROUNDDOWN((($G$1-C750)/365),1))</f>
        <v>72.3</v>
      </c>
    </row>
    <row r="751" spans="1:12" x14ac:dyDescent="0.25">
      <c r="A751" s="2">
        <f ca="1">RANK(L751,$L$722:$L$861,0)</f>
        <v>30</v>
      </c>
      <c r="B751" s="1" t="s">
        <v>472</v>
      </c>
      <c r="C751" s="18">
        <v>45991</v>
      </c>
      <c r="D751" s="1" t="s">
        <v>66</v>
      </c>
      <c r="E751" s="1" t="s">
        <v>17</v>
      </c>
      <c r="F751" s="1">
        <v>28</v>
      </c>
      <c r="G751" s="1">
        <v>20</v>
      </c>
      <c r="H751" s="1">
        <v>5</v>
      </c>
      <c r="I751" s="1">
        <v>15</v>
      </c>
      <c r="J751" s="1">
        <v>5</v>
      </c>
      <c r="K751" s="1">
        <v>73</v>
      </c>
      <c r="L751" s="5">
        <f ca="1">K751-(ROUNDDOWN((($G$1-C751)/365),1))</f>
        <v>72.2</v>
      </c>
    </row>
    <row r="752" spans="1:12" x14ac:dyDescent="0.25">
      <c r="A752" s="2">
        <f ca="1">RANK(L752,$L$722:$L$861,0)</f>
        <v>31</v>
      </c>
      <c r="B752" s="29" t="s">
        <v>464</v>
      </c>
      <c r="C752" s="18">
        <v>45956</v>
      </c>
      <c r="D752" s="1" t="s">
        <v>266</v>
      </c>
      <c r="E752" s="1" t="s">
        <v>17</v>
      </c>
      <c r="F752" s="1">
        <v>29</v>
      </c>
      <c r="G752" s="1">
        <v>17</v>
      </c>
      <c r="H752" s="1">
        <v>5</v>
      </c>
      <c r="I752" s="1">
        <v>16</v>
      </c>
      <c r="J752" s="1">
        <v>6</v>
      </c>
      <c r="K752" s="1">
        <v>73</v>
      </c>
      <c r="L752" s="5">
        <f ca="1">K752-(ROUNDDOWN((($G$1-C752)/365),1))</f>
        <v>72.099999999999994</v>
      </c>
    </row>
    <row r="753" spans="1:12" x14ac:dyDescent="0.25">
      <c r="A753" s="2">
        <f ca="1">RANK(L753,$L$722:$L$861,0)</f>
        <v>32</v>
      </c>
      <c r="B753" s="1" t="s">
        <v>294</v>
      </c>
      <c r="C753" s="18">
        <v>45130</v>
      </c>
      <c r="D753" s="1" t="s">
        <v>236</v>
      </c>
      <c r="E753" s="1" t="s">
        <v>17</v>
      </c>
      <c r="F753" s="1">
        <v>29</v>
      </c>
      <c r="G753" s="1">
        <v>18</v>
      </c>
      <c r="H753" s="1">
        <v>5</v>
      </c>
      <c r="I753" s="1">
        <v>16</v>
      </c>
      <c r="J753" s="1">
        <v>7</v>
      </c>
      <c r="K753" s="1">
        <v>75</v>
      </c>
      <c r="L753" s="5">
        <f ca="1">K753-(ROUNDDOWN((($G$1-C753)/365),1))</f>
        <v>71.8</v>
      </c>
    </row>
    <row r="754" spans="1:12" x14ac:dyDescent="0.25">
      <c r="A754" s="2">
        <f ca="1">RANK(L754,$L$722:$L$861,0)</f>
        <v>33</v>
      </c>
      <c r="B754" s="29" t="s">
        <v>117</v>
      </c>
      <c r="C754" s="18">
        <v>44304</v>
      </c>
      <c r="D754" s="1" t="s">
        <v>72</v>
      </c>
      <c r="E754" s="1" t="s">
        <v>17</v>
      </c>
      <c r="F754" s="1">
        <v>29</v>
      </c>
      <c r="G754" s="1">
        <v>17</v>
      </c>
      <c r="H754" s="1">
        <v>8</v>
      </c>
      <c r="I754" s="1">
        <v>16</v>
      </c>
      <c r="J754" s="1">
        <v>7</v>
      </c>
      <c r="K754" s="1">
        <v>77</v>
      </c>
      <c r="L754" s="5">
        <f ca="1">K754-(ROUNDDOWN((($G$1-C754)/365),1))</f>
        <v>71.599999999999994</v>
      </c>
    </row>
    <row r="755" spans="1:12" x14ac:dyDescent="0.25">
      <c r="A755" s="2">
        <f ca="1">RANK(L755,$L$722:$L$861,0)</f>
        <v>33</v>
      </c>
      <c r="B755" s="1" t="s">
        <v>424</v>
      </c>
      <c r="C755" s="18">
        <v>45753</v>
      </c>
      <c r="D755" s="1" t="s">
        <v>71</v>
      </c>
      <c r="E755" s="1" t="s">
        <v>17</v>
      </c>
      <c r="F755" s="1">
        <v>28</v>
      </c>
      <c r="G755" s="1">
        <v>18</v>
      </c>
      <c r="H755" s="1">
        <v>6</v>
      </c>
      <c r="I755" s="1">
        <v>15</v>
      </c>
      <c r="J755" s="1">
        <v>6</v>
      </c>
      <c r="K755" s="1">
        <v>73</v>
      </c>
      <c r="L755" s="5">
        <f ca="1">K755-(ROUNDDOWN((($G$1-C755)/365),1))</f>
        <v>71.599999999999994</v>
      </c>
    </row>
    <row r="756" spans="1:12" x14ac:dyDescent="0.25">
      <c r="A756" s="2">
        <f ca="1">RANK(L756,$L$722:$L$861,0)</f>
        <v>35</v>
      </c>
      <c r="B756" s="1" t="s">
        <v>337</v>
      </c>
      <c r="C756" s="18">
        <v>45368</v>
      </c>
      <c r="D756" s="1" t="s">
        <v>184</v>
      </c>
      <c r="E756" s="1" t="s">
        <v>17</v>
      </c>
      <c r="F756" s="1">
        <v>26</v>
      </c>
      <c r="G756" s="1">
        <v>22</v>
      </c>
      <c r="H756" s="1">
        <v>7</v>
      </c>
      <c r="I756" s="1">
        <v>14</v>
      </c>
      <c r="J756" s="1">
        <v>5</v>
      </c>
      <c r="K756" s="1">
        <v>74</v>
      </c>
      <c r="L756" s="5">
        <f ca="1">K756-(ROUNDDOWN((($G$1-C756)/365),1))</f>
        <v>71.5</v>
      </c>
    </row>
    <row r="757" spans="1:12" x14ac:dyDescent="0.25">
      <c r="A757" s="2">
        <f ca="1">RANK(L757,$L$722:$L$861,0)</f>
        <v>35</v>
      </c>
      <c r="B757" s="29" t="s">
        <v>197</v>
      </c>
      <c r="C757" s="18">
        <v>44621</v>
      </c>
      <c r="D757" s="1" t="s">
        <v>71</v>
      </c>
      <c r="E757" s="1" t="s">
        <v>17</v>
      </c>
      <c r="F757" s="1">
        <v>31</v>
      </c>
      <c r="G757" s="1">
        <v>23</v>
      </c>
      <c r="H757" s="1">
        <v>5</v>
      </c>
      <c r="I757" s="1">
        <v>13</v>
      </c>
      <c r="J757" s="1">
        <v>4</v>
      </c>
      <c r="K757" s="1">
        <v>76</v>
      </c>
      <c r="L757" s="5">
        <f ca="1">K757-(ROUNDDOWN((($G$1-C757)/365),1))</f>
        <v>71.5</v>
      </c>
    </row>
    <row r="758" spans="1:12" x14ac:dyDescent="0.25">
      <c r="A758" s="2">
        <f ca="1">RANK(L758,$L$722:$L$861,0)</f>
        <v>37</v>
      </c>
      <c r="B758" s="1" t="s">
        <v>165</v>
      </c>
      <c r="C758" s="18">
        <v>44479</v>
      </c>
      <c r="D758" s="1" t="s">
        <v>154</v>
      </c>
      <c r="E758" s="1" t="s">
        <v>17</v>
      </c>
      <c r="F758" s="1">
        <v>30</v>
      </c>
      <c r="G758" s="1">
        <v>16</v>
      </c>
      <c r="H758" s="1">
        <v>6</v>
      </c>
      <c r="I758" s="1">
        <v>15</v>
      </c>
      <c r="J758" s="1">
        <v>9</v>
      </c>
      <c r="K758" s="1">
        <v>76</v>
      </c>
      <c r="L758" s="5">
        <f ca="1">K758-(ROUNDDOWN((($G$1-C758)/365),1))</f>
        <v>71.099999999999994</v>
      </c>
    </row>
    <row r="759" spans="1:12" x14ac:dyDescent="0.25">
      <c r="A759" s="2">
        <f ca="1">RANK(L759,$L$722:$L$861,0)</f>
        <v>37</v>
      </c>
      <c r="B759" s="1" t="s">
        <v>462</v>
      </c>
      <c r="C759" s="18">
        <v>45935</v>
      </c>
      <c r="D759" s="1" t="s">
        <v>67</v>
      </c>
      <c r="E759" s="1" t="s">
        <v>17</v>
      </c>
      <c r="F759" s="1">
        <v>29</v>
      </c>
      <c r="G759" s="1">
        <v>18</v>
      </c>
      <c r="H759" s="1">
        <v>5</v>
      </c>
      <c r="I759" s="1">
        <v>14</v>
      </c>
      <c r="J759" s="1">
        <v>6</v>
      </c>
      <c r="K759" s="1">
        <v>72</v>
      </c>
      <c r="L759" s="5">
        <f ca="1">K759-(ROUNDDOWN((($G$1-C759)/365),1))</f>
        <v>71.099999999999994</v>
      </c>
    </row>
    <row r="760" spans="1:12" x14ac:dyDescent="0.25">
      <c r="A760" s="2">
        <f ca="1">RANK(L760,$L$722:$L$861,0)</f>
        <v>39</v>
      </c>
      <c r="B760" s="29" t="s">
        <v>527</v>
      </c>
      <c r="C760" s="18">
        <v>46264</v>
      </c>
      <c r="D760" s="1" t="s">
        <v>68</v>
      </c>
      <c r="E760" s="1" t="s">
        <v>17</v>
      </c>
      <c r="F760" s="1">
        <v>29</v>
      </c>
      <c r="G760" s="1">
        <v>19</v>
      </c>
      <c r="H760" s="1">
        <v>4</v>
      </c>
      <c r="I760" s="1">
        <v>11</v>
      </c>
      <c r="J760" s="1">
        <v>8</v>
      </c>
      <c r="K760" s="1">
        <v>71</v>
      </c>
      <c r="L760" s="5">
        <f ca="1">K760-(ROUNDDOWN((($G$1-C760)/365),1))</f>
        <v>71</v>
      </c>
    </row>
    <row r="761" spans="1:12" x14ac:dyDescent="0.25">
      <c r="A761" s="2">
        <f ca="1">RANK(L761,$L$722:$L$861,0)</f>
        <v>40</v>
      </c>
      <c r="B761" s="1" t="s">
        <v>218</v>
      </c>
      <c r="C761" s="18">
        <v>44731</v>
      </c>
      <c r="D761" s="1" t="s">
        <v>72</v>
      </c>
      <c r="E761" s="1" t="s">
        <v>17</v>
      </c>
      <c r="F761" s="1">
        <v>29</v>
      </c>
      <c r="G761" s="1">
        <v>18</v>
      </c>
      <c r="H761" s="1">
        <v>6</v>
      </c>
      <c r="I761" s="1">
        <v>15</v>
      </c>
      <c r="J761" s="1">
        <v>7</v>
      </c>
      <c r="K761" s="1">
        <v>75</v>
      </c>
      <c r="L761" s="5">
        <f ca="1">K761-(ROUNDDOWN((($G$1-C761)/365),1))</f>
        <v>70.8</v>
      </c>
    </row>
    <row r="762" spans="1:12" x14ac:dyDescent="0.25">
      <c r="A762" s="2">
        <f ca="1">RANK(L762,$L$722:$L$861,0)</f>
        <v>41</v>
      </c>
      <c r="B762" s="29" t="s">
        <v>217</v>
      </c>
      <c r="C762" s="18">
        <v>44724</v>
      </c>
      <c r="D762" s="1" t="s">
        <v>131</v>
      </c>
      <c r="E762" s="1" t="s">
        <v>17</v>
      </c>
      <c r="F762" s="1">
        <v>29</v>
      </c>
      <c r="G762" s="1">
        <v>18</v>
      </c>
      <c r="H762" s="1">
        <v>6</v>
      </c>
      <c r="I762" s="1">
        <v>15</v>
      </c>
      <c r="J762" s="1">
        <v>7</v>
      </c>
      <c r="K762" s="1">
        <v>75</v>
      </c>
      <c r="L762" s="5">
        <f ca="1">K762-(ROUNDDOWN((($G$1-C762)/365),1))</f>
        <v>70.7</v>
      </c>
    </row>
    <row r="763" spans="1:12" x14ac:dyDescent="0.25">
      <c r="A763" s="2">
        <f ca="1">RANK(L763,$L$722:$L$861,0)</f>
        <v>42</v>
      </c>
      <c r="B763" s="29" t="s">
        <v>343</v>
      </c>
      <c r="C763" s="18">
        <v>45410</v>
      </c>
      <c r="D763" s="1" t="s">
        <v>71</v>
      </c>
      <c r="E763" s="1" t="s">
        <v>17</v>
      </c>
      <c r="F763" s="1">
        <v>27</v>
      </c>
      <c r="G763" s="1">
        <v>18</v>
      </c>
      <c r="H763" s="1">
        <v>5</v>
      </c>
      <c r="I763" s="1">
        <v>16</v>
      </c>
      <c r="J763" s="1">
        <v>7</v>
      </c>
      <c r="K763" s="1">
        <v>73</v>
      </c>
      <c r="L763" s="5">
        <f ca="1">K763-(ROUNDDOWN((($G$1-C763)/365),1))</f>
        <v>70.599999999999994</v>
      </c>
    </row>
    <row r="764" spans="1:12" x14ac:dyDescent="0.25">
      <c r="A764" s="2">
        <f ca="1">RANK(L764,$L$722:$L$861,0)</f>
        <v>42</v>
      </c>
      <c r="B764" s="1" t="s">
        <v>209</v>
      </c>
      <c r="C764" s="18">
        <v>44668</v>
      </c>
      <c r="D764" s="1" t="s">
        <v>184</v>
      </c>
      <c r="E764" s="1" t="s">
        <v>17</v>
      </c>
      <c r="F764" s="1">
        <v>28</v>
      </c>
      <c r="G764" s="1">
        <v>23</v>
      </c>
      <c r="H764" s="1">
        <v>7</v>
      </c>
      <c r="I764" s="1">
        <v>11</v>
      </c>
      <c r="J764" s="1">
        <v>6</v>
      </c>
      <c r="K764" s="1">
        <v>75</v>
      </c>
      <c r="L764" s="5">
        <f ca="1">K764-(ROUNDDOWN((($G$1-C764)/365),1))</f>
        <v>70.599999999999994</v>
      </c>
    </row>
    <row r="765" spans="1:12" x14ac:dyDescent="0.25">
      <c r="A765" s="2">
        <f ca="1">RANK(L765,$L$722:$L$861,0)</f>
        <v>44</v>
      </c>
      <c r="B765" s="1" t="s">
        <v>491</v>
      </c>
      <c r="C765" s="18">
        <v>46061</v>
      </c>
      <c r="D765" s="1" t="s">
        <v>71</v>
      </c>
      <c r="E765" s="1" t="s">
        <v>17</v>
      </c>
      <c r="F765" s="1">
        <v>27</v>
      </c>
      <c r="G765" s="1">
        <v>21</v>
      </c>
      <c r="H765" s="1">
        <v>5</v>
      </c>
      <c r="I765" s="1">
        <v>13</v>
      </c>
      <c r="J765" s="1">
        <v>5</v>
      </c>
      <c r="K765" s="1">
        <v>71</v>
      </c>
      <c r="L765" s="5">
        <f ca="1">K765-(ROUNDDOWN((($G$1-C765)/365),1))</f>
        <v>70.400000000000006</v>
      </c>
    </row>
    <row r="766" spans="1:12" x14ac:dyDescent="0.25">
      <c r="A766" s="2">
        <f ca="1">RANK(L766,$L$722:$L$861,0)</f>
        <v>45</v>
      </c>
      <c r="B766" s="29" t="s">
        <v>180</v>
      </c>
      <c r="C766" s="18">
        <v>44528</v>
      </c>
      <c r="D766" s="1" t="s">
        <v>71</v>
      </c>
      <c r="E766" s="1" t="s">
        <v>17</v>
      </c>
      <c r="F766" s="1">
        <v>29</v>
      </c>
      <c r="G766" s="1">
        <v>19</v>
      </c>
      <c r="H766" s="1">
        <v>6</v>
      </c>
      <c r="I766" s="1">
        <v>15</v>
      </c>
      <c r="J766" s="1">
        <v>6</v>
      </c>
      <c r="K766" s="1">
        <v>75</v>
      </c>
      <c r="L766" s="5">
        <f ca="1">K766-(ROUNDDOWN((($G$1-C766)/365),1))</f>
        <v>70.2</v>
      </c>
    </row>
    <row r="767" spans="1:12" x14ac:dyDescent="0.25">
      <c r="A767" s="2">
        <f ca="1">RANK(L767,$L$722:$L$861,0)</f>
        <v>46</v>
      </c>
      <c r="B767" s="29" t="s">
        <v>159</v>
      </c>
      <c r="C767" s="18">
        <v>44458</v>
      </c>
      <c r="D767" s="1" t="s">
        <v>154</v>
      </c>
      <c r="E767" s="1" t="s">
        <v>17</v>
      </c>
      <c r="F767" s="1">
        <v>30</v>
      </c>
      <c r="G767" s="1">
        <v>16</v>
      </c>
      <c r="H767" s="1">
        <v>7</v>
      </c>
      <c r="I767" s="1">
        <v>15</v>
      </c>
      <c r="J767" s="1">
        <v>7</v>
      </c>
      <c r="K767" s="1">
        <v>75</v>
      </c>
      <c r="L767" s="5">
        <f ca="1">K767-(ROUNDDOWN((($G$1-C767)/365),1))</f>
        <v>70</v>
      </c>
    </row>
    <row r="768" spans="1:12" x14ac:dyDescent="0.25">
      <c r="A768" s="2">
        <f ca="1">RANK(L768,$L$722:$L$861,0)</f>
        <v>46</v>
      </c>
      <c r="B768" s="1" t="s">
        <v>528</v>
      </c>
      <c r="C768" s="18">
        <v>46271</v>
      </c>
      <c r="D768" s="1" t="s">
        <v>483</v>
      </c>
      <c r="E768" s="1" t="s">
        <v>17</v>
      </c>
      <c r="F768" s="1">
        <v>27</v>
      </c>
      <c r="G768" s="1">
        <v>18</v>
      </c>
      <c r="H768" s="1">
        <v>5</v>
      </c>
      <c r="I768" s="1">
        <v>14</v>
      </c>
      <c r="J768" s="1">
        <v>6</v>
      </c>
      <c r="K768" s="1">
        <v>70</v>
      </c>
      <c r="L768" s="5">
        <f ca="1">K768-(ROUNDDOWN((($G$1-C768)/365),1))</f>
        <v>70</v>
      </c>
    </row>
    <row r="769" spans="1:12" x14ac:dyDescent="0.25">
      <c r="A769" s="2">
        <f ca="1">RANK(L769,$L$722:$L$861,0)</f>
        <v>48</v>
      </c>
      <c r="B769" s="1" t="s">
        <v>281</v>
      </c>
      <c r="C769" s="18">
        <v>45067</v>
      </c>
      <c r="D769" s="1" t="s">
        <v>69</v>
      </c>
      <c r="E769" s="1" t="s">
        <v>17</v>
      </c>
      <c r="F769" s="1">
        <v>25</v>
      </c>
      <c r="G769" s="1">
        <v>23</v>
      </c>
      <c r="H769" s="1">
        <v>5</v>
      </c>
      <c r="I769" s="1">
        <v>14</v>
      </c>
      <c r="J769" s="1">
        <v>6</v>
      </c>
      <c r="K769" s="1">
        <v>73</v>
      </c>
      <c r="L769" s="5">
        <f ca="1">K769-(ROUNDDOWN((($G$1-C769)/365),1))</f>
        <v>69.7</v>
      </c>
    </row>
    <row r="770" spans="1:12" x14ac:dyDescent="0.25">
      <c r="A770" s="2">
        <f ca="1">RANK(L770,$L$722:$L$861,0)</f>
        <v>49</v>
      </c>
      <c r="B770" s="29" t="s">
        <v>121</v>
      </c>
      <c r="C770" s="18">
        <v>44318</v>
      </c>
      <c r="D770" s="1" t="s">
        <v>72</v>
      </c>
      <c r="E770" s="1" t="s">
        <v>17</v>
      </c>
      <c r="F770" s="1">
        <v>30</v>
      </c>
      <c r="G770" s="1">
        <v>14</v>
      </c>
      <c r="H770" s="1">
        <v>7</v>
      </c>
      <c r="I770" s="1">
        <v>16</v>
      </c>
      <c r="J770" s="1">
        <v>8</v>
      </c>
      <c r="K770" s="1">
        <v>75</v>
      </c>
      <c r="L770" s="5">
        <f ca="1">K770-(ROUNDDOWN((($G$1-C770)/365),1))</f>
        <v>69.599999999999994</v>
      </c>
    </row>
    <row r="771" spans="1:12" x14ac:dyDescent="0.25">
      <c r="A771" s="2">
        <f ca="1">RANK(L771,$L$722:$L$861,0)</f>
        <v>50</v>
      </c>
      <c r="B771" s="29" t="s">
        <v>136</v>
      </c>
      <c r="C771" s="18">
        <v>45011</v>
      </c>
      <c r="D771" s="1" t="s">
        <v>72</v>
      </c>
      <c r="E771" s="1" t="s">
        <v>17</v>
      </c>
      <c r="F771" s="1">
        <v>30</v>
      </c>
      <c r="G771" s="1">
        <v>17</v>
      </c>
      <c r="H771" s="1">
        <v>7</v>
      </c>
      <c r="I771" s="1">
        <v>11</v>
      </c>
      <c r="J771" s="1">
        <v>8</v>
      </c>
      <c r="K771" s="1">
        <v>73</v>
      </c>
      <c r="L771" s="5">
        <f ca="1">K771-(ROUNDDOWN((($G$1-C771)/365),1))</f>
        <v>69.5</v>
      </c>
    </row>
    <row r="772" spans="1:12" x14ac:dyDescent="0.25">
      <c r="A772" s="2">
        <f ca="1">RANK(L772,$L$722:$L$861,0)</f>
        <v>51</v>
      </c>
      <c r="B772" s="1" t="s">
        <v>481</v>
      </c>
      <c r="C772" s="18">
        <v>46033</v>
      </c>
      <c r="D772" s="1" t="s">
        <v>378</v>
      </c>
      <c r="E772" s="1" t="s">
        <v>17</v>
      </c>
      <c r="F772" s="1">
        <v>25</v>
      </c>
      <c r="G772" s="1">
        <v>21</v>
      </c>
      <c r="H772" s="1">
        <v>5</v>
      </c>
      <c r="I772" s="1">
        <v>14</v>
      </c>
      <c r="J772" s="1">
        <v>5</v>
      </c>
      <c r="K772" s="1">
        <v>70</v>
      </c>
      <c r="L772" s="5">
        <f ca="1">K772-(ROUNDDOWN((($G$1-C772)/365),1))</f>
        <v>69.3</v>
      </c>
    </row>
    <row r="773" spans="1:12" x14ac:dyDescent="0.25">
      <c r="A773" s="2">
        <f ca="1">RANK(L773,$L$722:$L$861,0)</f>
        <v>51</v>
      </c>
      <c r="B773" s="1" t="s">
        <v>397</v>
      </c>
      <c r="C773" s="18">
        <v>45648</v>
      </c>
      <c r="D773" s="1" t="s">
        <v>149</v>
      </c>
      <c r="E773" s="1" t="s">
        <v>17</v>
      </c>
      <c r="F773" s="1">
        <v>26</v>
      </c>
      <c r="G773" s="1">
        <v>22</v>
      </c>
      <c r="H773" s="1">
        <v>3</v>
      </c>
      <c r="I773" s="1">
        <v>16</v>
      </c>
      <c r="J773" s="1">
        <v>4</v>
      </c>
      <c r="K773" s="1">
        <v>71</v>
      </c>
      <c r="L773" s="5">
        <f ca="1">K773-(ROUNDDOWN((($G$1-C773)/365),1))</f>
        <v>69.3</v>
      </c>
    </row>
    <row r="774" spans="1:12" x14ac:dyDescent="0.25">
      <c r="A774" s="2">
        <f ca="1">RANK(L774,$L$722:$L$861,0)</f>
        <v>53</v>
      </c>
      <c r="B774" s="29" t="s">
        <v>318</v>
      </c>
      <c r="C774" s="18">
        <v>45270</v>
      </c>
      <c r="D774" s="1" t="s">
        <v>72</v>
      </c>
      <c r="E774" s="1" t="s">
        <v>17</v>
      </c>
      <c r="F774" s="1">
        <v>28</v>
      </c>
      <c r="G774" s="1">
        <v>17</v>
      </c>
      <c r="H774" s="1">
        <v>6</v>
      </c>
      <c r="I774" s="1">
        <v>15</v>
      </c>
      <c r="J774" s="1">
        <v>6</v>
      </c>
      <c r="K774" s="1">
        <v>72</v>
      </c>
      <c r="L774" s="5">
        <f ca="1">K774-(ROUNDDOWN((($G$1-C774)/365),1))</f>
        <v>69.2</v>
      </c>
    </row>
    <row r="775" spans="1:12" x14ac:dyDescent="0.25">
      <c r="A775" s="2">
        <f ca="1">RANK(L775,$L$722:$L$861,0)</f>
        <v>53</v>
      </c>
      <c r="B775" s="1" t="s">
        <v>181</v>
      </c>
      <c r="C775" s="18">
        <v>44535</v>
      </c>
      <c r="D775" s="1" t="s">
        <v>71</v>
      </c>
      <c r="E775" s="1" t="s">
        <v>17</v>
      </c>
      <c r="F775" s="1">
        <v>29</v>
      </c>
      <c r="G775" s="1">
        <v>16</v>
      </c>
      <c r="H775" s="1">
        <v>5</v>
      </c>
      <c r="I775" s="1">
        <v>16</v>
      </c>
      <c r="J775" s="1">
        <v>8</v>
      </c>
      <c r="K775" s="1">
        <v>74</v>
      </c>
      <c r="L775" s="5">
        <f ca="1">K775-(ROUNDDOWN((($G$1-C775)/365),1))</f>
        <v>69.2</v>
      </c>
    </row>
    <row r="776" spans="1:12" x14ac:dyDescent="0.25">
      <c r="A776" s="2">
        <f ca="1">RANK(L776,$L$722:$L$861,0)</f>
        <v>55</v>
      </c>
      <c r="B776" s="1" t="s">
        <v>310</v>
      </c>
      <c r="C776" s="18">
        <v>45235</v>
      </c>
      <c r="D776" s="1" t="s">
        <v>184</v>
      </c>
      <c r="E776" s="1" t="s">
        <v>17</v>
      </c>
      <c r="F776" s="1">
        <v>27</v>
      </c>
      <c r="G776" s="1">
        <v>20</v>
      </c>
      <c r="H776" s="1">
        <v>6</v>
      </c>
      <c r="I776" s="1">
        <v>13</v>
      </c>
      <c r="J776" s="1">
        <v>6</v>
      </c>
      <c r="K776" s="1">
        <v>72</v>
      </c>
      <c r="L776" s="5">
        <f ca="1">K776-(ROUNDDOWN((($G$1-C776)/365),1))</f>
        <v>69.099999999999994</v>
      </c>
    </row>
    <row r="777" spans="1:12" x14ac:dyDescent="0.25">
      <c r="A777" s="2">
        <f ca="1">RANK(L777,$L$722:$L$861,0)</f>
        <v>56</v>
      </c>
      <c r="B777" s="1" t="s">
        <v>301</v>
      </c>
      <c r="C777" s="18">
        <v>45193</v>
      </c>
      <c r="D777" s="1" t="s">
        <v>266</v>
      </c>
      <c r="E777" s="1" t="s">
        <v>17</v>
      </c>
      <c r="F777" s="1">
        <v>28</v>
      </c>
      <c r="G777" s="1">
        <v>18</v>
      </c>
      <c r="H777" s="1">
        <v>7</v>
      </c>
      <c r="I777" s="1">
        <v>13</v>
      </c>
      <c r="J777" s="1">
        <v>6</v>
      </c>
      <c r="K777" s="1">
        <v>72</v>
      </c>
      <c r="L777" s="5">
        <f ca="1">K777-(ROUNDDOWN((($G$1-C777)/365),1))</f>
        <v>69</v>
      </c>
    </row>
    <row r="778" spans="1:12" x14ac:dyDescent="0.25">
      <c r="A778" s="2">
        <f ca="1">RANK(L778,$L$722:$L$861,0)</f>
        <v>57</v>
      </c>
      <c r="B778" s="1" t="s">
        <v>153</v>
      </c>
      <c r="C778" s="18">
        <v>44437</v>
      </c>
      <c r="D778" s="1" t="s">
        <v>74</v>
      </c>
      <c r="E778" s="1" t="s">
        <v>17</v>
      </c>
      <c r="F778" s="1">
        <v>30</v>
      </c>
      <c r="G778" s="1">
        <v>16</v>
      </c>
      <c r="H778" s="1">
        <v>6</v>
      </c>
      <c r="I778" s="1">
        <v>15</v>
      </c>
      <c r="J778" s="1">
        <v>7</v>
      </c>
      <c r="K778" s="1">
        <v>74</v>
      </c>
      <c r="L778" s="5">
        <f ca="1">K778-(ROUNDDOWN((($G$1-C778)/365),1))</f>
        <v>68.900000000000006</v>
      </c>
    </row>
    <row r="779" spans="1:12" x14ac:dyDescent="0.25">
      <c r="A779" s="2">
        <f ca="1">RANK(L779,$L$722:$L$861,0)</f>
        <v>57</v>
      </c>
      <c r="B779" s="1" t="s">
        <v>231</v>
      </c>
      <c r="C779" s="18">
        <v>44787</v>
      </c>
      <c r="D779" s="1" t="s">
        <v>69</v>
      </c>
      <c r="E779" s="1" t="s">
        <v>17</v>
      </c>
      <c r="F779" s="1">
        <v>26</v>
      </c>
      <c r="G779" s="1">
        <v>20</v>
      </c>
      <c r="H779" s="1">
        <v>5</v>
      </c>
      <c r="I779" s="1">
        <v>14</v>
      </c>
      <c r="J779" s="1">
        <v>8</v>
      </c>
      <c r="K779" s="1">
        <v>73</v>
      </c>
      <c r="L779" s="5">
        <f ca="1">K779-(ROUNDDOWN((($G$1-C779)/365),1))</f>
        <v>68.900000000000006</v>
      </c>
    </row>
    <row r="780" spans="1:12" x14ac:dyDescent="0.25">
      <c r="A780" s="2">
        <f ca="1">RANK(L780,$L$722:$L$861,0)</f>
        <v>59</v>
      </c>
      <c r="B780" s="29" t="s">
        <v>511</v>
      </c>
      <c r="C780" s="18">
        <v>46145</v>
      </c>
      <c r="D780" s="1" t="s">
        <v>378</v>
      </c>
      <c r="E780" s="1" t="s">
        <v>17</v>
      </c>
      <c r="F780" s="1">
        <v>26</v>
      </c>
      <c r="G780" s="1">
        <v>23</v>
      </c>
      <c r="H780" s="1">
        <v>4</v>
      </c>
      <c r="I780" s="1">
        <v>12</v>
      </c>
      <c r="J780" s="1">
        <v>4</v>
      </c>
      <c r="K780" s="1">
        <v>69</v>
      </c>
      <c r="L780" s="5">
        <f ca="1">K780-(ROUNDDOWN((($G$1-C780)/365),1))</f>
        <v>68.599999999999994</v>
      </c>
    </row>
    <row r="781" spans="1:12" x14ac:dyDescent="0.25">
      <c r="A781" s="2">
        <f ca="1">RANK(L781,$L$722:$L$861,0)</f>
        <v>60</v>
      </c>
      <c r="B781" s="1" t="s">
        <v>417</v>
      </c>
      <c r="C781" s="18">
        <v>45732</v>
      </c>
      <c r="D781" s="1" t="s">
        <v>308</v>
      </c>
      <c r="E781" s="1" t="s">
        <v>17</v>
      </c>
      <c r="F781" s="1">
        <v>26</v>
      </c>
      <c r="G781" s="1">
        <v>21</v>
      </c>
      <c r="H781" s="1">
        <v>6</v>
      </c>
      <c r="I781" s="1">
        <v>11</v>
      </c>
      <c r="J781" s="1">
        <v>6</v>
      </c>
      <c r="K781" s="1">
        <v>70</v>
      </c>
      <c r="L781" s="5">
        <f ca="1">K781-(ROUNDDOWN((($G$1-C781)/365),1))</f>
        <v>68.5</v>
      </c>
    </row>
    <row r="782" spans="1:12" x14ac:dyDescent="0.25">
      <c r="A782" s="2">
        <f ca="1">RANK(L782,$L$722:$L$861,0)</f>
        <v>61</v>
      </c>
      <c r="B782" s="29" t="s">
        <v>463</v>
      </c>
      <c r="C782" s="18">
        <v>45941</v>
      </c>
      <c r="D782" s="1" t="s">
        <v>71</v>
      </c>
      <c r="E782" s="1" t="s">
        <v>17</v>
      </c>
      <c r="F782" s="1">
        <v>27</v>
      </c>
      <c r="G782" s="1">
        <v>21</v>
      </c>
      <c r="H782" s="1">
        <v>5</v>
      </c>
      <c r="I782" s="1">
        <v>13</v>
      </c>
      <c r="J782" s="1">
        <v>3</v>
      </c>
      <c r="K782" s="1">
        <v>69</v>
      </c>
      <c r="L782" s="5">
        <f ca="1">K782-(ROUNDDOWN((($G$1-C782)/365),1))</f>
        <v>68.099999999999994</v>
      </c>
    </row>
    <row r="783" spans="1:12" x14ac:dyDescent="0.25">
      <c r="A783" s="2">
        <f ca="1">RANK(L783,$L$722:$L$861,0)</f>
        <v>62</v>
      </c>
      <c r="B783" s="1" t="s">
        <v>151</v>
      </c>
      <c r="C783" s="18">
        <v>44417</v>
      </c>
      <c r="D783" s="1" t="s">
        <v>72</v>
      </c>
      <c r="E783" s="1" t="s">
        <v>17</v>
      </c>
      <c r="F783" s="1">
        <v>28</v>
      </c>
      <c r="G783" s="1">
        <v>18</v>
      </c>
      <c r="H783" s="1">
        <v>7</v>
      </c>
      <c r="I783" s="1">
        <v>14</v>
      </c>
      <c r="J783" s="1">
        <v>6</v>
      </c>
      <c r="K783" s="1">
        <v>73</v>
      </c>
      <c r="L783" s="5">
        <f ca="1">K783-(ROUNDDOWN((($G$1-C783)/365),1))</f>
        <v>67.900000000000006</v>
      </c>
    </row>
    <row r="784" spans="1:12" x14ac:dyDescent="0.25">
      <c r="A784" s="2">
        <f ca="1">RANK(L784,$L$722:$L$861,0)</f>
        <v>63</v>
      </c>
      <c r="B784" s="1" t="s">
        <v>517</v>
      </c>
      <c r="C784" s="18">
        <v>46201</v>
      </c>
      <c r="D784" s="1" t="s">
        <v>266</v>
      </c>
      <c r="E784" s="1" t="s">
        <v>17</v>
      </c>
      <c r="F784" s="1">
        <v>28</v>
      </c>
      <c r="G784" s="1">
        <v>18</v>
      </c>
      <c r="H784" s="1">
        <v>5</v>
      </c>
      <c r="I784" s="1">
        <v>11</v>
      </c>
      <c r="J784" s="1">
        <v>6</v>
      </c>
      <c r="K784" s="1">
        <v>68</v>
      </c>
      <c r="L784" s="5">
        <f ca="1">K784-(ROUNDDOWN((($G$1-C784)/365),1))</f>
        <v>67.8</v>
      </c>
    </row>
    <row r="785" spans="1:12" x14ac:dyDescent="0.25">
      <c r="A785" s="2">
        <f ca="1">RANK(L785,$L$722:$L$861,0)</f>
        <v>64</v>
      </c>
      <c r="B785" s="1" t="s">
        <v>353</v>
      </c>
      <c r="C785" s="18">
        <v>45053</v>
      </c>
      <c r="D785" s="1" t="s">
        <v>67</v>
      </c>
      <c r="E785" s="1" t="s">
        <v>17</v>
      </c>
      <c r="F785" s="1">
        <v>28</v>
      </c>
      <c r="G785" s="1">
        <v>16</v>
      </c>
      <c r="H785" s="1">
        <v>5</v>
      </c>
      <c r="I785" s="1">
        <v>15</v>
      </c>
      <c r="J785" s="1">
        <v>7</v>
      </c>
      <c r="K785" s="1">
        <v>71</v>
      </c>
      <c r="L785" s="5">
        <f ca="1">K785-(ROUNDDOWN((($G$1-C785)/365),1))</f>
        <v>67.599999999999994</v>
      </c>
    </row>
    <row r="786" spans="1:12" x14ac:dyDescent="0.25">
      <c r="A786" s="2">
        <f ca="1">RANK(L786,$L$722:$L$861,0)</f>
        <v>64</v>
      </c>
      <c r="B786" s="29" t="s">
        <v>276</v>
      </c>
      <c r="C786" s="18">
        <v>45032</v>
      </c>
      <c r="D786" s="1" t="s">
        <v>71</v>
      </c>
      <c r="E786" s="1" t="s">
        <v>17</v>
      </c>
      <c r="F786" s="1">
        <v>28</v>
      </c>
      <c r="G786" s="1">
        <v>18</v>
      </c>
      <c r="H786" s="1">
        <v>5</v>
      </c>
      <c r="I786" s="1">
        <v>14</v>
      </c>
      <c r="J786" s="1">
        <v>6</v>
      </c>
      <c r="K786" s="1">
        <v>71</v>
      </c>
      <c r="L786" s="5">
        <f ca="1">K786-(ROUNDDOWN((($G$1-C786)/365),1))</f>
        <v>67.599999999999994</v>
      </c>
    </row>
    <row r="787" spans="1:12" x14ac:dyDescent="0.25">
      <c r="A787" s="2">
        <f ca="1">RANK(L787,$L$722:$L$861,0)</f>
        <v>66</v>
      </c>
      <c r="B787" s="1" t="s">
        <v>179</v>
      </c>
      <c r="C787" s="18">
        <v>44521</v>
      </c>
      <c r="D787" s="1" t="s">
        <v>74</v>
      </c>
      <c r="E787" s="1" t="s">
        <v>17</v>
      </c>
      <c r="F787" s="1">
        <v>27</v>
      </c>
      <c r="G787" s="1">
        <v>20</v>
      </c>
      <c r="H787" s="1">
        <v>6</v>
      </c>
      <c r="I787" s="1">
        <v>14</v>
      </c>
      <c r="J787" s="1">
        <v>5</v>
      </c>
      <c r="K787" s="1">
        <v>72</v>
      </c>
      <c r="L787" s="5">
        <f ca="1">K787-(ROUNDDOWN((($G$1-C787)/365),1))</f>
        <v>67.2</v>
      </c>
    </row>
    <row r="788" spans="1:12" x14ac:dyDescent="0.25">
      <c r="A788" s="2">
        <f ca="1">RANK(L788,$L$722:$L$861,0)</f>
        <v>66</v>
      </c>
      <c r="B788" s="1" t="s">
        <v>254</v>
      </c>
      <c r="C788" s="18">
        <v>44885</v>
      </c>
      <c r="D788" s="1" t="s">
        <v>74</v>
      </c>
      <c r="E788" s="1" t="s">
        <v>17</v>
      </c>
      <c r="F788" s="1">
        <v>26</v>
      </c>
      <c r="G788" s="1">
        <v>19</v>
      </c>
      <c r="H788" s="1">
        <v>5</v>
      </c>
      <c r="I788" s="1">
        <v>15</v>
      </c>
      <c r="J788" s="1">
        <v>6</v>
      </c>
      <c r="K788" s="1">
        <v>71</v>
      </c>
      <c r="L788" s="5">
        <f ca="1">K788-(ROUNDDOWN((($G$1-C788)/365),1))</f>
        <v>67.2</v>
      </c>
    </row>
    <row r="789" spans="1:12" x14ac:dyDescent="0.25">
      <c r="A789" s="2">
        <f ca="1">RANK(L789,$L$722:$L$861,0)</f>
        <v>68</v>
      </c>
      <c r="B789" s="1" t="s">
        <v>146</v>
      </c>
      <c r="C789" s="18">
        <v>44423</v>
      </c>
      <c r="D789" s="1" t="s">
        <v>71</v>
      </c>
      <c r="E789" s="1" t="s">
        <v>17</v>
      </c>
      <c r="F789" s="1">
        <v>29</v>
      </c>
      <c r="G789" s="1">
        <v>17</v>
      </c>
      <c r="H789" s="1">
        <v>6</v>
      </c>
      <c r="I789" s="1">
        <v>14</v>
      </c>
      <c r="J789" s="1">
        <v>6</v>
      </c>
      <c r="K789" s="1">
        <v>72</v>
      </c>
      <c r="L789" s="5">
        <f ca="1">K789-(ROUNDDOWN((($G$1-C789)/365),1))</f>
        <v>66.900000000000006</v>
      </c>
    </row>
    <row r="790" spans="1:12" x14ac:dyDescent="0.25">
      <c r="A790" s="2">
        <f ca="1">RANK(L790,$L$722:$L$861,0)</f>
        <v>68</v>
      </c>
      <c r="B790" s="29" t="s">
        <v>31</v>
      </c>
      <c r="C790" s="18">
        <v>44409</v>
      </c>
      <c r="D790" s="1" t="s">
        <v>72</v>
      </c>
      <c r="E790" s="1" t="s">
        <v>17</v>
      </c>
      <c r="F790" s="1">
        <v>30</v>
      </c>
      <c r="G790" s="1">
        <v>16</v>
      </c>
      <c r="H790" s="1">
        <v>5</v>
      </c>
      <c r="I790" s="1">
        <v>13</v>
      </c>
      <c r="J790" s="1">
        <v>8</v>
      </c>
      <c r="K790" s="1">
        <v>72</v>
      </c>
      <c r="L790" s="5">
        <f ca="1">K790-(ROUNDDOWN((($G$1-C790)/365),1))</f>
        <v>66.900000000000006</v>
      </c>
    </row>
    <row r="791" spans="1:12" x14ac:dyDescent="0.25">
      <c r="A791" s="2">
        <f ca="1">RANK(L791,$L$722:$L$861,0)</f>
        <v>70</v>
      </c>
      <c r="B791" s="1" t="s">
        <v>439</v>
      </c>
      <c r="C791" s="18">
        <v>45830</v>
      </c>
      <c r="D791" s="1" t="s">
        <v>69</v>
      </c>
      <c r="E791" s="1" t="s">
        <v>17</v>
      </c>
      <c r="F791" s="1">
        <v>26</v>
      </c>
      <c r="G791" s="1">
        <v>19</v>
      </c>
      <c r="H791" s="1">
        <v>5</v>
      </c>
      <c r="I791" s="1">
        <v>12</v>
      </c>
      <c r="J791" s="1">
        <v>6</v>
      </c>
      <c r="K791" s="1">
        <v>68</v>
      </c>
      <c r="L791" s="5">
        <f ca="1">K791-(ROUNDDOWN((($G$1-C791)/365),1))</f>
        <v>66.8</v>
      </c>
    </row>
    <row r="792" spans="1:12" x14ac:dyDescent="0.25">
      <c r="A792" s="2">
        <f ca="1">RANK(L792,$L$722:$L$861,0)</f>
        <v>71</v>
      </c>
      <c r="B792" s="1" t="s">
        <v>434</v>
      </c>
      <c r="C792" s="18">
        <v>45802</v>
      </c>
      <c r="D792" s="1" t="s">
        <v>149</v>
      </c>
      <c r="E792" s="1" t="s">
        <v>17</v>
      </c>
      <c r="F792" s="1">
        <v>27</v>
      </c>
      <c r="G792" s="1">
        <v>18</v>
      </c>
      <c r="H792" s="1">
        <v>5</v>
      </c>
      <c r="I792" s="1">
        <v>12</v>
      </c>
      <c r="J792" s="1">
        <v>6</v>
      </c>
      <c r="K792" s="1">
        <v>68</v>
      </c>
      <c r="L792" s="5">
        <f ca="1">K792-(ROUNDDOWN((($G$1-C792)/365),1))</f>
        <v>66.7</v>
      </c>
    </row>
    <row r="793" spans="1:12" x14ac:dyDescent="0.25">
      <c r="A793" s="2">
        <f ca="1">RANK(L793,$L$722:$L$861,0)</f>
        <v>72</v>
      </c>
      <c r="B793" s="1" t="s">
        <v>91</v>
      </c>
      <c r="C793" s="18">
        <v>45011</v>
      </c>
      <c r="D793" s="1" t="s">
        <v>73</v>
      </c>
      <c r="E793" s="1" t="s">
        <v>17</v>
      </c>
      <c r="F793" s="1">
        <v>28</v>
      </c>
      <c r="G793" s="1">
        <v>15</v>
      </c>
      <c r="H793" s="1">
        <v>6</v>
      </c>
      <c r="I793" s="1">
        <v>14</v>
      </c>
      <c r="J793" s="1">
        <v>7</v>
      </c>
      <c r="K793" s="1">
        <v>70</v>
      </c>
      <c r="L793" s="5">
        <f ca="1">K793-(ROUNDDOWN((($G$1-C793)/365),1))</f>
        <v>66.5</v>
      </c>
    </row>
    <row r="794" spans="1:12" x14ac:dyDescent="0.25">
      <c r="A794" s="2">
        <f ca="1">RANK(L794,$L$722:$L$861,0)</f>
        <v>72</v>
      </c>
      <c r="B794" s="1" t="s">
        <v>111</v>
      </c>
      <c r="C794" s="18">
        <v>44276</v>
      </c>
      <c r="D794" s="1" t="s">
        <v>74</v>
      </c>
      <c r="E794" s="1" t="s">
        <v>17</v>
      </c>
      <c r="F794" s="1">
        <v>28</v>
      </c>
      <c r="G794" s="1">
        <v>20</v>
      </c>
      <c r="H794" s="1">
        <v>5</v>
      </c>
      <c r="I794" s="1">
        <v>13</v>
      </c>
      <c r="J794" s="1">
        <v>6</v>
      </c>
      <c r="K794" s="1">
        <v>72</v>
      </c>
      <c r="L794" s="5">
        <f ca="1">K794-(ROUNDDOWN((($G$1-C794)/365),1))</f>
        <v>66.5</v>
      </c>
    </row>
    <row r="795" spans="1:12" x14ac:dyDescent="0.25">
      <c r="A795" s="2">
        <f ca="1">RANK(L795,$L$722:$L$861,0)</f>
        <v>72</v>
      </c>
      <c r="B795" s="1" t="s">
        <v>500</v>
      </c>
      <c r="C795" s="18">
        <v>46103</v>
      </c>
      <c r="D795" s="1" t="s">
        <v>74</v>
      </c>
      <c r="E795" s="1" t="s">
        <v>17</v>
      </c>
      <c r="F795" s="1">
        <v>26</v>
      </c>
      <c r="G795" s="1">
        <v>20</v>
      </c>
      <c r="H795" s="1">
        <v>5</v>
      </c>
      <c r="I795" s="1">
        <v>11</v>
      </c>
      <c r="J795" s="1">
        <v>5</v>
      </c>
      <c r="K795" s="1">
        <v>67</v>
      </c>
      <c r="L795" s="5">
        <f ca="1">K795-(ROUNDDOWN((($G$1-C795)/365),1))</f>
        <v>66.5</v>
      </c>
    </row>
    <row r="796" spans="1:12" x14ac:dyDescent="0.25">
      <c r="A796" s="2">
        <f ca="1">RANK(L796,$L$722:$L$861,0)</f>
        <v>75</v>
      </c>
      <c r="B796" s="1" t="s">
        <v>256</v>
      </c>
      <c r="C796" s="18">
        <v>44906</v>
      </c>
      <c r="D796" s="1" t="s">
        <v>71</v>
      </c>
      <c r="E796" s="1" t="s">
        <v>17</v>
      </c>
      <c r="F796" s="1">
        <v>27</v>
      </c>
      <c r="G796" s="1">
        <v>19</v>
      </c>
      <c r="H796" s="1">
        <v>5</v>
      </c>
      <c r="I796" s="1">
        <v>13</v>
      </c>
      <c r="J796" s="1">
        <v>6</v>
      </c>
      <c r="K796" s="1">
        <v>70</v>
      </c>
      <c r="L796" s="5">
        <f ca="1">K796-(ROUNDDOWN((($G$1-C796)/365),1))</f>
        <v>66.2</v>
      </c>
    </row>
    <row r="797" spans="1:12" x14ac:dyDescent="0.25">
      <c r="A797" s="2">
        <f ca="1">RANK(L797,$L$722:$L$861,0)</f>
        <v>75</v>
      </c>
      <c r="B797" s="1" t="s">
        <v>473</v>
      </c>
      <c r="C797" s="18">
        <v>45991</v>
      </c>
      <c r="D797" s="1" t="s">
        <v>71</v>
      </c>
      <c r="E797" s="1" t="s">
        <v>17</v>
      </c>
      <c r="F797" s="1">
        <v>27</v>
      </c>
      <c r="G797" s="1">
        <v>19</v>
      </c>
      <c r="H797" s="1">
        <v>4</v>
      </c>
      <c r="I797" s="1">
        <v>14</v>
      </c>
      <c r="J797" s="1">
        <v>3</v>
      </c>
      <c r="K797" s="1">
        <v>67</v>
      </c>
      <c r="L797" s="5">
        <f ca="1">K797-(ROUNDDOWN((($G$1-C797)/365),1))</f>
        <v>66.2</v>
      </c>
    </row>
    <row r="798" spans="1:12" x14ac:dyDescent="0.25">
      <c r="A798" s="2">
        <f ca="1">RANK(L798,$L$722:$L$861,0)</f>
        <v>77</v>
      </c>
      <c r="B798" s="29" t="s">
        <v>467</v>
      </c>
      <c r="C798" s="18">
        <v>45969</v>
      </c>
      <c r="D798" s="1" t="s">
        <v>67</v>
      </c>
      <c r="E798" s="1" t="s">
        <v>17</v>
      </c>
      <c r="F798" s="1">
        <v>27</v>
      </c>
      <c r="G798" s="1">
        <v>16</v>
      </c>
      <c r="H798" s="1">
        <v>5</v>
      </c>
      <c r="I798" s="1">
        <v>12</v>
      </c>
      <c r="J798" s="1">
        <v>7</v>
      </c>
      <c r="K798" s="1">
        <v>67</v>
      </c>
      <c r="L798" s="5">
        <f ca="1">K798-(ROUNDDOWN((($G$1-C798)/365),1))</f>
        <v>66.099999999999994</v>
      </c>
    </row>
    <row r="799" spans="1:12" x14ac:dyDescent="0.25">
      <c r="A799" s="2">
        <f ca="1">RANK(L799,$L$722:$L$861,0)</f>
        <v>77</v>
      </c>
      <c r="B799" s="1" t="s">
        <v>250</v>
      </c>
      <c r="C799" s="18">
        <v>44871</v>
      </c>
      <c r="D799" s="1" t="s">
        <v>236</v>
      </c>
      <c r="E799" s="1" t="s">
        <v>17</v>
      </c>
      <c r="F799" s="1">
        <v>27</v>
      </c>
      <c r="G799" s="1">
        <v>18</v>
      </c>
      <c r="H799" s="1">
        <v>6</v>
      </c>
      <c r="I799" s="1">
        <v>13</v>
      </c>
      <c r="J799" s="1">
        <v>6</v>
      </c>
      <c r="K799" s="1">
        <v>70</v>
      </c>
      <c r="L799" s="5">
        <f ca="1">K799-(ROUNDDOWN((($G$1-C799)/365),1))</f>
        <v>66.099999999999994</v>
      </c>
    </row>
    <row r="800" spans="1:12" x14ac:dyDescent="0.25">
      <c r="A800" s="2">
        <f ca="1">RANK(L800,$L$722:$L$861,0)</f>
        <v>79</v>
      </c>
      <c r="B800" s="1" t="s">
        <v>362</v>
      </c>
      <c r="C800" s="18">
        <v>45515</v>
      </c>
      <c r="D800" s="1" t="s">
        <v>266</v>
      </c>
      <c r="E800" s="1" t="s">
        <v>17</v>
      </c>
      <c r="F800" s="1">
        <v>29</v>
      </c>
      <c r="G800" s="1">
        <v>16</v>
      </c>
      <c r="H800" s="1">
        <v>5</v>
      </c>
      <c r="I800" s="1">
        <v>15</v>
      </c>
      <c r="J800" s="1">
        <v>3</v>
      </c>
      <c r="K800" s="1">
        <v>68</v>
      </c>
      <c r="L800" s="5">
        <f ca="1">K800-(ROUNDDOWN((($G$1-C800)/365),1))</f>
        <v>65.900000000000006</v>
      </c>
    </row>
    <row r="801" spans="1:12" x14ac:dyDescent="0.25">
      <c r="A801" s="2">
        <f ca="1">RANK(L801,$L$722:$L$861,0)</f>
        <v>79</v>
      </c>
      <c r="B801" s="1" t="s">
        <v>140</v>
      </c>
      <c r="C801" s="18">
        <v>44409</v>
      </c>
      <c r="D801" s="1" t="s">
        <v>69</v>
      </c>
      <c r="E801" s="1" t="s">
        <v>17</v>
      </c>
      <c r="F801" s="1">
        <v>29</v>
      </c>
      <c r="G801" s="1">
        <v>15</v>
      </c>
      <c r="H801" s="1">
        <v>7</v>
      </c>
      <c r="I801" s="1">
        <v>13</v>
      </c>
      <c r="J801" s="1">
        <v>7</v>
      </c>
      <c r="K801" s="1">
        <v>71</v>
      </c>
      <c r="L801" s="5">
        <f ca="1">K801-(ROUNDDOWN((($G$1-C801)/365),1))</f>
        <v>65.900000000000006</v>
      </c>
    </row>
    <row r="802" spans="1:12" x14ac:dyDescent="0.25">
      <c r="A802" s="2">
        <f ca="1">RANK(L802,$L$722:$L$861,0)</f>
        <v>79</v>
      </c>
      <c r="B802" s="1" t="s">
        <v>37</v>
      </c>
      <c r="C802" s="18">
        <v>44409</v>
      </c>
      <c r="D802" s="1" t="s">
        <v>70</v>
      </c>
      <c r="E802" s="1" t="s">
        <v>17</v>
      </c>
      <c r="F802" s="1">
        <v>29</v>
      </c>
      <c r="G802" s="1">
        <v>16</v>
      </c>
      <c r="H802" s="1">
        <v>6</v>
      </c>
      <c r="I802" s="1">
        <v>13</v>
      </c>
      <c r="J802" s="1">
        <v>7</v>
      </c>
      <c r="K802" s="1">
        <v>71</v>
      </c>
      <c r="L802" s="5">
        <f ca="1">K802-(ROUNDDOWN((($G$1-C802)/365),1))</f>
        <v>65.900000000000006</v>
      </c>
    </row>
    <row r="803" spans="1:12" x14ac:dyDescent="0.25">
      <c r="A803" s="2">
        <f ca="1">RANK(L803,$L$722:$L$861,0)</f>
        <v>82</v>
      </c>
      <c r="B803" s="1" t="s">
        <v>106</v>
      </c>
      <c r="C803" s="18">
        <v>44703</v>
      </c>
      <c r="D803" s="1" t="s">
        <v>69</v>
      </c>
      <c r="E803" s="1" t="s">
        <v>17</v>
      </c>
      <c r="F803" s="1">
        <v>28</v>
      </c>
      <c r="G803" s="1">
        <v>16</v>
      </c>
      <c r="H803" s="1">
        <v>4</v>
      </c>
      <c r="I803" s="1">
        <v>15</v>
      </c>
      <c r="J803" s="1">
        <v>7</v>
      </c>
      <c r="K803" s="1">
        <v>70</v>
      </c>
      <c r="L803" s="5">
        <f ca="1">K803-(ROUNDDOWN((($G$1-C803)/365),1))</f>
        <v>65.7</v>
      </c>
    </row>
    <row r="804" spans="1:12" x14ac:dyDescent="0.25">
      <c r="A804" s="2">
        <f ca="1">RANK(L804,$L$722:$L$861,0)</f>
        <v>83</v>
      </c>
      <c r="B804" s="1" t="s">
        <v>329</v>
      </c>
      <c r="C804" s="18">
        <v>45319</v>
      </c>
      <c r="D804" s="1" t="s">
        <v>66</v>
      </c>
      <c r="E804" s="1" t="s">
        <v>17</v>
      </c>
      <c r="F804" s="1">
        <v>26</v>
      </c>
      <c r="G804" s="1">
        <v>18</v>
      </c>
      <c r="H804" s="1">
        <v>5</v>
      </c>
      <c r="I804" s="1">
        <v>13</v>
      </c>
      <c r="J804" s="1">
        <v>6</v>
      </c>
      <c r="K804" s="1">
        <v>68</v>
      </c>
      <c r="L804" s="5">
        <f ca="1">K804-(ROUNDDOWN((($G$1-C804)/365),1))</f>
        <v>65.400000000000006</v>
      </c>
    </row>
    <row r="805" spans="1:12" x14ac:dyDescent="0.25">
      <c r="A805" s="2">
        <f ca="1">RANK(L805,$L$722:$L$861,0)</f>
        <v>83</v>
      </c>
      <c r="B805" s="29" t="s">
        <v>407</v>
      </c>
      <c r="C805" s="18">
        <v>45683</v>
      </c>
      <c r="D805" s="1" t="s">
        <v>71</v>
      </c>
      <c r="E805" s="1" t="s">
        <v>17</v>
      </c>
      <c r="F805" s="1">
        <v>28</v>
      </c>
      <c r="G805" s="1">
        <v>15</v>
      </c>
      <c r="H805" s="1">
        <v>6</v>
      </c>
      <c r="I805" s="1">
        <v>14</v>
      </c>
      <c r="J805" s="1">
        <v>4</v>
      </c>
      <c r="K805" s="1">
        <v>67</v>
      </c>
      <c r="L805" s="5">
        <f ca="1">K805-(ROUNDDOWN((($G$1-C805)/365),1))</f>
        <v>65.400000000000006</v>
      </c>
    </row>
    <row r="806" spans="1:12" x14ac:dyDescent="0.25">
      <c r="A806" s="2">
        <f ca="1">RANK(L806,$L$722:$L$861,0)</f>
        <v>85</v>
      </c>
      <c r="B806" s="29" t="s">
        <v>324</v>
      </c>
      <c r="C806" s="18">
        <v>45298</v>
      </c>
      <c r="D806" s="1" t="s">
        <v>67</v>
      </c>
      <c r="E806" s="1" t="s">
        <v>17</v>
      </c>
      <c r="F806" s="1">
        <v>28</v>
      </c>
      <c r="G806" s="1">
        <v>17</v>
      </c>
      <c r="H806" s="1">
        <v>6</v>
      </c>
      <c r="I806" s="1">
        <v>12</v>
      </c>
      <c r="J806" s="1">
        <v>5</v>
      </c>
      <c r="K806" s="1">
        <v>68</v>
      </c>
      <c r="L806" s="5">
        <f ca="1">K806-(ROUNDDOWN((($G$1-C806)/365),1))</f>
        <v>65.3</v>
      </c>
    </row>
    <row r="807" spans="1:12" x14ac:dyDescent="0.25">
      <c r="A807" s="2">
        <f ca="1">RANK(L807,$L$722:$L$861,0)</f>
        <v>86</v>
      </c>
      <c r="B807" s="1" t="s">
        <v>391</v>
      </c>
      <c r="C807" s="18">
        <v>45627</v>
      </c>
      <c r="D807" s="1" t="s">
        <v>74</v>
      </c>
      <c r="E807" s="1" t="s">
        <v>17</v>
      </c>
      <c r="F807" s="1">
        <v>27</v>
      </c>
      <c r="G807" s="1">
        <v>20</v>
      </c>
      <c r="H807" s="1">
        <v>4</v>
      </c>
      <c r="I807" s="1">
        <v>12</v>
      </c>
      <c r="J807" s="1">
        <v>4</v>
      </c>
      <c r="K807" s="1">
        <v>67</v>
      </c>
      <c r="L807" s="5">
        <f ca="1">K807-(ROUNDDOWN((($G$1-C807)/365),1))</f>
        <v>65.2</v>
      </c>
    </row>
    <row r="808" spans="1:12" x14ac:dyDescent="0.25">
      <c r="A808" s="2">
        <f ca="1">RANK(L808,$L$722:$L$861,0)</f>
        <v>87</v>
      </c>
      <c r="B808" s="1" t="s">
        <v>156</v>
      </c>
      <c r="C808" s="18">
        <v>44451</v>
      </c>
      <c r="D808" s="1" t="s">
        <v>72</v>
      </c>
      <c r="E808" s="1" t="s">
        <v>17</v>
      </c>
      <c r="F808" s="1">
        <v>30</v>
      </c>
      <c r="G808" s="1">
        <v>15</v>
      </c>
      <c r="H808" s="1">
        <v>8</v>
      </c>
      <c r="I808" s="1">
        <v>11</v>
      </c>
      <c r="J808" s="1">
        <v>6</v>
      </c>
      <c r="K808" s="1">
        <v>70</v>
      </c>
      <c r="L808" s="5">
        <f ca="1">K808-(ROUNDDOWN((($G$1-C808)/365),1))</f>
        <v>65</v>
      </c>
    </row>
    <row r="809" spans="1:12" x14ac:dyDescent="0.25">
      <c r="A809" s="2">
        <f ca="1">RANK(L809,$L$722:$L$861,0)</f>
        <v>88</v>
      </c>
      <c r="B809" s="1" t="s">
        <v>221</v>
      </c>
      <c r="C809" s="18">
        <v>44745</v>
      </c>
      <c r="D809" s="1" t="s">
        <v>71</v>
      </c>
      <c r="E809" s="1" t="s">
        <v>17</v>
      </c>
      <c r="F809" s="1">
        <v>28</v>
      </c>
      <c r="G809" s="1">
        <v>20</v>
      </c>
      <c r="H809" s="1">
        <v>5</v>
      </c>
      <c r="I809" s="1">
        <v>10</v>
      </c>
      <c r="J809" s="1">
        <v>6</v>
      </c>
      <c r="K809" s="1">
        <v>69</v>
      </c>
      <c r="L809" s="5">
        <f ca="1">K809-(ROUNDDOWN((($G$1-C809)/365),1))</f>
        <v>64.8</v>
      </c>
    </row>
    <row r="810" spans="1:12" x14ac:dyDescent="0.25">
      <c r="A810" s="2">
        <f ca="1">RANK(L810,$L$722:$L$861,0)</f>
        <v>89</v>
      </c>
      <c r="B810" s="1" t="s">
        <v>115</v>
      </c>
      <c r="C810" s="18">
        <v>44297</v>
      </c>
      <c r="D810" s="1" t="s">
        <v>71</v>
      </c>
      <c r="E810" s="1" t="s">
        <v>17</v>
      </c>
      <c r="F810" s="1">
        <v>28</v>
      </c>
      <c r="G810" s="1">
        <v>15</v>
      </c>
      <c r="H810" s="1">
        <v>7</v>
      </c>
      <c r="I810" s="1">
        <v>14</v>
      </c>
      <c r="J810" s="1">
        <v>6</v>
      </c>
      <c r="K810" s="1">
        <v>70</v>
      </c>
      <c r="L810" s="5">
        <f ca="1">K810-(ROUNDDOWN((($G$1-C810)/365),1))</f>
        <v>64.599999999999994</v>
      </c>
    </row>
    <row r="811" spans="1:12" x14ac:dyDescent="0.25">
      <c r="A811" s="2">
        <f ca="1">RANK(L811,$L$722:$L$861,0)</f>
        <v>90</v>
      </c>
      <c r="B811" s="29" t="s">
        <v>306</v>
      </c>
      <c r="C811" s="18">
        <v>45214</v>
      </c>
      <c r="D811" s="1" t="s">
        <v>72</v>
      </c>
      <c r="E811" s="1" t="s">
        <v>17</v>
      </c>
      <c r="F811" s="1">
        <v>26</v>
      </c>
      <c r="G811" s="1">
        <v>16</v>
      </c>
      <c r="H811" s="1">
        <v>4</v>
      </c>
      <c r="I811" s="1">
        <v>14</v>
      </c>
      <c r="J811" s="1">
        <v>7</v>
      </c>
      <c r="K811" s="1">
        <f>SUM(F811:J811)</f>
        <v>67</v>
      </c>
      <c r="L811" s="5">
        <f ca="1">K811-(ROUNDDOWN((($G$1-C811)/365),1))</f>
        <v>64.099999999999994</v>
      </c>
    </row>
    <row r="812" spans="1:12" x14ac:dyDescent="0.25">
      <c r="A812" s="2">
        <f ca="1">RANK(L812,$L$722:$L$861,0)</f>
        <v>91</v>
      </c>
      <c r="B812" s="1" t="s">
        <v>458</v>
      </c>
      <c r="C812" s="18">
        <v>45921</v>
      </c>
      <c r="D812" s="1" t="s">
        <v>266</v>
      </c>
      <c r="E812" s="1" t="s">
        <v>17</v>
      </c>
      <c r="F812" s="1">
        <v>27</v>
      </c>
      <c r="G812" s="1">
        <v>17</v>
      </c>
      <c r="H812" s="1">
        <v>5</v>
      </c>
      <c r="I812" s="1">
        <v>11</v>
      </c>
      <c r="J812" s="1">
        <v>5</v>
      </c>
      <c r="K812" s="1">
        <v>65</v>
      </c>
      <c r="L812" s="5">
        <f ca="1">K812-(ROUNDDOWN((($G$1-C812)/365),1))</f>
        <v>64</v>
      </c>
    </row>
    <row r="813" spans="1:12" x14ac:dyDescent="0.25">
      <c r="A813" s="2">
        <f ca="1">RANK(L813,$L$722:$L$861,0)</f>
        <v>92</v>
      </c>
      <c r="B813" s="1" t="s">
        <v>440</v>
      </c>
      <c r="C813" s="18">
        <v>45830</v>
      </c>
      <c r="D813" s="1" t="s">
        <v>72</v>
      </c>
      <c r="E813" s="1" t="s">
        <v>17</v>
      </c>
      <c r="F813" s="1">
        <v>28</v>
      </c>
      <c r="G813" s="1">
        <v>17</v>
      </c>
      <c r="H813" s="1">
        <v>5</v>
      </c>
      <c r="I813" s="1">
        <v>10</v>
      </c>
      <c r="J813" s="1">
        <v>5</v>
      </c>
      <c r="K813" s="1">
        <v>65</v>
      </c>
      <c r="L813" s="5">
        <f ca="1">K813-(ROUNDDOWN((($G$1-C813)/365),1))</f>
        <v>63.8</v>
      </c>
    </row>
    <row r="814" spans="1:12" x14ac:dyDescent="0.25">
      <c r="A814" s="2">
        <f ca="1">RANK(L814,$L$722:$L$861,0)</f>
        <v>93</v>
      </c>
      <c r="B814" s="1" t="s">
        <v>435</v>
      </c>
      <c r="C814" s="18">
        <v>45802</v>
      </c>
      <c r="D814" s="1" t="s">
        <v>307</v>
      </c>
      <c r="E814" s="1" t="s">
        <v>17</v>
      </c>
      <c r="F814" s="1">
        <v>26</v>
      </c>
      <c r="G814" s="1">
        <v>19</v>
      </c>
      <c r="H814" s="1">
        <v>4</v>
      </c>
      <c r="I814" s="1">
        <v>10</v>
      </c>
      <c r="J814" s="1">
        <v>6</v>
      </c>
      <c r="K814" s="1">
        <v>65</v>
      </c>
      <c r="L814" s="5">
        <f ca="1">K814-(ROUNDDOWN((($G$1-C814)/365),1))</f>
        <v>63.7</v>
      </c>
    </row>
    <row r="815" spans="1:12" x14ac:dyDescent="0.25">
      <c r="A815" s="2">
        <f ca="1">RANK(L815,$L$722:$L$861,0)</f>
        <v>94</v>
      </c>
      <c r="B815" s="1" t="s">
        <v>267</v>
      </c>
      <c r="C815" s="18">
        <v>44962</v>
      </c>
      <c r="D815" s="1" t="s">
        <v>266</v>
      </c>
      <c r="E815" s="1" t="s">
        <v>17</v>
      </c>
      <c r="F815" s="1">
        <v>27</v>
      </c>
      <c r="G815" s="1">
        <v>18</v>
      </c>
      <c r="H815" s="1">
        <v>5</v>
      </c>
      <c r="I815" s="1">
        <v>12</v>
      </c>
      <c r="J815" s="1">
        <v>5</v>
      </c>
      <c r="K815" s="1">
        <v>67</v>
      </c>
      <c r="L815" s="5">
        <f ca="1">K815-(ROUNDDOWN((($G$1-C815)/365),1))</f>
        <v>63.4</v>
      </c>
    </row>
    <row r="816" spans="1:12" x14ac:dyDescent="0.25">
      <c r="A816" s="2">
        <f ca="1">RANK(L816,$L$722:$L$861,0)</f>
        <v>95</v>
      </c>
      <c r="B816" s="1" t="s">
        <v>401</v>
      </c>
      <c r="C816" s="18">
        <v>45662</v>
      </c>
      <c r="D816" s="1" t="s">
        <v>68</v>
      </c>
      <c r="E816" s="1" t="s">
        <v>17</v>
      </c>
      <c r="F816" s="1">
        <v>26</v>
      </c>
      <c r="G816" s="1">
        <v>15</v>
      </c>
      <c r="H816" s="1">
        <v>6</v>
      </c>
      <c r="I816" s="1">
        <v>10</v>
      </c>
      <c r="J816" s="1">
        <v>8</v>
      </c>
      <c r="K816" s="1">
        <v>65</v>
      </c>
      <c r="L816" s="5">
        <f ca="1">K816-(ROUNDDOWN((($G$1-C816)/365),1))</f>
        <v>63.3</v>
      </c>
    </row>
    <row r="817" spans="1:12" x14ac:dyDescent="0.25">
      <c r="A817" s="2">
        <f ca="1">RANK(L817,$L$722:$L$861,0)</f>
        <v>96</v>
      </c>
      <c r="B817" s="29" t="s">
        <v>60</v>
      </c>
      <c r="C817" s="18">
        <v>44156</v>
      </c>
      <c r="D817" s="1" t="s">
        <v>71</v>
      </c>
      <c r="E817" s="1" t="s">
        <v>17</v>
      </c>
      <c r="F817" s="1">
        <v>28</v>
      </c>
      <c r="G817" s="1">
        <v>16</v>
      </c>
      <c r="H817" s="1">
        <v>7</v>
      </c>
      <c r="I817" s="1">
        <v>11</v>
      </c>
      <c r="J817" s="1">
        <v>7</v>
      </c>
      <c r="K817" s="1">
        <v>69</v>
      </c>
      <c r="L817" s="5">
        <f ca="1">K817-(ROUNDDOWN((($G$1-C817)/365),1))</f>
        <v>63.2</v>
      </c>
    </row>
    <row r="818" spans="1:12" x14ac:dyDescent="0.25">
      <c r="A818" s="2">
        <f ca="1">RANK(L818,$L$722:$L$861,0)</f>
        <v>97</v>
      </c>
      <c r="B818" s="1" t="s">
        <v>195</v>
      </c>
      <c r="C818" s="18">
        <v>45220</v>
      </c>
      <c r="D818" s="1" t="s">
        <v>308</v>
      </c>
      <c r="E818" s="1" t="s">
        <v>17</v>
      </c>
      <c r="F818" s="1">
        <v>25</v>
      </c>
      <c r="G818" s="1">
        <v>22</v>
      </c>
      <c r="H818" s="1">
        <v>3</v>
      </c>
      <c r="I818" s="1">
        <v>12</v>
      </c>
      <c r="J818" s="1">
        <v>4</v>
      </c>
      <c r="K818" s="1">
        <v>66</v>
      </c>
      <c r="L818" s="5">
        <f ca="1">K818-(ROUNDDOWN((($G$1-C818)/365),1))</f>
        <v>63.1</v>
      </c>
    </row>
    <row r="819" spans="1:12" x14ac:dyDescent="0.25">
      <c r="A819" s="2">
        <f ca="1">RANK(L819,$L$722:$L$861,0)</f>
        <v>98</v>
      </c>
      <c r="B819" s="1" t="s">
        <v>18</v>
      </c>
      <c r="C819" s="18">
        <v>44409</v>
      </c>
      <c r="D819" s="1" t="s">
        <v>69</v>
      </c>
      <c r="E819" s="1" t="s">
        <v>17</v>
      </c>
      <c r="F819" s="1">
        <v>27</v>
      </c>
      <c r="G819" s="1">
        <v>16</v>
      </c>
      <c r="H819" s="1">
        <v>7</v>
      </c>
      <c r="I819" s="1">
        <v>12</v>
      </c>
      <c r="J819" s="1">
        <v>5</v>
      </c>
      <c r="K819" s="1">
        <v>67</v>
      </c>
      <c r="L819" s="5">
        <f ca="1">K819-(ROUNDDOWN((($G$1-C819)/365),1))</f>
        <v>61.9</v>
      </c>
    </row>
    <row r="820" spans="1:12" x14ac:dyDescent="0.25">
      <c r="A820" s="2">
        <f ca="1">RANK(L820,$L$722:$L$861,0)</f>
        <v>99</v>
      </c>
      <c r="B820" s="1" t="s">
        <v>219</v>
      </c>
      <c r="C820" s="18">
        <v>44731</v>
      </c>
      <c r="D820" s="1" t="s">
        <v>69</v>
      </c>
      <c r="E820" s="1" t="s">
        <v>17</v>
      </c>
      <c r="F820" s="1">
        <v>27</v>
      </c>
      <c r="G820" s="1">
        <v>16</v>
      </c>
      <c r="H820" s="1">
        <v>5</v>
      </c>
      <c r="I820" s="1">
        <v>13</v>
      </c>
      <c r="J820" s="1">
        <v>5</v>
      </c>
      <c r="K820" s="1">
        <v>66</v>
      </c>
      <c r="L820" s="5">
        <f ca="1">K820-(ROUNDDOWN((($G$1-C820)/365),1))</f>
        <v>61.8</v>
      </c>
    </row>
    <row r="821" spans="1:12" x14ac:dyDescent="0.25">
      <c r="A821" s="2">
        <f ca="1">RANK(L821,$L$722:$L$861,0)</f>
        <v>100</v>
      </c>
      <c r="B821" s="19" t="s">
        <v>142</v>
      </c>
      <c r="C821" s="20">
        <v>44353</v>
      </c>
      <c r="D821" s="1" t="s">
        <v>72</v>
      </c>
      <c r="E821" s="1" t="s">
        <v>17</v>
      </c>
      <c r="F821" s="1">
        <v>26</v>
      </c>
      <c r="G821" s="1">
        <v>18</v>
      </c>
      <c r="H821" s="1">
        <v>5</v>
      </c>
      <c r="I821" s="1">
        <v>13</v>
      </c>
      <c r="J821" s="1">
        <v>5</v>
      </c>
      <c r="K821" s="1">
        <v>67</v>
      </c>
      <c r="L821" s="5">
        <f ca="1">K821-(ROUNDDOWN((($G$1-C821)/365),1))</f>
        <v>61.7</v>
      </c>
    </row>
    <row r="822" spans="1:12" x14ac:dyDescent="0.25">
      <c r="A822" s="2">
        <f ca="1">RANK(L822,$L$722:$L$861,0)</f>
        <v>100</v>
      </c>
      <c r="B822" s="1" t="s">
        <v>212</v>
      </c>
      <c r="C822" s="18">
        <v>44703</v>
      </c>
      <c r="D822" s="1" t="s">
        <v>69</v>
      </c>
      <c r="E822" s="1" t="s">
        <v>17</v>
      </c>
      <c r="F822" s="1">
        <v>25</v>
      </c>
      <c r="G822" s="1">
        <v>19</v>
      </c>
      <c r="H822" s="1">
        <v>4</v>
      </c>
      <c r="I822" s="1">
        <v>13</v>
      </c>
      <c r="J822" s="1">
        <v>5</v>
      </c>
      <c r="K822" s="1">
        <v>66</v>
      </c>
      <c r="L822" s="5">
        <f ca="1">K822-(ROUNDDOWN((($G$1-C822)/365),1))</f>
        <v>61.7</v>
      </c>
    </row>
    <row r="823" spans="1:12" x14ac:dyDescent="0.25">
      <c r="A823" s="2">
        <f ca="1">RANK(L823,$L$722:$L$861,0)</f>
        <v>102</v>
      </c>
      <c r="B823" s="1" t="s">
        <v>341</v>
      </c>
      <c r="C823" s="18">
        <v>45389</v>
      </c>
      <c r="D823" s="1" t="s">
        <v>149</v>
      </c>
      <c r="E823" s="1" t="s">
        <v>17</v>
      </c>
      <c r="F823" s="1">
        <v>27</v>
      </c>
      <c r="G823" s="1">
        <v>14</v>
      </c>
      <c r="H823" s="1">
        <v>5</v>
      </c>
      <c r="I823" s="1">
        <v>12</v>
      </c>
      <c r="J823" s="1">
        <v>6</v>
      </c>
      <c r="K823" s="1">
        <v>64</v>
      </c>
      <c r="L823" s="5">
        <f ca="1">K823-(ROUNDDOWN((($G$1-C823)/365),1))</f>
        <v>61.6</v>
      </c>
    </row>
    <row r="824" spans="1:12" x14ac:dyDescent="0.25">
      <c r="A824" s="2">
        <f ca="1">RANK(L824,$L$722:$L$861,0)</f>
        <v>103</v>
      </c>
      <c r="B824" s="1" t="s">
        <v>202</v>
      </c>
      <c r="C824" s="18">
        <v>44640</v>
      </c>
      <c r="D824" s="1" t="s">
        <v>71</v>
      </c>
      <c r="E824" s="1" t="s">
        <v>17</v>
      </c>
      <c r="F824" s="1">
        <v>23</v>
      </c>
      <c r="G824" s="1">
        <v>19</v>
      </c>
      <c r="H824" s="1">
        <v>4</v>
      </c>
      <c r="I824" s="1">
        <v>15</v>
      </c>
      <c r="J824" s="1">
        <v>5</v>
      </c>
      <c r="K824" s="1">
        <v>66</v>
      </c>
      <c r="L824" s="5">
        <f ca="1">K824-(ROUNDDOWN((($G$1-C824)/365),1))</f>
        <v>61.5</v>
      </c>
    </row>
    <row r="825" spans="1:12" x14ac:dyDescent="0.25">
      <c r="A825" s="2">
        <f ca="1">RANK(L825,$L$722:$L$861,0)</f>
        <v>104</v>
      </c>
      <c r="B825" s="1" t="s">
        <v>147</v>
      </c>
      <c r="C825" s="18">
        <v>44423</v>
      </c>
      <c r="D825" s="1" t="s">
        <v>72</v>
      </c>
      <c r="E825" s="1" t="s">
        <v>17</v>
      </c>
      <c r="F825" s="1">
        <v>28</v>
      </c>
      <c r="G825" s="1">
        <v>14</v>
      </c>
      <c r="H825" s="1">
        <v>7</v>
      </c>
      <c r="I825" s="1">
        <v>12</v>
      </c>
      <c r="J825" s="1">
        <v>5</v>
      </c>
      <c r="K825" s="1">
        <v>66</v>
      </c>
      <c r="L825" s="5">
        <f ca="1">K825-(ROUNDDOWN((($G$1-C825)/365),1))</f>
        <v>60.9</v>
      </c>
    </row>
    <row r="826" spans="1:12" x14ac:dyDescent="0.25">
      <c r="A826" s="2">
        <f ca="1">RANK(L826,$L$722:$L$861,0)</f>
        <v>105</v>
      </c>
      <c r="B826" s="1" t="s">
        <v>83</v>
      </c>
      <c r="C826" s="18">
        <v>44577</v>
      </c>
      <c r="D826" s="1" t="s">
        <v>68</v>
      </c>
      <c r="E826" s="1" t="s">
        <v>17</v>
      </c>
      <c r="F826" s="1">
        <v>24</v>
      </c>
      <c r="G826" s="1">
        <v>14</v>
      </c>
      <c r="H826" s="1">
        <v>6</v>
      </c>
      <c r="I826" s="1">
        <v>14</v>
      </c>
      <c r="J826" s="1">
        <v>7</v>
      </c>
      <c r="K826" s="1">
        <v>65</v>
      </c>
      <c r="L826" s="5">
        <f ca="1">K826-(ROUNDDOWN((($G$1-C826)/365),1))</f>
        <v>60.3</v>
      </c>
    </row>
    <row r="827" spans="1:12" x14ac:dyDescent="0.25">
      <c r="A827" s="2">
        <f ca="1">RANK(L827,$L$722:$L$861,0)</f>
        <v>106</v>
      </c>
      <c r="B827" s="1" t="s">
        <v>393</v>
      </c>
      <c r="C827" s="18">
        <v>45641</v>
      </c>
      <c r="D827" s="1" t="s">
        <v>236</v>
      </c>
      <c r="E827" s="1" t="s">
        <v>17</v>
      </c>
      <c r="F827" s="1">
        <v>26</v>
      </c>
      <c r="G827" s="1">
        <v>16</v>
      </c>
      <c r="H827" s="1">
        <v>5</v>
      </c>
      <c r="I827" s="1">
        <v>12</v>
      </c>
      <c r="J827" s="1">
        <v>3</v>
      </c>
      <c r="K827" s="1">
        <v>62</v>
      </c>
      <c r="L827" s="5">
        <f ca="1">K827-(ROUNDDOWN((($G$1-C827)/365),1))</f>
        <v>60.2</v>
      </c>
    </row>
    <row r="828" spans="1:12" x14ac:dyDescent="0.25">
      <c r="A828" s="2">
        <f ca="1">RANK(L828,$L$722:$L$861,0)</f>
        <v>107</v>
      </c>
      <c r="B828" s="1" t="s">
        <v>251</v>
      </c>
      <c r="C828" s="18">
        <v>44871</v>
      </c>
      <c r="D828" s="1" t="s">
        <v>236</v>
      </c>
      <c r="E828" s="1" t="s">
        <v>17</v>
      </c>
      <c r="F828" s="1">
        <v>25</v>
      </c>
      <c r="G828" s="1">
        <v>16</v>
      </c>
      <c r="H828" s="1">
        <v>4</v>
      </c>
      <c r="I828" s="1">
        <v>14</v>
      </c>
      <c r="J828" s="1">
        <v>5</v>
      </c>
      <c r="K828" s="1">
        <v>64</v>
      </c>
      <c r="L828" s="5">
        <f ca="1">K828-(ROUNDDOWN((($G$1-C828)/365),1))</f>
        <v>60.1</v>
      </c>
    </row>
    <row r="829" spans="1:12" x14ac:dyDescent="0.25">
      <c r="A829" s="2">
        <f ca="1">RANK(L829,$L$722:$L$861,0)</f>
        <v>108</v>
      </c>
      <c r="B829" s="1" t="s">
        <v>216</v>
      </c>
      <c r="C829" s="18">
        <v>44717</v>
      </c>
      <c r="D829" s="1" t="s">
        <v>184</v>
      </c>
      <c r="E829" s="1" t="s">
        <v>17</v>
      </c>
      <c r="F829" s="1">
        <v>26</v>
      </c>
      <c r="G829" s="1">
        <v>15</v>
      </c>
      <c r="H829" s="1">
        <v>5</v>
      </c>
      <c r="I829" s="1">
        <v>12</v>
      </c>
      <c r="J829" s="1">
        <v>6</v>
      </c>
      <c r="K829" s="1">
        <v>64</v>
      </c>
      <c r="L829" s="5">
        <f ca="1">K829-(ROUNDDOWN((($G$1-C829)/365),1))</f>
        <v>59.7</v>
      </c>
    </row>
    <row r="830" spans="1:12" x14ac:dyDescent="0.25">
      <c r="A830" s="2">
        <f ca="1">RANK(L830,$L$722:$L$861,0)</f>
        <v>109</v>
      </c>
      <c r="B830" s="1" t="s">
        <v>120</v>
      </c>
      <c r="C830" s="18">
        <v>44311</v>
      </c>
      <c r="D830" s="1" t="s">
        <v>69</v>
      </c>
      <c r="E830" s="1" t="s">
        <v>17</v>
      </c>
      <c r="F830" s="1">
        <v>26</v>
      </c>
      <c r="G830" s="1">
        <v>14</v>
      </c>
      <c r="H830" s="1">
        <v>6</v>
      </c>
      <c r="I830" s="1">
        <v>13</v>
      </c>
      <c r="J830" s="1">
        <v>6</v>
      </c>
      <c r="K830" s="1">
        <v>65</v>
      </c>
      <c r="L830" s="5">
        <f ca="1">K830-(ROUNDDOWN((($G$1-C830)/365),1))</f>
        <v>59.6</v>
      </c>
    </row>
    <row r="831" spans="1:12" x14ac:dyDescent="0.25">
      <c r="A831" s="2">
        <f ca="1">RANK(L831,$L$722:$L$861,0)</f>
        <v>110</v>
      </c>
      <c r="B831" s="1" t="s">
        <v>110</v>
      </c>
      <c r="C831" s="18">
        <v>44276</v>
      </c>
      <c r="D831" s="1" t="s">
        <v>74</v>
      </c>
      <c r="E831" s="1" t="s">
        <v>17</v>
      </c>
      <c r="F831" s="1">
        <v>23</v>
      </c>
      <c r="G831" s="1">
        <v>19</v>
      </c>
      <c r="H831" s="1">
        <v>4</v>
      </c>
      <c r="I831" s="1">
        <v>13</v>
      </c>
      <c r="J831" s="1">
        <v>6</v>
      </c>
      <c r="K831" s="1">
        <v>65</v>
      </c>
      <c r="L831" s="5">
        <f ca="1">K831-(ROUNDDOWN((($G$1-C831)/365),1))</f>
        <v>59.5</v>
      </c>
    </row>
    <row r="832" spans="1:12" x14ac:dyDescent="0.25">
      <c r="A832" s="2">
        <f ca="1">RANK(L832,$L$722:$L$861,0)</f>
        <v>111</v>
      </c>
      <c r="B832" s="29" t="s">
        <v>172</v>
      </c>
      <c r="C832" s="18">
        <v>44500</v>
      </c>
      <c r="D832" s="1" t="s">
        <v>68</v>
      </c>
      <c r="E832" s="1" t="s">
        <v>17</v>
      </c>
      <c r="F832" s="1">
        <v>25</v>
      </c>
      <c r="G832" s="1">
        <v>15</v>
      </c>
      <c r="H832" s="1">
        <v>4</v>
      </c>
      <c r="I832" s="1">
        <v>14</v>
      </c>
      <c r="J832" s="1">
        <v>6</v>
      </c>
      <c r="K832" s="1">
        <v>64</v>
      </c>
      <c r="L832" s="5">
        <f ca="1">K832-(ROUNDDOWN((($G$1-C832)/365),1))</f>
        <v>59.1</v>
      </c>
    </row>
    <row r="833" spans="1:12" x14ac:dyDescent="0.25">
      <c r="A833" s="2">
        <f ca="1">RANK(L833,$L$722:$L$861,0)</f>
        <v>112</v>
      </c>
      <c r="B833" s="1" t="s">
        <v>143</v>
      </c>
      <c r="C833" s="18">
        <v>44423</v>
      </c>
      <c r="D833" s="1" t="s">
        <v>68</v>
      </c>
      <c r="E833" s="1" t="s">
        <v>17</v>
      </c>
      <c r="F833" s="1">
        <v>25</v>
      </c>
      <c r="G833" s="1">
        <v>16</v>
      </c>
      <c r="H833" s="1">
        <v>5</v>
      </c>
      <c r="I833" s="1">
        <v>13</v>
      </c>
      <c r="J833" s="1">
        <v>5</v>
      </c>
      <c r="K833" s="1">
        <v>64</v>
      </c>
      <c r="L833" s="5">
        <f ca="1">K833-(ROUNDDOWN((($G$1-C833)/365),1))</f>
        <v>58.9</v>
      </c>
    </row>
    <row r="834" spans="1:12" x14ac:dyDescent="0.25">
      <c r="A834" s="2">
        <f ca="1">RANK(L834,$L$722:$L$861,0)</f>
        <v>112</v>
      </c>
      <c r="B834" s="29" t="s">
        <v>16</v>
      </c>
      <c r="C834" s="18">
        <v>44409</v>
      </c>
      <c r="D834" s="1" t="s">
        <v>69</v>
      </c>
      <c r="E834" s="1" t="s">
        <v>17</v>
      </c>
      <c r="F834" s="1">
        <v>27</v>
      </c>
      <c r="G834" s="1">
        <v>17</v>
      </c>
      <c r="H834" s="1">
        <v>5</v>
      </c>
      <c r="I834" s="1">
        <v>9</v>
      </c>
      <c r="J834" s="1">
        <v>6</v>
      </c>
      <c r="K834" s="1">
        <v>64</v>
      </c>
      <c r="L834" s="5">
        <f ca="1">K834-(ROUNDDOWN((($G$1-C834)/365),1))</f>
        <v>58.9</v>
      </c>
    </row>
    <row r="835" spans="1:12" x14ac:dyDescent="0.25">
      <c r="A835" s="2">
        <f ca="1">RANK(L835,$L$722:$L$861,0)</f>
        <v>114</v>
      </c>
      <c r="B835" s="1" t="s">
        <v>102</v>
      </c>
      <c r="C835" s="18">
        <v>44703</v>
      </c>
      <c r="D835" s="1" t="s">
        <v>69</v>
      </c>
      <c r="E835" s="1" t="s">
        <v>17</v>
      </c>
      <c r="F835" s="1">
        <v>27</v>
      </c>
      <c r="G835" s="1">
        <v>14</v>
      </c>
      <c r="H835" s="1">
        <v>5</v>
      </c>
      <c r="I835" s="1">
        <v>11</v>
      </c>
      <c r="J835" s="1">
        <v>6</v>
      </c>
      <c r="K835" s="1">
        <v>63</v>
      </c>
      <c r="L835" s="5">
        <f ca="1">K835-(ROUNDDOWN((($G$1-C835)/365),1))</f>
        <v>58.7</v>
      </c>
    </row>
    <row r="836" spans="1:12" x14ac:dyDescent="0.25">
      <c r="A836" s="2">
        <f ca="1">RANK(L836,$L$722:$L$861,0)</f>
        <v>115</v>
      </c>
      <c r="B836" s="1" t="s">
        <v>404</v>
      </c>
      <c r="C836" s="18">
        <v>45676</v>
      </c>
      <c r="D836" s="1" t="s">
        <v>149</v>
      </c>
      <c r="E836" s="1" t="s">
        <v>17</v>
      </c>
      <c r="F836" s="1">
        <v>24</v>
      </c>
      <c r="G836" s="1">
        <v>16</v>
      </c>
      <c r="H836" s="1">
        <v>4</v>
      </c>
      <c r="I836" s="1">
        <v>11</v>
      </c>
      <c r="J836" s="1">
        <v>5</v>
      </c>
      <c r="K836" s="1">
        <v>60</v>
      </c>
      <c r="L836" s="5">
        <f ca="1">K836-(ROUNDDOWN((($G$1-C836)/365),1))</f>
        <v>58.3</v>
      </c>
    </row>
    <row r="837" spans="1:12" x14ac:dyDescent="0.25">
      <c r="A837" s="2">
        <f ca="1">RANK(L837,$L$722:$L$861,0)</f>
        <v>115</v>
      </c>
      <c r="B837" s="1" t="s">
        <v>326</v>
      </c>
      <c r="C837" s="18">
        <v>45305</v>
      </c>
      <c r="D837" s="1" t="s">
        <v>308</v>
      </c>
      <c r="E837" s="1" t="s">
        <v>17</v>
      </c>
      <c r="F837" s="1">
        <v>26</v>
      </c>
      <c r="G837" s="1">
        <v>16</v>
      </c>
      <c r="H837" s="1">
        <v>4</v>
      </c>
      <c r="I837" s="1">
        <v>10</v>
      </c>
      <c r="J837" s="1">
        <v>5</v>
      </c>
      <c r="K837" s="1">
        <v>61</v>
      </c>
      <c r="L837" s="5">
        <f ca="1">K837-(ROUNDDOWN((($G$1-C837)/365),1))</f>
        <v>58.3</v>
      </c>
    </row>
    <row r="838" spans="1:12" x14ac:dyDescent="0.25">
      <c r="A838" s="2">
        <f ca="1">RANK(L838,$L$722:$L$861,0)</f>
        <v>115</v>
      </c>
      <c r="B838" s="1" t="s">
        <v>323</v>
      </c>
      <c r="C838" s="18">
        <v>45291</v>
      </c>
      <c r="D838" s="1" t="s">
        <v>266</v>
      </c>
      <c r="E838" s="1" t="s">
        <v>17</v>
      </c>
      <c r="F838" s="1">
        <v>26</v>
      </c>
      <c r="G838" s="1">
        <v>17</v>
      </c>
      <c r="H838" s="1">
        <v>4</v>
      </c>
      <c r="I838" s="1">
        <v>10</v>
      </c>
      <c r="J838" s="1">
        <v>4</v>
      </c>
      <c r="K838" s="1">
        <v>61</v>
      </c>
      <c r="L838" s="5">
        <f ca="1">K838-(ROUNDDOWN((($G$1-C838)/365),1))</f>
        <v>58.3</v>
      </c>
    </row>
    <row r="839" spans="1:12" x14ac:dyDescent="0.25">
      <c r="A839" s="2">
        <f ca="1">RANK(L839,$L$722:$L$861,0)</f>
        <v>118</v>
      </c>
      <c r="B839" s="1" t="s">
        <v>127</v>
      </c>
      <c r="C839" s="18">
        <v>44344</v>
      </c>
      <c r="D839" s="1" t="s">
        <v>69</v>
      </c>
      <c r="E839" s="1" t="s">
        <v>17</v>
      </c>
      <c r="F839" s="1">
        <v>26</v>
      </c>
      <c r="G839" s="1">
        <v>19</v>
      </c>
      <c r="H839" s="1">
        <v>3</v>
      </c>
      <c r="I839" s="1">
        <v>10</v>
      </c>
      <c r="J839" s="1">
        <v>5</v>
      </c>
      <c r="K839" s="1">
        <v>63</v>
      </c>
      <c r="L839" s="5">
        <f ca="1">K839-(ROUNDDOWN((($G$1-C839)/365),1))</f>
        <v>57.7</v>
      </c>
    </row>
    <row r="840" spans="1:12" x14ac:dyDescent="0.25">
      <c r="A840" s="2">
        <f ca="1">RANK(L840,$L$722:$L$861,0)</f>
        <v>119</v>
      </c>
      <c r="B840" s="1" t="s">
        <v>322</v>
      </c>
      <c r="C840" s="18">
        <v>45291</v>
      </c>
      <c r="D840" s="1" t="s">
        <v>71</v>
      </c>
      <c r="E840" s="1" t="s">
        <v>17</v>
      </c>
      <c r="F840" s="1">
        <v>25</v>
      </c>
      <c r="G840" s="1">
        <v>15</v>
      </c>
      <c r="H840" s="1">
        <v>4</v>
      </c>
      <c r="I840" s="1">
        <v>11</v>
      </c>
      <c r="J840" s="1">
        <v>5</v>
      </c>
      <c r="K840" s="1">
        <v>60</v>
      </c>
      <c r="L840" s="5">
        <f ca="1">K840-(ROUNDDOWN((($G$1-C840)/365),1))</f>
        <v>57.3</v>
      </c>
    </row>
    <row r="841" spans="1:12" x14ac:dyDescent="0.25">
      <c r="A841" s="2">
        <f ca="1">RANK(L841,$L$722:$L$861,0)</f>
        <v>120</v>
      </c>
      <c r="B841" s="29" t="s">
        <v>176</v>
      </c>
      <c r="C841" s="18">
        <v>44514</v>
      </c>
      <c r="D841" s="1" t="s">
        <v>71</v>
      </c>
      <c r="E841" s="1" t="s">
        <v>17</v>
      </c>
      <c r="F841" s="1">
        <v>24</v>
      </c>
      <c r="G841" s="1">
        <v>11</v>
      </c>
      <c r="H841" s="1">
        <v>4</v>
      </c>
      <c r="I841" s="1">
        <v>16</v>
      </c>
      <c r="J841" s="1">
        <v>7</v>
      </c>
      <c r="K841" s="1">
        <v>62</v>
      </c>
      <c r="L841" s="5">
        <f ca="1">K841-(ROUNDDOWN((($G$1-C841)/365),1))</f>
        <v>57.2</v>
      </c>
    </row>
    <row r="842" spans="1:12" x14ac:dyDescent="0.25">
      <c r="A842" s="2">
        <f ca="1">RANK(L842,$L$722:$L$861,0)</f>
        <v>121</v>
      </c>
      <c r="B842" s="1" t="s">
        <v>367</v>
      </c>
      <c r="C842" s="18">
        <v>45543</v>
      </c>
      <c r="D842" s="1" t="s">
        <v>368</v>
      </c>
      <c r="E842" s="1" t="s">
        <v>17</v>
      </c>
      <c r="F842" s="1">
        <v>26</v>
      </c>
      <c r="G842" s="1">
        <v>14</v>
      </c>
      <c r="H842" s="1">
        <v>5</v>
      </c>
      <c r="I842" s="1">
        <v>10</v>
      </c>
      <c r="J842" s="1">
        <v>4</v>
      </c>
      <c r="K842" s="1">
        <v>59</v>
      </c>
      <c r="L842" s="5">
        <f ca="1">K842-(ROUNDDOWN((($G$1-C842)/365),1))</f>
        <v>57</v>
      </c>
    </row>
    <row r="843" spans="1:12" x14ac:dyDescent="0.25">
      <c r="A843" s="2">
        <f ca="1">RANK(L843,$L$722:$L$861,0)</f>
        <v>122</v>
      </c>
      <c r="B843" s="29" t="s">
        <v>354</v>
      </c>
      <c r="C843" s="18">
        <v>44269</v>
      </c>
      <c r="D843" s="1" t="s">
        <v>67</v>
      </c>
      <c r="E843" s="1" t="s">
        <v>17</v>
      </c>
      <c r="F843" s="1">
        <v>21</v>
      </c>
      <c r="G843" s="1">
        <v>14</v>
      </c>
      <c r="H843" s="1">
        <v>4</v>
      </c>
      <c r="I843" s="1">
        <v>18</v>
      </c>
      <c r="J843" s="1">
        <v>5</v>
      </c>
      <c r="K843" s="1">
        <v>62</v>
      </c>
      <c r="L843" s="5">
        <f ca="1">K843-(ROUNDDOWN((($G$1-C843)/365),1))</f>
        <v>56.5</v>
      </c>
    </row>
    <row r="844" spans="1:12" x14ac:dyDescent="0.25">
      <c r="A844" s="2">
        <f ca="1">RANK(L844,$L$722:$L$861,0)</f>
        <v>123</v>
      </c>
      <c r="B844" s="29" t="s">
        <v>92</v>
      </c>
      <c r="C844" s="18">
        <v>44213</v>
      </c>
      <c r="D844" s="1" t="s">
        <v>68</v>
      </c>
      <c r="E844" s="1" t="s">
        <v>17</v>
      </c>
      <c r="F844" s="1">
        <v>26</v>
      </c>
      <c r="G844" s="1">
        <v>16</v>
      </c>
      <c r="H844" s="1">
        <v>4</v>
      </c>
      <c r="I844" s="1">
        <v>11</v>
      </c>
      <c r="J844" s="1">
        <v>5</v>
      </c>
      <c r="K844" s="1">
        <v>62</v>
      </c>
      <c r="L844" s="5">
        <f ca="1">K844-(ROUNDDOWN((($G$1-C844)/365),1))</f>
        <v>56.3</v>
      </c>
    </row>
    <row r="845" spans="1:12" x14ac:dyDescent="0.25">
      <c r="A845" s="2">
        <f ca="1">RANK(L845,$L$722:$L$861,0)</f>
        <v>124</v>
      </c>
      <c r="B845" s="1" t="s">
        <v>161</v>
      </c>
      <c r="C845" s="18">
        <v>44465</v>
      </c>
      <c r="D845" s="1" t="s">
        <v>68</v>
      </c>
      <c r="E845" s="1" t="s">
        <v>17</v>
      </c>
      <c r="F845" s="1">
        <v>23</v>
      </c>
      <c r="G845" s="1">
        <v>17</v>
      </c>
      <c r="H845" s="1">
        <v>4</v>
      </c>
      <c r="I845" s="1">
        <v>12</v>
      </c>
      <c r="J845" s="1">
        <v>5</v>
      </c>
      <c r="K845" s="1">
        <v>61</v>
      </c>
      <c r="L845" s="5">
        <f ca="1">K845-(ROUNDDOWN((($G$1-C845)/365),1))</f>
        <v>56</v>
      </c>
    </row>
    <row r="846" spans="1:12" x14ac:dyDescent="0.25">
      <c r="A846" s="2">
        <f ca="1">RANK(L846,$L$722:$L$861,0)</f>
        <v>125</v>
      </c>
      <c r="B846" s="1" t="s">
        <v>57</v>
      </c>
      <c r="C846" s="18">
        <v>45011</v>
      </c>
      <c r="D846" s="1" t="s">
        <v>68</v>
      </c>
      <c r="E846" s="1" t="s">
        <v>17</v>
      </c>
      <c r="F846" s="1">
        <v>24</v>
      </c>
      <c r="G846" s="1">
        <v>15</v>
      </c>
      <c r="H846" s="1">
        <v>4</v>
      </c>
      <c r="I846" s="1">
        <v>10</v>
      </c>
      <c r="J846" s="1">
        <v>6</v>
      </c>
      <c r="K846" s="1">
        <v>59</v>
      </c>
      <c r="L846" s="5">
        <f ca="1">K846-(ROUNDDOWN((($G$1-C846)/365),1))</f>
        <v>55.5</v>
      </c>
    </row>
    <row r="847" spans="1:12" x14ac:dyDescent="0.25">
      <c r="A847" s="2">
        <f ca="1">RANK(L847,$L$722:$L$861,0)</f>
        <v>126</v>
      </c>
      <c r="B847" s="1" t="s">
        <v>246</v>
      </c>
      <c r="C847" s="18">
        <v>44843</v>
      </c>
      <c r="D847" s="1" t="s">
        <v>67</v>
      </c>
      <c r="E847" s="1" t="s">
        <v>17</v>
      </c>
      <c r="F847" s="1">
        <v>24</v>
      </c>
      <c r="G847" s="1">
        <v>14</v>
      </c>
      <c r="H847" s="1">
        <v>5</v>
      </c>
      <c r="I847" s="1">
        <v>10</v>
      </c>
      <c r="J847" s="1">
        <v>6</v>
      </c>
      <c r="K847" s="1">
        <v>59</v>
      </c>
      <c r="L847" s="5">
        <f ca="1">K847-(ROUNDDOWN((($G$1-C847)/365),1))</f>
        <v>55.1</v>
      </c>
    </row>
    <row r="848" spans="1:12" x14ac:dyDescent="0.25">
      <c r="A848" s="2">
        <f ca="1">RANK(L848,$L$722:$L$861,0)</f>
        <v>127</v>
      </c>
      <c r="B848" s="29" t="s">
        <v>521</v>
      </c>
      <c r="C848" s="18">
        <v>46222</v>
      </c>
      <c r="D848" s="1" t="s">
        <v>67</v>
      </c>
      <c r="E848" s="1" t="s">
        <v>17</v>
      </c>
      <c r="F848" s="1">
        <v>25</v>
      </c>
      <c r="G848" s="1">
        <v>15</v>
      </c>
      <c r="H848" s="1">
        <v>3</v>
      </c>
      <c r="I848" s="1">
        <v>8</v>
      </c>
      <c r="J848" s="1">
        <v>4</v>
      </c>
      <c r="K848" s="1">
        <v>55</v>
      </c>
      <c r="L848" s="5">
        <f ca="1">K848-(ROUNDDOWN((($G$1-C848)/365),1))</f>
        <v>54.8</v>
      </c>
    </row>
    <row r="849" spans="1:24" x14ac:dyDescent="0.25">
      <c r="A849" s="2">
        <f ca="1">RANK(L849,$L$722:$L$861,0)</f>
        <v>128</v>
      </c>
      <c r="B849" s="1" t="s">
        <v>418</v>
      </c>
      <c r="C849" s="18">
        <v>45732</v>
      </c>
      <c r="D849" s="1" t="s">
        <v>72</v>
      </c>
      <c r="E849" s="1" t="s">
        <v>17</v>
      </c>
      <c r="F849" s="1">
        <v>25</v>
      </c>
      <c r="G849" s="1">
        <v>18</v>
      </c>
      <c r="H849" s="1">
        <v>1</v>
      </c>
      <c r="I849" s="1">
        <v>8</v>
      </c>
      <c r="J849" s="1">
        <v>4</v>
      </c>
      <c r="K849" s="1">
        <v>56</v>
      </c>
      <c r="L849" s="5">
        <f ca="1">K849-(ROUNDDOWN((($G$1-C849)/365),1))</f>
        <v>54.5</v>
      </c>
    </row>
    <row r="850" spans="1:24" x14ac:dyDescent="0.25">
      <c r="A850" s="2">
        <f ca="1">RANK(L850,$L$722:$L$861,0)</f>
        <v>128</v>
      </c>
      <c r="B850" s="1" t="s">
        <v>199</v>
      </c>
      <c r="C850" s="18">
        <v>44626</v>
      </c>
      <c r="D850" s="1" t="s">
        <v>69</v>
      </c>
      <c r="E850" s="1" t="s">
        <v>17</v>
      </c>
      <c r="F850" s="1">
        <v>24</v>
      </c>
      <c r="G850" s="1">
        <v>14</v>
      </c>
      <c r="H850" s="1">
        <v>5</v>
      </c>
      <c r="I850" s="1">
        <v>11</v>
      </c>
      <c r="J850" s="1">
        <v>5</v>
      </c>
      <c r="K850" s="1">
        <v>59</v>
      </c>
      <c r="L850" s="5">
        <f ca="1">K850-(ROUNDDOWN((($G$1-C850)/365),1))</f>
        <v>54.5</v>
      </c>
    </row>
    <row r="851" spans="1:24" x14ac:dyDescent="0.25">
      <c r="A851" s="2">
        <f ca="1">RANK(L851,$L$722:$L$861,0)</f>
        <v>130</v>
      </c>
      <c r="B851" s="1" t="s">
        <v>114</v>
      </c>
      <c r="C851" s="18">
        <v>44703</v>
      </c>
      <c r="D851" s="1" t="s">
        <v>72</v>
      </c>
      <c r="E851" s="1" t="s">
        <v>17</v>
      </c>
      <c r="F851" s="1">
        <v>23</v>
      </c>
      <c r="G851" s="1">
        <v>18</v>
      </c>
      <c r="H851" s="1">
        <v>4</v>
      </c>
      <c r="I851" s="1">
        <v>8</v>
      </c>
      <c r="J851" s="1">
        <v>5</v>
      </c>
      <c r="K851" s="1">
        <v>58</v>
      </c>
      <c r="L851" s="5">
        <f ca="1">K851-(ROUNDDOWN((($G$1-C851)/365),1))</f>
        <v>53.7</v>
      </c>
    </row>
    <row r="852" spans="1:24" x14ac:dyDescent="0.25">
      <c r="A852" s="2">
        <f ca="1">RANK(L852,$L$722:$L$861,0)</f>
        <v>131</v>
      </c>
      <c r="B852" s="1" t="s">
        <v>123</v>
      </c>
      <c r="C852" s="18">
        <v>45011</v>
      </c>
      <c r="D852" s="1" t="s">
        <v>69</v>
      </c>
      <c r="E852" s="1" t="s">
        <v>17</v>
      </c>
      <c r="F852" s="1">
        <v>25</v>
      </c>
      <c r="G852" s="1">
        <v>13</v>
      </c>
      <c r="H852" s="1">
        <v>4</v>
      </c>
      <c r="I852" s="1">
        <v>7</v>
      </c>
      <c r="J852" s="1">
        <v>8</v>
      </c>
      <c r="K852" s="1">
        <v>57</v>
      </c>
      <c r="L852" s="5">
        <f ca="1">K852-(ROUNDDOWN((($G$1-C852)/365),1))</f>
        <v>53.5</v>
      </c>
    </row>
    <row r="853" spans="1:24" x14ac:dyDescent="0.25">
      <c r="A853" s="2">
        <f ca="1">RANK(L853,$L$722:$L$861,0)</f>
        <v>132</v>
      </c>
      <c r="B853" s="1" t="s">
        <v>53</v>
      </c>
      <c r="C853" s="18">
        <v>44451</v>
      </c>
      <c r="D853" s="1" t="s">
        <v>69</v>
      </c>
      <c r="E853" s="1" t="s">
        <v>17</v>
      </c>
      <c r="F853" s="1">
        <v>23</v>
      </c>
      <c r="G853" s="1">
        <v>16</v>
      </c>
      <c r="H853" s="1">
        <v>3</v>
      </c>
      <c r="I853" s="1">
        <v>11</v>
      </c>
      <c r="J853" s="1">
        <v>5</v>
      </c>
      <c r="K853" s="1">
        <v>58</v>
      </c>
      <c r="L853" s="5">
        <f ca="1">K853-(ROUNDDOWN((($G$1-C853)/365),1))</f>
        <v>53</v>
      </c>
    </row>
    <row r="854" spans="1:24" x14ac:dyDescent="0.25">
      <c r="A854" s="2">
        <f ca="1">RANK(L854,$L$722:$L$861,0)</f>
        <v>133</v>
      </c>
      <c r="B854" s="1" t="s">
        <v>207</v>
      </c>
      <c r="C854" s="18">
        <v>45220</v>
      </c>
      <c r="D854" s="1" t="s">
        <v>308</v>
      </c>
      <c r="E854" s="1" t="s">
        <v>17</v>
      </c>
      <c r="F854" s="1">
        <v>23</v>
      </c>
      <c r="G854" s="1">
        <v>17</v>
      </c>
      <c r="H854" s="1">
        <v>1</v>
      </c>
      <c r="I854" s="1">
        <v>9</v>
      </c>
      <c r="J854" s="1">
        <v>5</v>
      </c>
      <c r="K854" s="1">
        <v>55</v>
      </c>
      <c r="L854" s="5">
        <f ca="1">K854-(ROUNDDOWN((($G$1-C854)/365),1))</f>
        <v>52.1</v>
      </c>
    </row>
    <row r="855" spans="1:24" x14ac:dyDescent="0.25">
      <c r="A855" s="2">
        <f ca="1">RANK(L855,$L$722:$L$861,0)</f>
        <v>134</v>
      </c>
      <c r="B855" s="29" t="s">
        <v>383</v>
      </c>
      <c r="C855" s="18">
        <v>45585</v>
      </c>
      <c r="D855" s="1" t="s">
        <v>66</v>
      </c>
      <c r="E855" s="1" t="s">
        <v>17</v>
      </c>
      <c r="F855" s="1">
        <v>21</v>
      </c>
      <c r="G855" s="1">
        <v>14</v>
      </c>
      <c r="H855" s="1">
        <v>2</v>
      </c>
      <c r="I855" s="1">
        <v>12</v>
      </c>
      <c r="J855" s="1">
        <v>4</v>
      </c>
      <c r="K855" s="1">
        <v>53</v>
      </c>
      <c r="L855" s="5">
        <f ca="1">K855-(ROUNDDOWN((($G$1-C855)/365),1))</f>
        <v>51.1</v>
      </c>
    </row>
    <row r="856" spans="1:24" x14ac:dyDescent="0.25">
      <c r="A856" s="2">
        <f ca="1">RANK(L856,$L$722:$L$861,0)</f>
        <v>135</v>
      </c>
      <c r="B856" s="1" t="s">
        <v>427</v>
      </c>
      <c r="C856" s="18">
        <v>45781</v>
      </c>
      <c r="D856" s="1" t="s">
        <v>74</v>
      </c>
      <c r="E856" s="1" t="s">
        <v>17</v>
      </c>
      <c r="F856" s="1">
        <v>18</v>
      </c>
      <c r="G856" s="1">
        <v>15</v>
      </c>
      <c r="H856" s="1">
        <v>3</v>
      </c>
      <c r="I856" s="1">
        <v>10</v>
      </c>
      <c r="J856" s="1">
        <v>5</v>
      </c>
      <c r="K856" s="1">
        <v>51</v>
      </c>
      <c r="L856" s="5">
        <f ca="1">K856-(ROUNDDOWN((($G$1-C856)/365),1))</f>
        <v>49.6</v>
      </c>
    </row>
    <row r="857" spans="1:24" x14ac:dyDescent="0.25">
      <c r="A857" s="2">
        <f ca="1">RANK(L857,$L$722:$L$861,0)</f>
        <v>136</v>
      </c>
      <c r="B857" s="29" t="s">
        <v>475</v>
      </c>
      <c r="C857" s="18">
        <v>45998</v>
      </c>
      <c r="D857" s="1" t="s">
        <v>75</v>
      </c>
      <c r="E857" s="1" t="s">
        <v>17</v>
      </c>
      <c r="F857" s="1">
        <v>19</v>
      </c>
      <c r="G857" s="1">
        <v>14</v>
      </c>
      <c r="H857" s="1">
        <v>3</v>
      </c>
      <c r="I857" s="1">
        <v>10</v>
      </c>
      <c r="J857" s="1">
        <v>4</v>
      </c>
      <c r="K857" s="1">
        <v>50</v>
      </c>
      <c r="L857" s="5">
        <f ca="1">K857-(ROUNDDOWN((($G$1-C857)/365),1))</f>
        <v>49.2</v>
      </c>
    </row>
    <row r="858" spans="1:24" x14ac:dyDescent="0.25">
      <c r="A858" s="2">
        <f ca="1">RANK(L858,$L$722:$L$861,0)</f>
        <v>137</v>
      </c>
      <c r="B858" s="1" t="s">
        <v>61</v>
      </c>
      <c r="C858" s="18">
        <v>44577</v>
      </c>
      <c r="D858" s="1" t="s">
        <v>75</v>
      </c>
      <c r="E858" s="1" t="s">
        <v>17</v>
      </c>
      <c r="F858" s="1">
        <v>19</v>
      </c>
      <c r="G858" s="1">
        <v>13</v>
      </c>
      <c r="H858" s="1">
        <v>3</v>
      </c>
      <c r="I858" s="1">
        <v>7</v>
      </c>
      <c r="J858" s="1">
        <v>4</v>
      </c>
      <c r="K858" s="1">
        <v>46</v>
      </c>
      <c r="L858" s="5">
        <f ca="1">K858-(ROUNDDOWN((($G$1-C858)/365),1))</f>
        <v>41.3</v>
      </c>
    </row>
    <row r="859" spans="1:24" x14ac:dyDescent="0.25">
      <c r="A859" s="2">
        <f ca="1">RANK(L859,$L$722:$L$861,0)</f>
        <v>138</v>
      </c>
      <c r="B859" s="1" t="s">
        <v>241</v>
      </c>
      <c r="C859" s="18">
        <v>44843</v>
      </c>
      <c r="D859" s="1" t="s">
        <v>73</v>
      </c>
      <c r="E859" s="1" t="s">
        <v>17</v>
      </c>
      <c r="F859" s="1">
        <v>16</v>
      </c>
      <c r="G859" s="1">
        <v>14</v>
      </c>
      <c r="H859" s="1">
        <v>4</v>
      </c>
      <c r="I859" s="1">
        <v>7</v>
      </c>
      <c r="J859" s="1">
        <v>4</v>
      </c>
      <c r="K859" s="1">
        <v>45</v>
      </c>
      <c r="L859" s="5">
        <f ca="1">K859-(ROUNDDOWN((($G$1-C859)/365),1))</f>
        <v>41.1</v>
      </c>
    </row>
    <row r="860" spans="1:24" x14ac:dyDescent="0.25">
      <c r="A860" s="2">
        <f ca="1">RANK(L860,$L$722:$L$861,0)</f>
        <v>139</v>
      </c>
      <c r="B860" s="1" t="s">
        <v>26</v>
      </c>
      <c r="C860" s="18">
        <v>44409</v>
      </c>
      <c r="D860" s="1" t="s">
        <v>69</v>
      </c>
      <c r="E860" s="1" t="s">
        <v>17</v>
      </c>
      <c r="F860" s="1">
        <v>15</v>
      </c>
      <c r="G860" s="1">
        <v>12</v>
      </c>
      <c r="H860" s="1">
        <v>4</v>
      </c>
      <c r="I860" s="1">
        <v>10</v>
      </c>
      <c r="J860" s="1">
        <v>4</v>
      </c>
      <c r="K860" s="1">
        <v>45</v>
      </c>
      <c r="L860" s="5">
        <f ca="1">K860-(ROUNDDOWN((($G$1-C860)/365),1))</f>
        <v>39.9</v>
      </c>
    </row>
    <row r="861" spans="1:24" x14ac:dyDescent="0.25">
      <c r="A861" s="2"/>
      <c r="L861" s="3"/>
    </row>
    <row r="862" spans="1:24" x14ac:dyDescent="0.25">
      <c r="A862" s="2" t="s">
        <v>27</v>
      </c>
      <c r="B862" s="1" t="s">
        <v>28</v>
      </c>
      <c r="D862" s="1" t="s">
        <v>29</v>
      </c>
      <c r="E862" s="1" t="s">
        <v>29</v>
      </c>
      <c r="F862" s="4">
        <f>AVERAGE(F722:F861)</f>
        <v>26.870503597122301</v>
      </c>
      <c r="G862" s="4">
        <f t="shared" ref="G862:L862" si="9">AVERAGE(G722:G861)</f>
        <v>17.949640287769785</v>
      </c>
      <c r="H862" s="4">
        <f t="shared" si="9"/>
        <v>5.2589928057553958</v>
      </c>
      <c r="I862" s="4">
        <f t="shared" si="9"/>
        <v>12.935251798561151</v>
      </c>
      <c r="J862" s="4">
        <f t="shared" si="9"/>
        <v>5.8776978417266186</v>
      </c>
      <c r="K862" s="4">
        <f t="shared" si="9"/>
        <v>68.892086330935257</v>
      </c>
      <c r="L862" s="5">
        <f t="shared" ca="1" si="9"/>
        <v>65.860431654676248</v>
      </c>
    </row>
    <row r="863" spans="1:24" x14ac:dyDescent="0.25">
      <c r="A863" s="39" t="s">
        <v>14</v>
      </c>
      <c r="B863" s="40"/>
      <c r="C863" s="40"/>
      <c r="D863" s="40"/>
      <c r="E863" s="40"/>
      <c r="F863" s="40"/>
      <c r="G863" s="40"/>
      <c r="H863" s="40"/>
      <c r="I863" s="40"/>
      <c r="J863" s="40"/>
      <c r="K863" s="40"/>
      <c r="L863" s="41"/>
    </row>
    <row r="864" spans="1:24" s="14" customFormat="1" ht="30" x14ac:dyDescent="0.25">
      <c r="A864" s="10" t="s">
        <v>1</v>
      </c>
      <c r="B864" s="11" t="s">
        <v>0</v>
      </c>
      <c r="C864" s="11" t="s">
        <v>359</v>
      </c>
      <c r="D864" s="11" t="s">
        <v>65</v>
      </c>
      <c r="E864" s="11" t="s">
        <v>2</v>
      </c>
      <c r="F864" s="11" t="s">
        <v>3</v>
      </c>
      <c r="G864" s="11" t="s">
        <v>4</v>
      </c>
      <c r="H864" s="11" t="s">
        <v>5</v>
      </c>
      <c r="I864" s="11" t="s">
        <v>6</v>
      </c>
      <c r="J864" s="11" t="s">
        <v>7</v>
      </c>
      <c r="K864" s="21" t="s">
        <v>361</v>
      </c>
      <c r="L864" s="22" t="s">
        <v>360</v>
      </c>
      <c r="M864" s="11"/>
      <c r="O864" s="1"/>
      <c r="P864" s="1"/>
      <c r="Q864" s="1"/>
      <c r="R864" s="1"/>
      <c r="S864" s="1"/>
      <c r="T864" s="1"/>
      <c r="U864" s="1"/>
      <c r="V864" s="1"/>
      <c r="W864" s="4"/>
      <c r="X864"/>
    </row>
    <row r="865" spans="1:24" x14ac:dyDescent="0.25">
      <c r="A865" s="2">
        <f t="shared" ref="A865:A892" ca="1" si="10">RANK(L865,$L$865:$L$893,0)</f>
        <v>1</v>
      </c>
      <c r="B865" s="29" t="s">
        <v>280</v>
      </c>
      <c r="C865" s="18">
        <v>45220</v>
      </c>
      <c r="D865" s="1" t="s">
        <v>307</v>
      </c>
      <c r="E865" s="1" t="s">
        <v>33</v>
      </c>
      <c r="F865" s="1">
        <v>33</v>
      </c>
      <c r="G865" s="1">
        <v>18</v>
      </c>
      <c r="H865" s="1">
        <v>9</v>
      </c>
      <c r="I865" s="1">
        <v>15</v>
      </c>
      <c r="J865" s="1">
        <v>8</v>
      </c>
      <c r="K865" s="1">
        <v>83</v>
      </c>
      <c r="L865" s="5">
        <f t="shared" ref="L865:L892" ca="1" si="11">K865-(ROUNDDOWN((($G$1-C865)/365),1))</f>
        <v>80.099999999999994</v>
      </c>
    </row>
    <row r="866" spans="1:24" x14ac:dyDescent="0.25">
      <c r="A866" s="2">
        <f t="shared" ca="1" si="10"/>
        <v>3</v>
      </c>
      <c r="B866" s="1" t="s">
        <v>278</v>
      </c>
      <c r="C866" s="18">
        <v>45039</v>
      </c>
      <c r="D866" s="1" t="s">
        <v>73</v>
      </c>
      <c r="E866" s="1" t="s">
        <v>33</v>
      </c>
      <c r="F866" s="1">
        <v>31</v>
      </c>
      <c r="G866" s="1">
        <v>23</v>
      </c>
      <c r="H866" s="1">
        <v>8</v>
      </c>
      <c r="I866" s="1">
        <v>11</v>
      </c>
      <c r="J866" s="1">
        <v>8</v>
      </c>
      <c r="K866" s="1">
        <v>81</v>
      </c>
      <c r="L866" s="5">
        <f t="shared" ca="1" si="11"/>
        <v>77.599999999999994</v>
      </c>
    </row>
    <row r="867" spans="1:24" x14ac:dyDescent="0.25">
      <c r="A867" s="2">
        <f t="shared" ca="1" si="10"/>
        <v>2</v>
      </c>
      <c r="B867" s="29" t="s">
        <v>513</v>
      </c>
      <c r="C867" s="18">
        <v>46159</v>
      </c>
      <c r="D867" s="1" t="s">
        <v>483</v>
      </c>
      <c r="E867" s="1" t="s">
        <v>33</v>
      </c>
      <c r="F867" s="1">
        <v>33</v>
      </c>
      <c r="G867" s="1">
        <v>17</v>
      </c>
      <c r="H867" s="1">
        <v>9</v>
      </c>
      <c r="I867" s="1">
        <v>14</v>
      </c>
      <c r="J867" s="1">
        <v>5</v>
      </c>
      <c r="K867" s="1">
        <v>78</v>
      </c>
      <c r="L867" s="5">
        <f t="shared" ca="1" si="11"/>
        <v>77.7</v>
      </c>
    </row>
    <row r="868" spans="1:24" x14ac:dyDescent="0.25">
      <c r="A868" s="2">
        <f t="shared" ca="1" si="10"/>
        <v>4</v>
      </c>
      <c r="B868" s="29" t="s">
        <v>496</v>
      </c>
      <c r="C868" s="18">
        <v>46096</v>
      </c>
      <c r="D868" s="1" t="s">
        <v>497</v>
      </c>
      <c r="E868" s="1" t="s">
        <v>33</v>
      </c>
      <c r="F868" s="1">
        <v>32</v>
      </c>
      <c r="G868" s="1">
        <v>17</v>
      </c>
      <c r="H868" s="1">
        <v>9</v>
      </c>
      <c r="I868" s="1">
        <v>15</v>
      </c>
      <c r="J868" s="1">
        <v>5</v>
      </c>
      <c r="K868" s="1">
        <v>78</v>
      </c>
      <c r="L868" s="5">
        <f t="shared" ca="1" si="11"/>
        <v>77.5</v>
      </c>
    </row>
    <row r="869" spans="1:24" x14ac:dyDescent="0.25">
      <c r="A869" s="2">
        <f t="shared" ca="1" si="10"/>
        <v>5</v>
      </c>
      <c r="B869" s="1" t="s">
        <v>88</v>
      </c>
      <c r="C869" s="18">
        <v>44577</v>
      </c>
      <c r="D869" s="1" t="s">
        <v>66</v>
      </c>
      <c r="E869" s="1" t="s">
        <v>33</v>
      </c>
      <c r="F869" s="1">
        <v>28</v>
      </c>
      <c r="G869" s="1">
        <v>23</v>
      </c>
      <c r="H869" s="1">
        <v>8</v>
      </c>
      <c r="I869" s="1">
        <v>15</v>
      </c>
      <c r="J869" s="1">
        <v>8</v>
      </c>
      <c r="K869" s="1">
        <v>82</v>
      </c>
      <c r="L869" s="5">
        <f t="shared" ca="1" si="11"/>
        <v>77.3</v>
      </c>
    </row>
    <row r="870" spans="1:24" x14ac:dyDescent="0.25">
      <c r="A870" s="2">
        <f t="shared" ca="1" si="10"/>
        <v>6</v>
      </c>
      <c r="B870" s="1" t="s">
        <v>303</v>
      </c>
      <c r="C870" s="18">
        <v>45207</v>
      </c>
      <c r="D870" s="1" t="s">
        <v>149</v>
      </c>
      <c r="E870" s="1" t="s">
        <v>33</v>
      </c>
      <c r="F870" s="1">
        <v>30</v>
      </c>
      <c r="G870" s="1">
        <v>23</v>
      </c>
      <c r="H870" s="1">
        <v>7</v>
      </c>
      <c r="I870" s="1">
        <v>14</v>
      </c>
      <c r="J870" s="1">
        <v>6</v>
      </c>
      <c r="K870" s="1">
        <v>80</v>
      </c>
      <c r="L870" s="5">
        <f t="shared" ca="1" si="11"/>
        <v>77.099999999999994</v>
      </c>
    </row>
    <row r="871" spans="1:24" x14ac:dyDescent="0.25">
      <c r="A871" s="2">
        <f t="shared" ca="1" si="10"/>
        <v>7</v>
      </c>
      <c r="B871" s="29" t="s">
        <v>238</v>
      </c>
      <c r="C871" s="18">
        <v>44822</v>
      </c>
      <c r="D871" s="1" t="s">
        <v>71</v>
      </c>
      <c r="E871" s="1" t="s">
        <v>33</v>
      </c>
      <c r="F871" s="1">
        <v>28</v>
      </c>
      <c r="G871" s="1">
        <v>23</v>
      </c>
      <c r="H871" s="1">
        <v>8</v>
      </c>
      <c r="I871" s="1">
        <v>15</v>
      </c>
      <c r="J871" s="1">
        <v>6</v>
      </c>
      <c r="K871" s="1">
        <v>80</v>
      </c>
      <c r="L871" s="5">
        <f t="shared" ca="1" si="11"/>
        <v>76</v>
      </c>
    </row>
    <row r="872" spans="1:24" x14ac:dyDescent="0.25">
      <c r="A872" s="2">
        <f t="shared" ca="1" si="10"/>
        <v>8</v>
      </c>
      <c r="B872" s="1" t="s">
        <v>516</v>
      </c>
      <c r="C872" s="18">
        <v>46201</v>
      </c>
      <c r="D872" s="1" t="s">
        <v>497</v>
      </c>
      <c r="E872" s="1" t="s">
        <v>33</v>
      </c>
      <c r="F872" s="1">
        <v>31</v>
      </c>
      <c r="G872" s="1">
        <v>17</v>
      </c>
      <c r="H872" s="1">
        <v>8</v>
      </c>
      <c r="I872" s="1">
        <v>14</v>
      </c>
      <c r="J872" s="1">
        <v>6</v>
      </c>
      <c r="K872" s="1">
        <v>76</v>
      </c>
      <c r="L872" s="5">
        <f t="shared" ca="1" si="11"/>
        <v>75.8</v>
      </c>
    </row>
    <row r="873" spans="1:24" x14ac:dyDescent="0.25">
      <c r="A873" s="2">
        <f t="shared" ca="1" si="10"/>
        <v>9</v>
      </c>
      <c r="B873" s="1" t="s">
        <v>313</v>
      </c>
      <c r="C873" s="18">
        <v>45249</v>
      </c>
      <c r="D873" s="1" t="s">
        <v>74</v>
      </c>
      <c r="E873" s="1" t="s">
        <v>33</v>
      </c>
      <c r="F873" s="1">
        <v>29</v>
      </c>
      <c r="G873" s="1">
        <v>19</v>
      </c>
      <c r="H873" s="1">
        <v>7</v>
      </c>
      <c r="I873" s="1">
        <v>16</v>
      </c>
      <c r="J873" s="1">
        <v>7</v>
      </c>
      <c r="K873" s="1">
        <v>78</v>
      </c>
      <c r="L873" s="5">
        <f t="shared" ca="1" si="11"/>
        <v>75.2</v>
      </c>
      <c r="O873" s="14"/>
      <c r="P873" s="14"/>
      <c r="Q873" s="14"/>
      <c r="R873" s="14"/>
      <c r="S873" s="14"/>
      <c r="T873" s="14"/>
      <c r="U873" s="14"/>
      <c r="V873" s="14"/>
      <c r="W873" s="14"/>
      <c r="X873" s="14"/>
    </row>
    <row r="874" spans="1:24" x14ac:dyDescent="0.25">
      <c r="A874" s="2">
        <f t="shared" ca="1" si="10"/>
        <v>9</v>
      </c>
      <c r="B874" s="29" t="s">
        <v>252</v>
      </c>
      <c r="C874" s="18">
        <v>44878</v>
      </c>
      <c r="D874" s="1" t="s">
        <v>69</v>
      </c>
      <c r="E874" s="1" t="s">
        <v>33</v>
      </c>
      <c r="F874" s="1">
        <v>28</v>
      </c>
      <c r="G874" s="1">
        <v>19</v>
      </c>
      <c r="H874" s="1">
        <v>8</v>
      </c>
      <c r="I874" s="1">
        <v>15</v>
      </c>
      <c r="J874" s="1">
        <v>9</v>
      </c>
      <c r="K874" s="1">
        <v>79</v>
      </c>
      <c r="L874" s="5">
        <f t="shared" ca="1" si="11"/>
        <v>75.2</v>
      </c>
    </row>
    <row r="875" spans="1:24" x14ac:dyDescent="0.25">
      <c r="A875" s="2">
        <f t="shared" ca="1" si="10"/>
        <v>11</v>
      </c>
      <c r="B875" s="1" t="s">
        <v>228</v>
      </c>
      <c r="C875" s="18">
        <v>44773</v>
      </c>
      <c r="D875" s="1" t="s">
        <v>68</v>
      </c>
      <c r="E875" s="1" t="s">
        <v>33</v>
      </c>
      <c r="F875" s="1">
        <v>29</v>
      </c>
      <c r="G875" s="1">
        <v>21</v>
      </c>
      <c r="H875" s="1">
        <v>7</v>
      </c>
      <c r="I875" s="1">
        <v>15</v>
      </c>
      <c r="J875" s="1">
        <v>7</v>
      </c>
      <c r="K875" s="1">
        <v>79</v>
      </c>
      <c r="L875" s="5">
        <f t="shared" ca="1" si="11"/>
        <v>74.900000000000006</v>
      </c>
    </row>
    <row r="876" spans="1:24" x14ac:dyDescent="0.25">
      <c r="A876" s="2">
        <f t="shared" ca="1" si="10"/>
        <v>12</v>
      </c>
      <c r="B876" s="1" t="s">
        <v>371</v>
      </c>
      <c r="C876" s="18">
        <v>45543</v>
      </c>
      <c r="D876" s="1" t="s">
        <v>66</v>
      </c>
      <c r="E876" s="1" t="s">
        <v>33</v>
      </c>
      <c r="F876" s="1">
        <v>28</v>
      </c>
      <c r="G876" s="1">
        <v>21</v>
      </c>
      <c r="H876" s="1">
        <v>6</v>
      </c>
      <c r="I876" s="1">
        <v>15</v>
      </c>
      <c r="J876" s="1">
        <v>6</v>
      </c>
      <c r="K876" s="1">
        <v>76</v>
      </c>
      <c r="L876" s="5">
        <f t="shared" ca="1" si="11"/>
        <v>74</v>
      </c>
    </row>
    <row r="877" spans="1:24" x14ac:dyDescent="0.25">
      <c r="A877" s="2">
        <f t="shared" ca="1" si="10"/>
        <v>13</v>
      </c>
      <c r="B877" s="1" t="s">
        <v>381</v>
      </c>
      <c r="C877" s="18">
        <v>45578</v>
      </c>
      <c r="D877" s="1" t="s">
        <v>154</v>
      </c>
      <c r="E877" s="1" t="s">
        <v>33</v>
      </c>
      <c r="F877" s="1">
        <v>29</v>
      </c>
      <c r="G877" s="1">
        <v>18</v>
      </c>
      <c r="H877" s="1">
        <v>6</v>
      </c>
      <c r="I877" s="1">
        <v>15</v>
      </c>
      <c r="J877" s="1">
        <v>7</v>
      </c>
      <c r="K877" s="1">
        <v>75</v>
      </c>
      <c r="L877" s="5">
        <f t="shared" ca="1" si="11"/>
        <v>73.099999999999994</v>
      </c>
    </row>
    <row r="878" spans="1:24" x14ac:dyDescent="0.25">
      <c r="A878" s="2">
        <f t="shared" ca="1" si="10"/>
        <v>14</v>
      </c>
      <c r="B878" s="1" t="s">
        <v>453</v>
      </c>
      <c r="C878" s="18">
        <v>45886</v>
      </c>
      <c r="D878" s="1" t="s">
        <v>309</v>
      </c>
      <c r="E878" s="1" t="s">
        <v>33</v>
      </c>
      <c r="F878" s="1">
        <v>30</v>
      </c>
      <c r="G878" s="1">
        <v>19</v>
      </c>
      <c r="H878" s="1">
        <v>6</v>
      </c>
      <c r="I878" s="1">
        <v>11</v>
      </c>
      <c r="J878" s="1">
        <v>6</v>
      </c>
      <c r="K878" s="1">
        <v>72</v>
      </c>
      <c r="L878" s="5">
        <f t="shared" ca="1" si="11"/>
        <v>70.900000000000006</v>
      </c>
    </row>
    <row r="879" spans="1:24" x14ac:dyDescent="0.25">
      <c r="A879" s="2">
        <f t="shared" ca="1" si="10"/>
        <v>15</v>
      </c>
      <c r="B879" s="29" t="s">
        <v>425</v>
      </c>
      <c r="C879" s="18">
        <v>45764</v>
      </c>
      <c r="D879" s="1" t="s">
        <v>67</v>
      </c>
      <c r="E879" s="1" t="s">
        <v>33</v>
      </c>
      <c r="F879" s="1">
        <v>28</v>
      </c>
      <c r="G879" s="1">
        <v>18</v>
      </c>
      <c r="H879" s="1">
        <v>6</v>
      </c>
      <c r="I879" s="1">
        <v>13</v>
      </c>
      <c r="J879" s="1">
        <v>7</v>
      </c>
      <c r="K879" s="1">
        <v>72</v>
      </c>
      <c r="L879" s="5">
        <f t="shared" ca="1" si="11"/>
        <v>70.599999999999994</v>
      </c>
    </row>
    <row r="880" spans="1:24" x14ac:dyDescent="0.25">
      <c r="A880" s="2">
        <f t="shared" ca="1" si="10"/>
        <v>16</v>
      </c>
      <c r="B880" s="1" t="s">
        <v>47</v>
      </c>
      <c r="C880" s="18">
        <v>44423</v>
      </c>
      <c r="D880" s="1" t="s">
        <v>69</v>
      </c>
      <c r="E880" s="1" t="s">
        <v>33</v>
      </c>
      <c r="F880" s="1">
        <v>29</v>
      </c>
      <c r="G880" s="1">
        <v>21</v>
      </c>
      <c r="H880" s="1">
        <v>7</v>
      </c>
      <c r="I880" s="1">
        <v>11</v>
      </c>
      <c r="J880" s="1">
        <v>7</v>
      </c>
      <c r="K880" s="1">
        <v>75</v>
      </c>
      <c r="L880" s="5">
        <f t="shared" ca="1" si="11"/>
        <v>69.900000000000006</v>
      </c>
    </row>
    <row r="881" spans="1:24" x14ac:dyDescent="0.25">
      <c r="A881" s="2">
        <f t="shared" ca="1" si="10"/>
        <v>17</v>
      </c>
      <c r="B881" s="1" t="s">
        <v>237</v>
      </c>
      <c r="C881" s="18">
        <v>44815</v>
      </c>
      <c r="D881" s="1" t="s">
        <v>236</v>
      </c>
      <c r="E881" s="1" t="s">
        <v>33</v>
      </c>
      <c r="F881" s="1">
        <v>27</v>
      </c>
      <c r="G881" s="1">
        <v>17</v>
      </c>
      <c r="H881" s="1">
        <v>7</v>
      </c>
      <c r="I881" s="1">
        <v>15</v>
      </c>
      <c r="J881" s="1">
        <v>7</v>
      </c>
      <c r="K881" s="1">
        <v>73</v>
      </c>
      <c r="L881" s="5">
        <f t="shared" ca="1" si="11"/>
        <v>69</v>
      </c>
    </row>
    <row r="882" spans="1:24" x14ac:dyDescent="0.25">
      <c r="A882" s="2">
        <f t="shared" ca="1" si="10"/>
        <v>18</v>
      </c>
      <c r="B882" s="1" t="s">
        <v>350</v>
      </c>
      <c r="C882" s="18">
        <v>45459</v>
      </c>
      <c r="D882" s="1" t="s">
        <v>66</v>
      </c>
      <c r="E882" s="1" t="s">
        <v>33</v>
      </c>
      <c r="F882" s="1">
        <v>29</v>
      </c>
      <c r="G882" s="1">
        <v>21</v>
      </c>
      <c r="H882" s="1">
        <v>7</v>
      </c>
      <c r="I882" s="1">
        <v>9</v>
      </c>
      <c r="J882" s="1">
        <v>5</v>
      </c>
      <c r="K882" s="1">
        <v>71</v>
      </c>
      <c r="L882" s="5">
        <f t="shared" ca="1" si="11"/>
        <v>68.7</v>
      </c>
    </row>
    <row r="883" spans="1:24" x14ac:dyDescent="0.25">
      <c r="A883" s="2">
        <f t="shared" ca="1" si="10"/>
        <v>19</v>
      </c>
      <c r="B883" s="1" t="s">
        <v>290</v>
      </c>
      <c r="C883" s="18">
        <v>45102</v>
      </c>
      <c r="D883" s="1" t="s">
        <v>68</v>
      </c>
      <c r="E883" s="1" t="s">
        <v>33</v>
      </c>
      <c r="F883" s="1">
        <v>29</v>
      </c>
      <c r="G883" s="1">
        <v>17</v>
      </c>
      <c r="H883" s="1">
        <v>6</v>
      </c>
      <c r="I883" s="1">
        <v>12</v>
      </c>
      <c r="J883" s="1">
        <v>7</v>
      </c>
      <c r="K883" s="1">
        <v>71</v>
      </c>
      <c r="L883" s="5">
        <f t="shared" ca="1" si="11"/>
        <v>67.8</v>
      </c>
    </row>
    <row r="884" spans="1:24" x14ac:dyDescent="0.25">
      <c r="A884" s="2">
        <f t="shared" ca="1" si="10"/>
        <v>20</v>
      </c>
      <c r="B884" s="1" t="s">
        <v>386</v>
      </c>
      <c r="C884" s="18">
        <v>45613</v>
      </c>
      <c r="D884" s="1" t="s">
        <v>307</v>
      </c>
      <c r="E884" s="1" t="s">
        <v>33</v>
      </c>
      <c r="F884" s="1">
        <v>28</v>
      </c>
      <c r="G884" s="1">
        <v>18</v>
      </c>
      <c r="H884" s="1">
        <v>7</v>
      </c>
      <c r="I884" s="1">
        <v>11</v>
      </c>
      <c r="J884" s="1">
        <v>5</v>
      </c>
      <c r="K884" s="1">
        <v>69</v>
      </c>
      <c r="L884" s="5">
        <f t="shared" ca="1" si="11"/>
        <v>67.2</v>
      </c>
    </row>
    <row r="885" spans="1:24" x14ac:dyDescent="0.25">
      <c r="A885" s="2">
        <f t="shared" ca="1" si="10"/>
        <v>21</v>
      </c>
      <c r="B885" s="1" t="s">
        <v>408</v>
      </c>
      <c r="C885" s="18">
        <v>45690</v>
      </c>
      <c r="D885" s="1" t="s">
        <v>309</v>
      </c>
      <c r="E885" s="1" t="s">
        <v>33</v>
      </c>
      <c r="F885" s="1">
        <v>28</v>
      </c>
      <c r="G885" s="1">
        <v>16</v>
      </c>
      <c r="H885" s="1">
        <v>6</v>
      </c>
      <c r="I885" s="1">
        <v>10</v>
      </c>
      <c r="J885" s="1">
        <v>5</v>
      </c>
      <c r="K885" s="1">
        <v>65</v>
      </c>
      <c r="L885" s="5">
        <f t="shared" ca="1" si="11"/>
        <v>63.4</v>
      </c>
    </row>
    <row r="886" spans="1:24" x14ac:dyDescent="0.25">
      <c r="A886" s="2">
        <f t="shared" ca="1" si="10"/>
        <v>22</v>
      </c>
      <c r="B886" s="1" t="s">
        <v>287</v>
      </c>
      <c r="C886" s="18">
        <v>45081</v>
      </c>
      <c r="D886" s="1" t="s">
        <v>236</v>
      </c>
      <c r="E886" s="1" t="s">
        <v>33</v>
      </c>
      <c r="F886" s="1">
        <v>26</v>
      </c>
      <c r="G886" s="1">
        <v>16</v>
      </c>
      <c r="H886" s="1">
        <v>6</v>
      </c>
      <c r="I886" s="1">
        <v>12</v>
      </c>
      <c r="J886" s="1">
        <v>6</v>
      </c>
      <c r="K886" s="1">
        <v>66</v>
      </c>
      <c r="L886" s="5">
        <f t="shared" ca="1" si="11"/>
        <v>62.7</v>
      </c>
    </row>
    <row r="887" spans="1:24" x14ac:dyDescent="0.25">
      <c r="A887" s="2">
        <f t="shared" ca="1" si="10"/>
        <v>23</v>
      </c>
      <c r="B887" s="1" t="s">
        <v>499</v>
      </c>
      <c r="C887" s="18">
        <v>46103</v>
      </c>
      <c r="D887" s="1" t="s">
        <v>74</v>
      </c>
      <c r="E887" s="1" t="s">
        <v>33</v>
      </c>
      <c r="F887" s="1">
        <v>26</v>
      </c>
      <c r="G887" s="1">
        <v>18</v>
      </c>
      <c r="H887" s="1">
        <v>5</v>
      </c>
      <c r="I887" s="1">
        <v>10</v>
      </c>
      <c r="J887" s="1">
        <v>4</v>
      </c>
      <c r="K887" s="1">
        <v>63</v>
      </c>
      <c r="L887" s="5">
        <f t="shared" ca="1" si="11"/>
        <v>62.5</v>
      </c>
    </row>
    <row r="888" spans="1:24" x14ac:dyDescent="0.25">
      <c r="A888" s="2">
        <f t="shared" ca="1" si="10"/>
        <v>24</v>
      </c>
      <c r="B888" s="1" t="s">
        <v>402</v>
      </c>
      <c r="C888" s="18">
        <v>45662</v>
      </c>
      <c r="D888" s="1" t="s">
        <v>74</v>
      </c>
      <c r="E888" s="1" t="s">
        <v>33</v>
      </c>
      <c r="F888" s="1">
        <v>26</v>
      </c>
      <c r="G888" s="1">
        <v>18</v>
      </c>
      <c r="H888" s="1">
        <v>5</v>
      </c>
      <c r="I888" s="1">
        <v>9</v>
      </c>
      <c r="J888" s="1">
        <v>5</v>
      </c>
      <c r="K888" s="1">
        <v>63</v>
      </c>
      <c r="L888" s="5">
        <f t="shared" ca="1" si="11"/>
        <v>61.3</v>
      </c>
    </row>
    <row r="889" spans="1:24" x14ac:dyDescent="0.25">
      <c r="A889" s="2">
        <f t="shared" ca="1" si="10"/>
        <v>25</v>
      </c>
      <c r="B889" s="1" t="s">
        <v>431</v>
      </c>
      <c r="C889" s="18">
        <v>45781</v>
      </c>
      <c r="D889" s="1" t="s">
        <v>71</v>
      </c>
      <c r="E889" s="1" t="s">
        <v>33</v>
      </c>
      <c r="F889" s="1">
        <v>27</v>
      </c>
      <c r="G889" s="1">
        <v>21</v>
      </c>
      <c r="H889" s="1">
        <v>2</v>
      </c>
      <c r="I889" s="1">
        <v>8</v>
      </c>
      <c r="J889" s="1">
        <v>3</v>
      </c>
      <c r="K889" s="1">
        <v>61</v>
      </c>
      <c r="L889" s="5">
        <f t="shared" ca="1" si="11"/>
        <v>59.6</v>
      </c>
    </row>
    <row r="890" spans="1:24" x14ac:dyDescent="0.25">
      <c r="A890" s="2">
        <f t="shared" ca="1" si="10"/>
        <v>26</v>
      </c>
      <c r="B890" s="1" t="s">
        <v>43</v>
      </c>
      <c r="C890" s="18">
        <v>44423</v>
      </c>
      <c r="D890" s="1" t="s">
        <v>71</v>
      </c>
      <c r="E890" s="1" t="s">
        <v>33</v>
      </c>
      <c r="F890" s="1">
        <v>26</v>
      </c>
      <c r="G890" s="1">
        <v>16</v>
      </c>
      <c r="H890" s="1">
        <v>6</v>
      </c>
      <c r="I890" s="1">
        <v>9</v>
      </c>
      <c r="J890" s="1">
        <v>6</v>
      </c>
      <c r="K890" s="1">
        <v>63</v>
      </c>
      <c r="L890" s="5">
        <f t="shared" ca="1" si="11"/>
        <v>57.9</v>
      </c>
    </row>
    <row r="891" spans="1:24" x14ac:dyDescent="0.25">
      <c r="A891" s="2">
        <f t="shared" ca="1" si="10"/>
        <v>27</v>
      </c>
      <c r="B891" s="1" t="s">
        <v>32</v>
      </c>
      <c r="C891" s="18">
        <v>44423</v>
      </c>
      <c r="D891" s="1" t="s">
        <v>68</v>
      </c>
      <c r="E891" s="1" t="s">
        <v>33</v>
      </c>
      <c r="F891" s="1">
        <v>21</v>
      </c>
      <c r="G891" s="1">
        <v>16</v>
      </c>
      <c r="H891" s="1">
        <v>6</v>
      </c>
      <c r="I891" s="1">
        <v>13</v>
      </c>
      <c r="J891" s="1">
        <v>4</v>
      </c>
      <c r="K891" s="1">
        <v>60</v>
      </c>
      <c r="L891" s="5">
        <f t="shared" ca="1" si="11"/>
        <v>54.9</v>
      </c>
    </row>
    <row r="892" spans="1:24" x14ac:dyDescent="0.25">
      <c r="A892" s="2">
        <f t="shared" ca="1" si="10"/>
        <v>28</v>
      </c>
      <c r="B892" s="1" t="s">
        <v>201</v>
      </c>
      <c r="C892" s="18">
        <v>44640</v>
      </c>
      <c r="D892" s="1" t="s">
        <v>66</v>
      </c>
      <c r="E892" s="1" t="s">
        <v>33</v>
      </c>
      <c r="F892" s="1">
        <v>24</v>
      </c>
      <c r="G892" s="1">
        <v>15</v>
      </c>
      <c r="H892" s="1">
        <v>5</v>
      </c>
      <c r="I892" s="1">
        <v>10</v>
      </c>
      <c r="J892" s="1">
        <v>5</v>
      </c>
      <c r="K892" s="1">
        <v>59</v>
      </c>
      <c r="L892" s="5">
        <f t="shared" ca="1" si="11"/>
        <v>54.5</v>
      </c>
    </row>
    <row r="893" spans="1:24" x14ac:dyDescent="0.25">
      <c r="A893" s="2"/>
      <c r="L893" s="3"/>
    </row>
    <row r="894" spans="1:24" x14ac:dyDescent="0.25">
      <c r="A894" s="2" t="s">
        <v>27</v>
      </c>
      <c r="B894" s="1" t="s">
        <v>28</v>
      </c>
      <c r="D894" s="1" t="s">
        <v>29</v>
      </c>
      <c r="E894" s="1" t="s">
        <v>29</v>
      </c>
      <c r="F894" s="4">
        <f>AVERAGE(F865:F893)</f>
        <v>28.321428571428573</v>
      </c>
      <c r="G894" s="4">
        <f t="shared" ref="G894:L894" si="12">AVERAGE(G865:G893)</f>
        <v>18.785714285714285</v>
      </c>
      <c r="H894" s="4">
        <f t="shared" si="12"/>
        <v>6.6785714285714288</v>
      </c>
      <c r="I894" s="4">
        <f t="shared" si="12"/>
        <v>12.571428571428571</v>
      </c>
      <c r="J894" s="4">
        <f t="shared" si="12"/>
        <v>6.0714285714285712</v>
      </c>
      <c r="K894" s="4">
        <f t="shared" si="12"/>
        <v>72.428571428571431</v>
      </c>
      <c r="L894" s="5">
        <f t="shared" ca="1" si="12"/>
        <v>69.728571428571442</v>
      </c>
    </row>
    <row r="895" spans="1:24" x14ac:dyDescent="0.25">
      <c r="A895" s="39" t="s">
        <v>15</v>
      </c>
      <c r="B895" s="40"/>
      <c r="C895" s="40"/>
      <c r="D895" s="40"/>
      <c r="E895" s="40"/>
      <c r="F895" s="40"/>
      <c r="G895" s="40"/>
      <c r="H895" s="40"/>
      <c r="I895" s="40"/>
      <c r="J895" s="40"/>
      <c r="K895" s="40"/>
      <c r="L895" s="41"/>
    </row>
    <row r="896" spans="1:24" s="14" customFormat="1" ht="30" x14ac:dyDescent="0.25">
      <c r="A896" s="10" t="s">
        <v>1</v>
      </c>
      <c r="B896" s="11" t="s">
        <v>0</v>
      </c>
      <c r="C896" s="11" t="s">
        <v>359</v>
      </c>
      <c r="D896" s="11" t="s">
        <v>65</v>
      </c>
      <c r="E896" s="11" t="s">
        <v>2</v>
      </c>
      <c r="F896" s="11" t="s">
        <v>3</v>
      </c>
      <c r="G896" s="11" t="s">
        <v>4</v>
      </c>
      <c r="H896" s="11" t="s">
        <v>5</v>
      </c>
      <c r="I896" s="11" t="s">
        <v>6</v>
      </c>
      <c r="J896" s="11" t="s">
        <v>7</v>
      </c>
      <c r="K896" s="21" t="s">
        <v>361</v>
      </c>
      <c r="L896" s="22" t="s">
        <v>360</v>
      </c>
      <c r="M896" s="11"/>
      <c r="O896" s="1"/>
      <c r="P896" s="1"/>
      <c r="Q896" s="1"/>
      <c r="R896" s="1"/>
      <c r="S896" s="1"/>
      <c r="T896" s="1"/>
      <c r="U896" s="1"/>
      <c r="V896" s="1"/>
      <c r="W896" s="4"/>
      <c r="X896"/>
    </row>
    <row r="897" spans="1:24" x14ac:dyDescent="0.25">
      <c r="A897" s="2">
        <f t="shared" ref="A897:A919" ca="1" si="13">RANK(L897,$L$897:$L$920,0)</f>
        <v>1</v>
      </c>
      <c r="B897" s="29" t="s">
        <v>477</v>
      </c>
      <c r="C897" s="18">
        <v>46011</v>
      </c>
      <c r="D897" s="1" t="s">
        <v>378</v>
      </c>
      <c r="E897" s="1" t="s">
        <v>20</v>
      </c>
      <c r="F897" s="1">
        <v>30</v>
      </c>
      <c r="G897" s="1">
        <v>24</v>
      </c>
      <c r="H897" s="1">
        <v>5</v>
      </c>
      <c r="I897" s="1">
        <v>15</v>
      </c>
      <c r="J897" s="1">
        <v>7</v>
      </c>
      <c r="K897" s="1">
        <v>81</v>
      </c>
      <c r="L897" s="5">
        <f t="shared" ref="L897:L919" ca="1" si="14">K897-(ROUNDDOWN((($G$1-C897)/365),1))</f>
        <v>80.3</v>
      </c>
    </row>
    <row r="898" spans="1:24" x14ac:dyDescent="0.25">
      <c r="A898" s="2">
        <f t="shared" ca="1" si="13"/>
        <v>2</v>
      </c>
      <c r="B898" s="29" t="s">
        <v>19</v>
      </c>
      <c r="C898" s="18">
        <v>44409</v>
      </c>
      <c r="D898" s="1" t="s">
        <v>66</v>
      </c>
      <c r="E898" s="1" t="s">
        <v>20</v>
      </c>
      <c r="F898" s="1">
        <v>28</v>
      </c>
      <c r="G898" s="1">
        <v>24</v>
      </c>
      <c r="H898" s="1">
        <v>9</v>
      </c>
      <c r="I898" s="1">
        <v>15</v>
      </c>
      <c r="J898" s="1">
        <v>9</v>
      </c>
      <c r="K898" s="1">
        <v>85</v>
      </c>
      <c r="L898" s="5">
        <f t="shared" ca="1" si="14"/>
        <v>79.900000000000006</v>
      </c>
    </row>
    <row r="899" spans="1:24" x14ac:dyDescent="0.25">
      <c r="A899" s="2">
        <f t="shared" ca="1" si="13"/>
        <v>3</v>
      </c>
      <c r="B899" s="1" t="s">
        <v>445</v>
      </c>
      <c r="C899" s="18">
        <v>45844</v>
      </c>
      <c r="D899" s="1" t="s">
        <v>66</v>
      </c>
      <c r="E899" s="1" t="s">
        <v>20</v>
      </c>
      <c r="F899" s="1">
        <v>29</v>
      </c>
      <c r="G899" s="1">
        <v>19</v>
      </c>
      <c r="H899" s="1">
        <v>9</v>
      </c>
      <c r="I899" s="1">
        <v>17</v>
      </c>
      <c r="J899" s="1">
        <v>6</v>
      </c>
      <c r="K899" s="1">
        <v>80</v>
      </c>
      <c r="L899" s="5">
        <f t="shared" ca="1" si="14"/>
        <v>78.8</v>
      </c>
    </row>
    <row r="900" spans="1:24" x14ac:dyDescent="0.25">
      <c r="A900" s="2">
        <f t="shared" ca="1" si="13"/>
        <v>4</v>
      </c>
      <c r="B900" s="1" t="s">
        <v>532</v>
      </c>
      <c r="C900" s="18">
        <v>46285</v>
      </c>
      <c r="D900" s="1" t="s">
        <v>483</v>
      </c>
      <c r="E900" s="1" t="s">
        <v>20</v>
      </c>
      <c r="F900" s="1">
        <v>30</v>
      </c>
      <c r="G900" s="1">
        <v>22</v>
      </c>
      <c r="H900" s="1">
        <v>7</v>
      </c>
      <c r="I900" s="1">
        <v>12</v>
      </c>
      <c r="J900" s="1">
        <v>6</v>
      </c>
      <c r="K900" s="1">
        <v>77</v>
      </c>
      <c r="L900" s="5">
        <f t="shared" ca="1" si="14"/>
        <v>77</v>
      </c>
    </row>
    <row r="901" spans="1:24" x14ac:dyDescent="0.25">
      <c r="A901" s="2">
        <f t="shared" ca="1" si="13"/>
        <v>5</v>
      </c>
      <c r="B901" s="1" t="s">
        <v>512</v>
      </c>
      <c r="C901" s="18">
        <v>46152</v>
      </c>
      <c r="D901" s="1" t="s">
        <v>483</v>
      </c>
      <c r="E901" s="1" t="s">
        <v>20</v>
      </c>
      <c r="F901" s="1">
        <v>30</v>
      </c>
      <c r="G901" s="1">
        <v>17</v>
      </c>
      <c r="H901" s="1">
        <v>8</v>
      </c>
      <c r="I901" s="1">
        <v>14</v>
      </c>
      <c r="J901" s="1">
        <v>7</v>
      </c>
      <c r="K901" s="1">
        <v>76</v>
      </c>
      <c r="L901" s="5">
        <f t="shared" ca="1" si="14"/>
        <v>75.599999999999994</v>
      </c>
    </row>
    <row r="902" spans="1:24" x14ac:dyDescent="0.25">
      <c r="A902" s="2">
        <f t="shared" ca="1" si="13"/>
        <v>6</v>
      </c>
      <c r="B902" s="1" t="s">
        <v>227</v>
      </c>
      <c r="C902" s="18">
        <v>44773</v>
      </c>
      <c r="D902" s="1" t="s">
        <v>68</v>
      </c>
      <c r="E902" s="1" t="s">
        <v>20</v>
      </c>
      <c r="F902" s="1">
        <v>28</v>
      </c>
      <c r="G902" s="1">
        <v>21</v>
      </c>
      <c r="H902" s="1">
        <v>8</v>
      </c>
      <c r="I902" s="1">
        <v>15</v>
      </c>
      <c r="J902" s="1">
        <v>7</v>
      </c>
      <c r="K902" s="1">
        <v>79</v>
      </c>
      <c r="L902" s="5">
        <f t="shared" ca="1" si="14"/>
        <v>74.900000000000006</v>
      </c>
    </row>
    <row r="903" spans="1:24" x14ac:dyDescent="0.25">
      <c r="A903" s="2">
        <f t="shared" ca="1" si="13"/>
        <v>7</v>
      </c>
      <c r="B903" s="29" t="s">
        <v>358</v>
      </c>
      <c r="C903" s="18">
        <v>45508</v>
      </c>
      <c r="D903" s="1" t="s">
        <v>74</v>
      </c>
      <c r="E903" s="1" t="s">
        <v>20</v>
      </c>
      <c r="F903" s="1">
        <v>29</v>
      </c>
      <c r="G903" s="1">
        <v>16</v>
      </c>
      <c r="H903" s="1">
        <v>8</v>
      </c>
      <c r="I903" s="1">
        <v>17</v>
      </c>
      <c r="J903" s="1">
        <v>6</v>
      </c>
      <c r="K903" s="1">
        <v>76</v>
      </c>
      <c r="L903" s="5">
        <f t="shared" ca="1" si="14"/>
        <v>73.900000000000006</v>
      </c>
    </row>
    <row r="904" spans="1:24" x14ac:dyDescent="0.25">
      <c r="A904" s="2">
        <f t="shared" ca="1" si="13"/>
        <v>8</v>
      </c>
      <c r="B904" s="1" t="s">
        <v>325</v>
      </c>
      <c r="C904" s="18">
        <v>45305</v>
      </c>
      <c r="D904" s="1" t="s">
        <v>307</v>
      </c>
      <c r="E904" s="1" t="s">
        <v>20</v>
      </c>
      <c r="F904" s="1">
        <v>28</v>
      </c>
      <c r="G904" s="1">
        <v>22</v>
      </c>
      <c r="H904" s="1">
        <v>6</v>
      </c>
      <c r="I904" s="1">
        <v>12</v>
      </c>
      <c r="J904" s="1">
        <v>7</v>
      </c>
      <c r="K904" s="1">
        <v>75</v>
      </c>
      <c r="L904" s="5">
        <f t="shared" ca="1" si="14"/>
        <v>72.3</v>
      </c>
    </row>
    <row r="905" spans="1:24" x14ac:dyDescent="0.25">
      <c r="A905" s="2">
        <f t="shared" ca="1" si="13"/>
        <v>9</v>
      </c>
      <c r="B905" s="1" t="s">
        <v>370</v>
      </c>
      <c r="C905" s="18">
        <v>45543</v>
      </c>
      <c r="D905" s="1" t="s">
        <v>66</v>
      </c>
      <c r="E905" s="1" t="s">
        <v>20</v>
      </c>
      <c r="F905" s="1">
        <v>26</v>
      </c>
      <c r="G905" s="1">
        <v>21</v>
      </c>
      <c r="H905" s="1">
        <v>6</v>
      </c>
      <c r="I905" s="1">
        <v>15</v>
      </c>
      <c r="J905" s="1">
        <v>6</v>
      </c>
      <c r="K905" s="1">
        <v>74</v>
      </c>
      <c r="L905" s="5">
        <f t="shared" ca="1" si="14"/>
        <v>72</v>
      </c>
      <c r="O905" s="14"/>
      <c r="P905" s="14"/>
      <c r="Q905" s="14"/>
      <c r="R905" s="14"/>
      <c r="S905" s="14"/>
      <c r="T905" s="14"/>
      <c r="U905" s="14"/>
      <c r="V905" s="14"/>
      <c r="W905" s="14"/>
      <c r="X905" s="14"/>
    </row>
    <row r="906" spans="1:24" x14ac:dyDescent="0.25">
      <c r="A906" s="2">
        <f t="shared" ca="1" si="13"/>
        <v>10</v>
      </c>
      <c r="B906" s="1" t="s">
        <v>299</v>
      </c>
      <c r="C906" s="18">
        <v>45172</v>
      </c>
      <c r="D906" s="1" t="s">
        <v>68</v>
      </c>
      <c r="E906" s="1" t="s">
        <v>20</v>
      </c>
      <c r="F906" s="1">
        <v>27</v>
      </c>
      <c r="G906" s="1">
        <v>21</v>
      </c>
      <c r="H906" s="1">
        <v>7</v>
      </c>
      <c r="I906" s="1">
        <v>13</v>
      </c>
      <c r="J906" s="1">
        <v>6</v>
      </c>
      <c r="K906" s="1">
        <v>74</v>
      </c>
      <c r="L906" s="5">
        <f t="shared" ca="1" si="14"/>
        <v>71</v>
      </c>
    </row>
    <row r="907" spans="1:24" x14ac:dyDescent="0.25">
      <c r="A907" s="2">
        <f t="shared" ca="1" si="13"/>
        <v>11</v>
      </c>
      <c r="B907" s="1" t="s">
        <v>530</v>
      </c>
      <c r="C907" s="18">
        <v>46271</v>
      </c>
      <c r="D907" s="1" t="s">
        <v>236</v>
      </c>
      <c r="E907" s="1" t="s">
        <v>20</v>
      </c>
      <c r="F907" s="1">
        <v>27</v>
      </c>
      <c r="G907" s="1">
        <v>17</v>
      </c>
      <c r="H907" s="1">
        <v>6</v>
      </c>
      <c r="I907" s="1">
        <v>14</v>
      </c>
      <c r="J907" s="1">
        <v>5</v>
      </c>
      <c r="K907" s="1">
        <v>69</v>
      </c>
      <c r="L907" s="5">
        <f t="shared" ca="1" si="14"/>
        <v>69</v>
      </c>
    </row>
    <row r="908" spans="1:24" x14ac:dyDescent="0.25">
      <c r="A908" s="2">
        <f t="shared" ca="1" si="13"/>
        <v>12</v>
      </c>
      <c r="B908" s="29" t="s">
        <v>412</v>
      </c>
      <c r="C908" s="18">
        <v>45711</v>
      </c>
      <c r="D908" s="1" t="s">
        <v>236</v>
      </c>
      <c r="E908" s="1" t="s">
        <v>20</v>
      </c>
      <c r="F908" s="1">
        <v>27</v>
      </c>
      <c r="G908" s="1">
        <v>16</v>
      </c>
      <c r="H908" s="1">
        <v>5</v>
      </c>
      <c r="I908" s="1">
        <v>15</v>
      </c>
      <c r="J908" s="1">
        <v>6</v>
      </c>
      <c r="K908" s="1">
        <v>69</v>
      </c>
      <c r="L908" s="5">
        <f t="shared" ca="1" si="14"/>
        <v>67.400000000000006</v>
      </c>
    </row>
    <row r="909" spans="1:24" x14ac:dyDescent="0.25">
      <c r="A909" s="2">
        <f t="shared" ca="1" si="13"/>
        <v>13</v>
      </c>
      <c r="B909" s="29" t="s">
        <v>316</v>
      </c>
      <c r="C909" s="18">
        <v>45256</v>
      </c>
      <c r="D909" s="1" t="s">
        <v>307</v>
      </c>
      <c r="E909" s="1" t="s">
        <v>20</v>
      </c>
      <c r="F909" s="1">
        <v>26</v>
      </c>
      <c r="G909" s="1">
        <v>18</v>
      </c>
      <c r="H909" s="1">
        <v>7</v>
      </c>
      <c r="I909" s="1">
        <v>14</v>
      </c>
      <c r="J909" s="1">
        <v>5</v>
      </c>
      <c r="K909" s="1">
        <v>70</v>
      </c>
      <c r="L909" s="5">
        <f t="shared" ca="1" si="14"/>
        <v>67.2</v>
      </c>
    </row>
    <row r="910" spans="1:24" x14ac:dyDescent="0.25">
      <c r="A910" s="2">
        <f t="shared" ca="1" si="13"/>
        <v>14</v>
      </c>
      <c r="B910" s="1" t="s">
        <v>373</v>
      </c>
      <c r="C910" s="18">
        <v>45557</v>
      </c>
      <c r="D910" s="1" t="s">
        <v>73</v>
      </c>
      <c r="E910" s="1" t="s">
        <v>20</v>
      </c>
      <c r="F910" s="1">
        <v>27</v>
      </c>
      <c r="G910" s="1">
        <v>17</v>
      </c>
      <c r="H910" s="1">
        <v>6</v>
      </c>
      <c r="I910" s="1">
        <v>12</v>
      </c>
      <c r="J910" s="1">
        <v>6</v>
      </c>
      <c r="K910" s="1">
        <v>68</v>
      </c>
      <c r="L910" s="5">
        <f t="shared" ca="1" si="14"/>
        <v>66</v>
      </c>
    </row>
    <row r="911" spans="1:24" x14ac:dyDescent="0.25">
      <c r="A911" s="2">
        <f t="shared" ca="1" si="13"/>
        <v>15</v>
      </c>
      <c r="B911" s="1" t="s">
        <v>311</v>
      </c>
      <c r="C911" s="18">
        <v>45235</v>
      </c>
      <c r="D911" s="1" t="s">
        <v>307</v>
      </c>
      <c r="E911" s="1" t="s">
        <v>20</v>
      </c>
      <c r="F911" s="1">
        <v>26</v>
      </c>
      <c r="G911" s="1">
        <v>18</v>
      </c>
      <c r="H911" s="1">
        <v>7</v>
      </c>
      <c r="I911" s="1">
        <v>10</v>
      </c>
      <c r="J911" s="1">
        <v>7</v>
      </c>
      <c r="K911" s="1">
        <v>68</v>
      </c>
      <c r="L911" s="5">
        <f t="shared" ca="1" si="14"/>
        <v>65.099999999999994</v>
      </c>
    </row>
    <row r="912" spans="1:24" x14ac:dyDescent="0.25">
      <c r="A912" s="2">
        <f t="shared" ca="1" si="13"/>
        <v>16</v>
      </c>
      <c r="B912" s="1" t="s">
        <v>289</v>
      </c>
      <c r="C912" s="18">
        <v>45102</v>
      </c>
      <c r="D912" s="1" t="s">
        <v>68</v>
      </c>
      <c r="E912" s="1" t="s">
        <v>20</v>
      </c>
      <c r="F912" s="1">
        <v>27</v>
      </c>
      <c r="G912" s="1">
        <v>17</v>
      </c>
      <c r="H912" s="1">
        <v>5</v>
      </c>
      <c r="I912" s="1">
        <v>12</v>
      </c>
      <c r="J912" s="1">
        <v>7</v>
      </c>
      <c r="K912" s="1">
        <v>68</v>
      </c>
      <c r="L912" s="5">
        <f t="shared" ca="1" si="14"/>
        <v>64.8</v>
      </c>
    </row>
    <row r="913" spans="1:24" x14ac:dyDescent="0.25">
      <c r="A913" s="2">
        <f t="shared" ca="1" si="13"/>
        <v>17</v>
      </c>
      <c r="B913" s="29" t="s">
        <v>461</v>
      </c>
      <c r="C913" s="18">
        <v>45925</v>
      </c>
      <c r="D913" s="1" t="s">
        <v>67</v>
      </c>
      <c r="E913" s="1" t="s">
        <v>20</v>
      </c>
      <c r="F913" s="1">
        <v>25</v>
      </c>
      <c r="G913" s="1">
        <v>18</v>
      </c>
      <c r="H913" s="1">
        <v>3</v>
      </c>
      <c r="I913" s="1">
        <v>13</v>
      </c>
      <c r="J913" s="1">
        <v>6</v>
      </c>
      <c r="K913" s="1">
        <v>65</v>
      </c>
      <c r="L913" s="5">
        <f t="shared" ca="1" si="14"/>
        <v>64</v>
      </c>
    </row>
    <row r="914" spans="1:24" x14ac:dyDescent="0.25">
      <c r="A914" s="2">
        <f t="shared" ca="1" si="13"/>
        <v>18</v>
      </c>
      <c r="B914" s="1" t="s">
        <v>498</v>
      </c>
      <c r="C914" s="18">
        <v>46103</v>
      </c>
      <c r="D914" s="1" t="s">
        <v>74</v>
      </c>
      <c r="E914" s="1" t="s">
        <v>20</v>
      </c>
      <c r="F914" s="1">
        <v>25</v>
      </c>
      <c r="G914" s="1">
        <v>22</v>
      </c>
      <c r="H914" s="1">
        <v>4</v>
      </c>
      <c r="I914" s="1">
        <v>8</v>
      </c>
      <c r="J914" s="1">
        <v>4</v>
      </c>
      <c r="K914" s="1">
        <v>63</v>
      </c>
      <c r="L914" s="5">
        <f t="shared" ca="1" si="14"/>
        <v>62.5</v>
      </c>
    </row>
    <row r="915" spans="1:24" x14ac:dyDescent="0.25">
      <c r="A915" s="2">
        <f t="shared" ca="1" si="13"/>
        <v>19</v>
      </c>
      <c r="B915" s="29" t="s">
        <v>515</v>
      </c>
      <c r="C915" s="18">
        <v>46194</v>
      </c>
      <c r="D915" s="1" t="s">
        <v>71</v>
      </c>
      <c r="E915" s="1" t="s">
        <v>20</v>
      </c>
      <c r="F915" s="1">
        <v>26</v>
      </c>
      <c r="G915" s="1">
        <v>20</v>
      </c>
      <c r="H915" s="1">
        <v>4</v>
      </c>
      <c r="I915" s="1">
        <v>9</v>
      </c>
      <c r="J915" s="1">
        <v>2</v>
      </c>
      <c r="K915" s="1">
        <v>61</v>
      </c>
      <c r="L915" s="5">
        <f t="shared" ca="1" si="14"/>
        <v>60.8</v>
      </c>
    </row>
    <row r="916" spans="1:24" x14ac:dyDescent="0.25">
      <c r="A916" s="2">
        <f t="shared" ca="1" si="13"/>
        <v>20</v>
      </c>
      <c r="B916" s="1" t="s">
        <v>388</v>
      </c>
      <c r="C916" s="18">
        <v>45613</v>
      </c>
      <c r="D916" s="1" t="s">
        <v>66</v>
      </c>
      <c r="E916" s="1" t="s">
        <v>20</v>
      </c>
      <c r="F916" s="1">
        <v>26</v>
      </c>
      <c r="G916" s="1">
        <v>17</v>
      </c>
      <c r="H916" s="1">
        <v>6</v>
      </c>
      <c r="I916" s="1">
        <v>9</v>
      </c>
      <c r="J916" s="1">
        <v>4</v>
      </c>
      <c r="K916" s="1">
        <v>62</v>
      </c>
      <c r="L916" s="5">
        <f t="shared" ca="1" si="14"/>
        <v>60.2</v>
      </c>
    </row>
    <row r="917" spans="1:24" x14ac:dyDescent="0.25">
      <c r="A917" s="2">
        <f t="shared" ca="1" si="13"/>
        <v>21</v>
      </c>
      <c r="B917" s="1" t="s">
        <v>30</v>
      </c>
      <c r="C917" s="18">
        <v>44423</v>
      </c>
      <c r="D917" s="1" t="s">
        <v>68</v>
      </c>
      <c r="E917" s="1" t="s">
        <v>20</v>
      </c>
      <c r="F917" s="1">
        <v>24</v>
      </c>
      <c r="G917" s="1">
        <v>17</v>
      </c>
      <c r="H917" s="1">
        <v>6</v>
      </c>
      <c r="I917" s="1">
        <v>13</v>
      </c>
      <c r="J917" s="1">
        <v>5</v>
      </c>
      <c r="K917" s="1">
        <v>65</v>
      </c>
      <c r="L917" s="5">
        <f t="shared" ca="1" si="14"/>
        <v>59.9</v>
      </c>
    </row>
    <row r="918" spans="1:24" x14ac:dyDescent="0.25">
      <c r="A918" s="2">
        <f t="shared" ca="1" si="13"/>
        <v>22</v>
      </c>
      <c r="B918" s="1" t="s">
        <v>235</v>
      </c>
      <c r="C918" s="18">
        <v>44815</v>
      </c>
      <c r="D918" s="1" t="s">
        <v>236</v>
      </c>
      <c r="E918" s="1" t="s">
        <v>20</v>
      </c>
      <c r="F918" s="1">
        <v>27</v>
      </c>
      <c r="G918" s="1">
        <v>14</v>
      </c>
      <c r="H918" s="1">
        <v>4</v>
      </c>
      <c r="I918" s="1">
        <v>13</v>
      </c>
      <c r="J918" s="1">
        <v>5</v>
      </c>
      <c r="K918" s="1">
        <v>63</v>
      </c>
      <c r="L918" s="5">
        <f t="shared" ca="1" si="14"/>
        <v>59</v>
      </c>
    </row>
    <row r="919" spans="1:24" x14ac:dyDescent="0.25">
      <c r="A919" s="2">
        <f t="shared" ca="1" si="13"/>
        <v>23</v>
      </c>
      <c r="B919" s="1" t="s">
        <v>48</v>
      </c>
      <c r="C919" s="18">
        <v>44451</v>
      </c>
      <c r="D919" s="1" t="s">
        <v>71</v>
      </c>
      <c r="E919" s="1" t="s">
        <v>20</v>
      </c>
      <c r="F919" s="1">
        <v>24</v>
      </c>
      <c r="G919" s="1">
        <v>14</v>
      </c>
      <c r="H919" s="1">
        <v>4</v>
      </c>
      <c r="I919" s="1">
        <v>11</v>
      </c>
      <c r="J919" s="1">
        <v>6</v>
      </c>
      <c r="K919" s="1">
        <v>59</v>
      </c>
      <c r="L919" s="5">
        <f t="shared" ca="1" si="14"/>
        <v>54</v>
      </c>
    </row>
    <row r="920" spans="1:24" x14ac:dyDescent="0.25">
      <c r="A920" s="2"/>
      <c r="L920" s="3"/>
    </row>
    <row r="921" spans="1:24" x14ac:dyDescent="0.25">
      <c r="A921" s="2" t="s">
        <v>27</v>
      </c>
      <c r="B921" s="1" t="s">
        <v>28</v>
      </c>
      <c r="D921" s="1" t="s">
        <v>29</v>
      </c>
      <c r="E921" s="1" t="s">
        <v>29</v>
      </c>
      <c r="F921" s="4">
        <f t="shared" ref="F921:L921" si="15">AVERAGE(F897:F920)</f>
        <v>27.043478260869566</v>
      </c>
      <c r="G921" s="4">
        <f t="shared" si="15"/>
        <v>18.782608695652176</v>
      </c>
      <c r="H921" s="4">
        <f t="shared" si="15"/>
        <v>6.0869565217391308</v>
      </c>
      <c r="I921" s="4">
        <f t="shared" si="15"/>
        <v>12.956521739130435</v>
      </c>
      <c r="J921" s="4">
        <f t="shared" si="15"/>
        <v>5.8695652173913047</v>
      </c>
      <c r="K921" s="4">
        <f t="shared" si="15"/>
        <v>70.739130434782609</v>
      </c>
      <c r="L921" s="5">
        <f t="shared" ca="1" si="15"/>
        <v>68.504347826086956</v>
      </c>
    </row>
    <row r="922" spans="1:24" x14ac:dyDescent="0.25">
      <c r="A922" s="39" t="s">
        <v>38</v>
      </c>
      <c r="B922" s="40"/>
      <c r="C922" s="40"/>
      <c r="D922" s="40"/>
      <c r="E922" s="40"/>
      <c r="F922" s="40"/>
      <c r="G922" s="40"/>
      <c r="H922" s="40"/>
      <c r="I922" s="40"/>
      <c r="J922" s="40"/>
      <c r="K922" s="40"/>
      <c r="L922" s="41"/>
      <c r="N922"/>
    </row>
    <row r="923" spans="1:24" s="14" customFormat="1" ht="30" x14ac:dyDescent="0.25">
      <c r="A923" s="10" t="s">
        <v>1</v>
      </c>
      <c r="B923" s="11" t="s">
        <v>0</v>
      </c>
      <c r="C923" s="11" t="s">
        <v>359</v>
      </c>
      <c r="D923" s="11" t="s">
        <v>65</v>
      </c>
      <c r="E923" s="11" t="s">
        <v>2</v>
      </c>
      <c r="F923" s="11" t="s">
        <v>3</v>
      </c>
      <c r="G923" s="11" t="s">
        <v>4</v>
      </c>
      <c r="H923" s="11" t="s">
        <v>5</v>
      </c>
      <c r="I923" s="11" t="s">
        <v>6</v>
      </c>
      <c r="J923" s="11" t="s">
        <v>7</v>
      </c>
      <c r="K923" s="21" t="s">
        <v>361</v>
      </c>
      <c r="L923" s="22" t="s">
        <v>360</v>
      </c>
      <c r="M923" s="11"/>
      <c r="O923" s="1"/>
      <c r="P923" s="1"/>
      <c r="Q923" s="1"/>
      <c r="R923" s="1"/>
      <c r="S923" s="1"/>
      <c r="T923" s="1"/>
      <c r="U923" s="1"/>
      <c r="V923" s="1"/>
      <c r="W923" s="4"/>
      <c r="X923"/>
    </row>
    <row r="924" spans="1:24" x14ac:dyDescent="0.25">
      <c r="A924" s="2">
        <f t="shared" ref="A924:A963" ca="1" si="16">RANK(L924,$L$924:$L$964,0)</f>
        <v>1</v>
      </c>
      <c r="B924" s="29" t="s">
        <v>330</v>
      </c>
      <c r="C924" s="18">
        <v>45326</v>
      </c>
      <c r="D924" s="1" t="s">
        <v>71</v>
      </c>
      <c r="E924" s="1" t="s">
        <v>40</v>
      </c>
      <c r="F924" s="1">
        <v>31</v>
      </c>
      <c r="G924" s="1">
        <v>19</v>
      </c>
      <c r="H924" s="1">
        <v>9</v>
      </c>
      <c r="I924" s="1">
        <v>15</v>
      </c>
      <c r="J924" s="1">
        <v>9</v>
      </c>
      <c r="K924" s="1">
        <v>83</v>
      </c>
      <c r="L924" s="5">
        <f t="shared" ref="L924:L963" ca="1" si="17">K924-(ROUNDDOWN((($G$1-C924)/365),1))</f>
        <v>80.400000000000006</v>
      </c>
      <c r="N924"/>
    </row>
    <row r="925" spans="1:24" x14ac:dyDescent="0.25">
      <c r="A925" s="2">
        <f t="shared" ca="1" si="16"/>
        <v>2</v>
      </c>
      <c r="B925" s="29" t="s">
        <v>223</v>
      </c>
      <c r="C925" s="18">
        <v>44752</v>
      </c>
      <c r="D925" s="1" t="s">
        <v>71</v>
      </c>
      <c r="E925" s="1" t="s">
        <v>40</v>
      </c>
      <c r="F925" s="1">
        <v>29</v>
      </c>
      <c r="G925" s="1">
        <v>19</v>
      </c>
      <c r="H925" s="1">
        <v>9</v>
      </c>
      <c r="I925" s="1">
        <v>15</v>
      </c>
      <c r="J925" s="1">
        <v>9</v>
      </c>
      <c r="K925" s="1">
        <v>81</v>
      </c>
      <c r="L925" s="5">
        <f t="shared" ca="1" si="17"/>
        <v>76.8</v>
      </c>
      <c r="N925"/>
    </row>
    <row r="926" spans="1:24" x14ac:dyDescent="0.25">
      <c r="A926" s="2">
        <f t="shared" ca="1" si="16"/>
        <v>3</v>
      </c>
      <c r="B926" s="1" t="s">
        <v>490</v>
      </c>
      <c r="C926" s="18">
        <v>46061</v>
      </c>
      <c r="D926" s="1" t="s">
        <v>71</v>
      </c>
      <c r="E926" s="1" t="s">
        <v>40</v>
      </c>
      <c r="F926" s="1">
        <v>29</v>
      </c>
      <c r="G926" s="1">
        <v>19</v>
      </c>
      <c r="H926" s="1">
        <v>9</v>
      </c>
      <c r="I926" s="1">
        <v>13</v>
      </c>
      <c r="J926" s="1">
        <v>6</v>
      </c>
      <c r="K926" s="1">
        <v>76</v>
      </c>
      <c r="L926" s="5">
        <f t="shared" ca="1" si="17"/>
        <v>75.400000000000006</v>
      </c>
      <c r="N926"/>
    </row>
    <row r="927" spans="1:24" x14ac:dyDescent="0.25">
      <c r="A927" s="2">
        <f t="shared" ca="1" si="16"/>
        <v>4</v>
      </c>
      <c r="B927" s="29" t="s">
        <v>270</v>
      </c>
      <c r="C927" s="18">
        <v>44938</v>
      </c>
      <c r="D927" s="1" t="s">
        <v>68</v>
      </c>
      <c r="E927" s="1" t="s">
        <v>40</v>
      </c>
      <c r="F927" s="1">
        <v>31</v>
      </c>
      <c r="G927" s="1">
        <v>15</v>
      </c>
      <c r="H927" s="1">
        <v>8</v>
      </c>
      <c r="I927" s="1">
        <v>15</v>
      </c>
      <c r="J927" s="1">
        <v>10</v>
      </c>
      <c r="K927" s="1">
        <v>79</v>
      </c>
      <c r="L927" s="5">
        <f t="shared" ca="1" si="17"/>
        <v>75.3</v>
      </c>
      <c r="N927"/>
    </row>
    <row r="928" spans="1:24" x14ac:dyDescent="0.25">
      <c r="A928" s="2">
        <f t="shared" ca="1" si="16"/>
        <v>5</v>
      </c>
      <c r="B928" s="1" t="s">
        <v>374</v>
      </c>
      <c r="C928" s="18">
        <v>45557</v>
      </c>
      <c r="D928" s="1" t="s">
        <v>266</v>
      </c>
      <c r="E928" s="1" t="s">
        <v>40</v>
      </c>
      <c r="F928" s="1">
        <v>25</v>
      </c>
      <c r="G928" s="1">
        <v>21</v>
      </c>
      <c r="H928" s="1">
        <v>5</v>
      </c>
      <c r="I928" s="1">
        <v>15</v>
      </c>
      <c r="J928" s="1">
        <v>8</v>
      </c>
      <c r="K928" s="1">
        <v>74</v>
      </c>
      <c r="L928" s="5">
        <f t="shared" ca="1" si="17"/>
        <v>72</v>
      </c>
      <c r="N928"/>
    </row>
    <row r="929" spans="1:24" x14ac:dyDescent="0.25">
      <c r="A929" s="2">
        <f t="shared" ca="1" si="16"/>
        <v>6</v>
      </c>
      <c r="B929" s="1" t="s">
        <v>42</v>
      </c>
      <c r="C929" s="18">
        <v>44409</v>
      </c>
      <c r="D929" s="1" t="s">
        <v>68</v>
      </c>
      <c r="E929" s="1" t="s">
        <v>40</v>
      </c>
      <c r="F929" s="1">
        <v>29</v>
      </c>
      <c r="G929" s="1">
        <v>16</v>
      </c>
      <c r="H929" s="1">
        <v>9</v>
      </c>
      <c r="I929" s="1">
        <v>16</v>
      </c>
      <c r="J929" s="1">
        <v>7</v>
      </c>
      <c r="K929" s="1">
        <v>77</v>
      </c>
      <c r="L929" s="5">
        <f t="shared" ca="1" si="17"/>
        <v>71.900000000000006</v>
      </c>
      <c r="N929"/>
    </row>
    <row r="930" spans="1:24" x14ac:dyDescent="0.25">
      <c r="A930" s="2">
        <f t="shared" ca="1" si="16"/>
        <v>7</v>
      </c>
      <c r="B930" s="1" t="s">
        <v>399</v>
      </c>
      <c r="C930" s="18">
        <v>45662</v>
      </c>
      <c r="D930" s="1" t="s">
        <v>68</v>
      </c>
      <c r="E930" s="1" t="s">
        <v>40</v>
      </c>
      <c r="F930" s="1">
        <v>29</v>
      </c>
      <c r="G930" s="1">
        <v>17</v>
      </c>
      <c r="H930" s="1">
        <v>8</v>
      </c>
      <c r="I930" s="1">
        <v>13</v>
      </c>
      <c r="J930" s="1">
        <v>6</v>
      </c>
      <c r="K930" s="1">
        <v>73</v>
      </c>
      <c r="L930" s="5">
        <f t="shared" ca="1" si="17"/>
        <v>71.3</v>
      </c>
      <c r="N930"/>
    </row>
    <row r="931" spans="1:24" x14ac:dyDescent="0.25">
      <c r="A931" s="2">
        <f t="shared" ca="1" si="16"/>
        <v>8</v>
      </c>
      <c r="B931" s="29" t="s">
        <v>233</v>
      </c>
      <c r="C931" s="18">
        <v>44811</v>
      </c>
      <c r="D931" s="1" t="s">
        <v>72</v>
      </c>
      <c r="E931" s="1" t="s">
        <v>40</v>
      </c>
      <c r="F931" s="1">
        <v>28</v>
      </c>
      <c r="G931" s="1">
        <v>16</v>
      </c>
      <c r="H931" s="1">
        <v>7</v>
      </c>
      <c r="I931" s="1">
        <v>15</v>
      </c>
      <c r="J931" s="1">
        <v>9</v>
      </c>
      <c r="K931" s="1">
        <v>75</v>
      </c>
      <c r="L931" s="5">
        <f t="shared" ca="1" si="17"/>
        <v>71</v>
      </c>
      <c r="N931"/>
      <c r="O931"/>
      <c r="P931"/>
      <c r="Q931"/>
      <c r="R931"/>
      <c r="S931"/>
      <c r="T931"/>
      <c r="U931"/>
      <c r="V931"/>
      <c r="W931"/>
    </row>
    <row r="932" spans="1:24" x14ac:dyDescent="0.25">
      <c r="A932" s="2">
        <f t="shared" ca="1" si="16"/>
        <v>9</v>
      </c>
      <c r="B932" s="1" t="s">
        <v>41</v>
      </c>
      <c r="C932" s="18">
        <v>44409</v>
      </c>
      <c r="D932" s="1" t="s">
        <v>68</v>
      </c>
      <c r="E932" s="1" t="s">
        <v>40</v>
      </c>
      <c r="F932" s="1">
        <v>28</v>
      </c>
      <c r="G932" s="1">
        <v>16</v>
      </c>
      <c r="H932" s="1">
        <v>9</v>
      </c>
      <c r="I932" s="1">
        <v>16</v>
      </c>
      <c r="J932" s="1">
        <v>7</v>
      </c>
      <c r="K932" s="1">
        <v>76</v>
      </c>
      <c r="L932" s="5">
        <f t="shared" ca="1" si="17"/>
        <v>70.900000000000006</v>
      </c>
      <c r="N932"/>
      <c r="O932" s="14"/>
      <c r="P932" s="14"/>
      <c r="Q932" s="14"/>
      <c r="R932" s="14"/>
      <c r="S932" s="14"/>
      <c r="T932" s="14"/>
      <c r="U932" s="14"/>
      <c r="V932" s="14"/>
      <c r="W932" s="14"/>
      <c r="X932" s="14"/>
    </row>
    <row r="933" spans="1:24" x14ac:dyDescent="0.25">
      <c r="A933" s="2">
        <f t="shared" ca="1" si="16"/>
        <v>9</v>
      </c>
      <c r="B933" s="29" t="s">
        <v>524</v>
      </c>
      <c r="C933" s="18">
        <v>46235</v>
      </c>
      <c r="D933" s="1" t="s">
        <v>73</v>
      </c>
      <c r="E933" s="1" t="s">
        <v>40</v>
      </c>
      <c r="F933" s="1">
        <v>30</v>
      </c>
      <c r="G933" s="1">
        <v>17</v>
      </c>
      <c r="H933" s="1">
        <v>7</v>
      </c>
      <c r="I933" s="1">
        <v>12</v>
      </c>
      <c r="J933" s="1">
        <v>5</v>
      </c>
      <c r="K933" s="1">
        <v>71</v>
      </c>
      <c r="L933" s="5">
        <f t="shared" ca="1" si="17"/>
        <v>70.900000000000006</v>
      </c>
      <c r="N933"/>
      <c r="O933"/>
      <c r="P933"/>
      <c r="Q933"/>
      <c r="R933"/>
      <c r="S933"/>
      <c r="T933"/>
      <c r="U933"/>
      <c r="V933"/>
      <c r="W933"/>
    </row>
    <row r="934" spans="1:24" x14ac:dyDescent="0.25">
      <c r="A934" s="2">
        <f t="shared" ca="1" si="16"/>
        <v>11</v>
      </c>
      <c r="B934" s="1" t="s">
        <v>400</v>
      </c>
      <c r="C934" s="18">
        <v>45662</v>
      </c>
      <c r="D934" s="1" t="s">
        <v>68</v>
      </c>
      <c r="E934" s="1" t="s">
        <v>40</v>
      </c>
      <c r="F934" s="1">
        <v>29</v>
      </c>
      <c r="G934" s="1">
        <v>17</v>
      </c>
      <c r="H934" s="1">
        <v>7</v>
      </c>
      <c r="I934" s="1">
        <v>13</v>
      </c>
      <c r="J934" s="1">
        <v>6</v>
      </c>
      <c r="K934" s="1">
        <v>72</v>
      </c>
      <c r="L934" s="5">
        <f t="shared" ca="1" si="17"/>
        <v>70.3</v>
      </c>
      <c r="N934"/>
      <c r="O934"/>
      <c r="P934"/>
      <c r="Q934"/>
      <c r="R934"/>
      <c r="S934"/>
      <c r="T934"/>
      <c r="U934"/>
      <c r="V934"/>
      <c r="W934"/>
    </row>
    <row r="935" spans="1:24" x14ac:dyDescent="0.25">
      <c r="A935" s="2">
        <f t="shared" ca="1" si="16"/>
        <v>12</v>
      </c>
      <c r="B935" s="1" t="s">
        <v>273</v>
      </c>
      <c r="C935" s="18">
        <v>45025</v>
      </c>
      <c r="D935" s="1" t="s">
        <v>68</v>
      </c>
      <c r="E935" s="1" t="s">
        <v>40</v>
      </c>
      <c r="F935" s="1">
        <v>28</v>
      </c>
      <c r="G935" s="1">
        <v>16</v>
      </c>
      <c r="H935" s="1">
        <v>8</v>
      </c>
      <c r="I935" s="1">
        <v>14</v>
      </c>
      <c r="J935" s="1">
        <v>7</v>
      </c>
      <c r="K935" s="1">
        <v>73</v>
      </c>
      <c r="L935" s="5">
        <f t="shared" ca="1" si="17"/>
        <v>69.599999999999994</v>
      </c>
      <c r="N935"/>
      <c r="O935"/>
      <c r="P935"/>
      <c r="Q935"/>
      <c r="R935"/>
      <c r="S935"/>
      <c r="T935"/>
      <c r="U935"/>
      <c r="V935"/>
      <c r="W935"/>
    </row>
    <row r="936" spans="1:24" x14ac:dyDescent="0.25">
      <c r="A936" s="2">
        <f t="shared" ca="1" si="16"/>
        <v>13</v>
      </c>
      <c r="B936" s="1" t="s">
        <v>187</v>
      </c>
      <c r="C936" s="18">
        <v>44577</v>
      </c>
      <c r="D936" s="1" t="s">
        <v>73</v>
      </c>
      <c r="E936" s="1" t="s">
        <v>40</v>
      </c>
      <c r="F936" s="1">
        <v>27</v>
      </c>
      <c r="G936" s="1">
        <v>17</v>
      </c>
      <c r="H936" s="1">
        <v>7</v>
      </c>
      <c r="I936" s="1">
        <v>15</v>
      </c>
      <c r="J936" s="1">
        <v>7</v>
      </c>
      <c r="K936" s="1">
        <v>73</v>
      </c>
      <c r="L936" s="5">
        <f t="shared" ca="1" si="17"/>
        <v>68.3</v>
      </c>
      <c r="N936"/>
      <c r="O936"/>
      <c r="P936"/>
      <c r="Q936"/>
      <c r="R936"/>
      <c r="S936"/>
      <c r="T936"/>
      <c r="U936"/>
      <c r="V936"/>
      <c r="W936"/>
    </row>
    <row r="937" spans="1:24" x14ac:dyDescent="0.25">
      <c r="A937" s="2">
        <f t="shared" ca="1" si="16"/>
        <v>14</v>
      </c>
      <c r="B937" s="1" t="s">
        <v>103</v>
      </c>
      <c r="C937" s="18">
        <v>45011</v>
      </c>
      <c r="D937" s="1" t="s">
        <v>66</v>
      </c>
      <c r="E937" s="1" t="s">
        <v>40</v>
      </c>
      <c r="F937" s="1">
        <v>24</v>
      </c>
      <c r="G937" s="1">
        <v>22</v>
      </c>
      <c r="H937" s="1">
        <v>5</v>
      </c>
      <c r="I937" s="1">
        <v>14</v>
      </c>
      <c r="J937" s="1">
        <v>5</v>
      </c>
      <c r="K937" s="1">
        <v>70</v>
      </c>
      <c r="L937" s="5">
        <f t="shared" ca="1" si="17"/>
        <v>66.5</v>
      </c>
      <c r="N937"/>
      <c r="O937"/>
      <c r="P937"/>
      <c r="Q937"/>
      <c r="R937"/>
      <c r="S937"/>
      <c r="T937"/>
      <c r="U937"/>
      <c r="V937"/>
      <c r="W937"/>
    </row>
    <row r="938" spans="1:24" x14ac:dyDescent="0.25">
      <c r="A938" s="2">
        <f t="shared" ca="1" si="16"/>
        <v>15</v>
      </c>
      <c r="B938" s="29" t="s">
        <v>192</v>
      </c>
      <c r="C938" s="18">
        <v>44598</v>
      </c>
      <c r="D938" s="1" t="s">
        <v>68</v>
      </c>
      <c r="E938" s="1" t="s">
        <v>40</v>
      </c>
      <c r="F938" s="1">
        <v>26</v>
      </c>
      <c r="G938" s="1">
        <v>17</v>
      </c>
      <c r="H938" s="1">
        <v>4</v>
      </c>
      <c r="I938" s="1">
        <v>15</v>
      </c>
      <c r="J938" s="1">
        <v>7</v>
      </c>
      <c r="K938" s="1">
        <v>69</v>
      </c>
      <c r="L938" s="5">
        <f t="shared" ca="1" si="17"/>
        <v>64.400000000000006</v>
      </c>
      <c r="N938"/>
      <c r="O938"/>
      <c r="P938"/>
      <c r="Q938"/>
      <c r="R938"/>
      <c r="S938"/>
      <c r="T938"/>
      <c r="U938"/>
      <c r="V938"/>
      <c r="W938"/>
    </row>
    <row r="939" spans="1:24" x14ac:dyDescent="0.25">
      <c r="A939" s="2">
        <f t="shared" ca="1" si="16"/>
        <v>16</v>
      </c>
      <c r="B939" s="29" t="s">
        <v>288</v>
      </c>
      <c r="C939" s="18">
        <v>45088</v>
      </c>
      <c r="D939" s="1" t="s">
        <v>74</v>
      </c>
      <c r="E939" s="1" t="s">
        <v>40</v>
      </c>
      <c r="F939" s="1">
        <v>27</v>
      </c>
      <c r="G939" s="1">
        <v>16</v>
      </c>
      <c r="H939" s="1">
        <v>5</v>
      </c>
      <c r="I939" s="1">
        <v>13</v>
      </c>
      <c r="J939" s="1">
        <v>5</v>
      </c>
      <c r="K939" s="1">
        <v>66</v>
      </c>
      <c r="L939" s="5">
        <f t="shared" ca="1" si="17"/>
        <v>62.7</v>
      </c>
      <c r="N939"/>
      <c r="O939"/>
      <c r="P939"/>
      <c r="Q939"/>
      <c r="R939"/>
      <c r="S939"/>
      <c r="T939"/>
      <c r="U939"/>
      <c r="V939"/>
      <c r="W939"/>
    </row>
    <row r="940" spans="1:24" x14ac:dyDescent="0.25">
      <c r="A940" s="2">
        <f t="shared" ca="1" si="16"/>
        <v>17</v>
      </c>
      <c r="B940" s="1" t="s">
        <v>423</v>
      </c>
      <c r="C940" s="18">
        <v>45753</v>
      </c>
      <c r="D940" s="1" t="s">
        <v>66</v>
      </c>
      <c r="E940" s="1" t="s">
        <v>40</v>
      </c>
      <c r="F940" s="1">
        <v>25</v>
      </c>
      <c r="G940" s="1">
        <v>21</v>
      </c>
      <c r="H940" s="1">
        <v>4</v>
      </c>
      <c r="I940" s="1">
        <v>10</v>
      </c>
      <c r="J940" s="1">
        <v>4</v>
      </c>
      <c r="K940" s="1">
        <v>64</v>
      </c>
      <c r="L940" s="5">
        <f t="shared" ca="1" si="17"/>
        <v>62.6</v>
      </c>
      <c r="N940"/>
      <c r="O940"/>
      <c r="P940"/>
      <c r="Q940"/>
      <c r="R940"/>
      <c r="S940"/>
      <c r="T940"/>
      <c r="U940"/>
      <c r="V940"/>
      <c r="W940"/>
    </row>
    <row r="941" spans="1:24" x14ac:dyDescent="0.25">
      <c r="A941" s="2">
        <f t="shared" ca="1" si="16"/>
        <v>18</v>
      </c>
      <c r="B941" s="1" t="s">
        <v>382</v>
      </c>
      <c r="C941" s="18">
        <v>45648</v>
      </c>
      <c r="D941" s="1" t="s">
        <v>307</v>
      </c>
      <c r="E941" s="1" t="s">
        <v>40</v>
      </c>
      <c r="F941" s="1">
        <v>27</v>
      </c>
      <c r="G941" s="1">
        <v>16</v>
      </c>
      <c r="H941" s="1">
        <v>5</v>
      </c>
      <c r="I941" s="1">
        <v>12</v>
      </c>
      <c r="J941" s="1">
        <v>4</v>
      </c>
      <c r="K941" s="1">
        <v>64</v>
      </c>
      <c r="L941" s="5">
        <f t="shared" ca="1" si="17"/>
        <v>62.3</v>
      </c>
      <c r="N941"/>
      <c r="O941"/>
      <c r="P941"/>
      <c r="Q941"/>
      <c r="R941"/>
      <c r="S941"/>
      <c r="T941"/>
      <c r="U941"/>
      <c r="V941"/>
      <c r="W941"/>
    </row>
    <row r="942" spans="1:24" x14ac:dyDescent="0.25">
      <c r="A942" s="2">
        <f t="shared" ca="1" si="16"/>
        <v>19</v>
      </c>
      <c r="B942" s="1" t="s">
        <v>59</v>
      </c>
      <c r="C942" s="18">
        <v>45011</v>
      </c>
      <c r="D942" s="1" t="s">
        <v>68</v>
      </c>
      <c r="E942" s="1" t="s">
        <v>40</v>
      </c>
      <c r="F942" s="1">
        <v>27</v>
      </c>
      <c r="G942" s="1">
        <v>15</v>
      </c>
      <c r="H942" s="1">
        <v>7</v>
      </c>
      <c r="I942" s="1">
        <v>10</v>
      </c>
      <c r="J942" s="1">
        <v>6</v>
      </c>
      <c r="K942" s="1">
        <v>65</v>
      </c>
      <c r="L942" s="5">
        <f t="shared" ca="1" si="17"/>
        <v>61.5</v>
      </c>
      <c r="N942"/>
      <c r="O942"/>
      <c r="P942"/>
      <c r="Q942"/>
      <c r="R942"/>
      <c r="S942"/>
      <c r="T942"/>
      <c r="U942"/>
      <c r="V942"/>
      <c r="W942"/>
    </row>
    <row r="943" spans="1:24" x14ac:dyDescent="0.25">
      <c r="A943" s="2">
        <f t="shared" ca="1" si="16"/>
        <v>20</v>
      </c>
      <c r="B943" s="1" t="s">
        <v>334</v>
      </c>
      <c r="C943" s="18">
        <v>45347</v>
      </c>
      <c r="D943" s="1" t="s">
        <v>73</v>
      </c>
      <c r="E943" s="1" t="s">
        <v>40</v>
      </c>
      <c r="F943" s="1">
        <v>24</v>
      </c>
      <c r="G943" s="1">
        <v>18</v>
      </c>
      <c r="H943" s="1">
        <v>5</v>
      </c>
      <c r="I943" s="1">
        <v>12</v>
      </c>
      <c r="J943" s="1">
        <v>5</v>
      </c>
      <c r="K943" s="1">
        <v>64</v>
      </c>
      <c r="L943" s="5">
        <f t="shared" ca="1" si="17"/>
        <v>61.4</v>
      </c>
      <c r="N943"/>
      <c r="O943"/>
      <c r="P943"/>
      <c r="Q943"/>
      <c r="R943"/>
      <c r="S943"/>
      <c r="T943"/>
      <c r="U943"/>
      <c r="V943"/>
      <c r="W943"/>
    </row>
    <row r="944" spans="1:24" x14ac:dyDescent="0.25">
      <c r="A944" s="2">
        <f t="shared" ca="1" si="16"/>
        <v>21</v>
      </c>
      <c r="B944" s="1" t="s">
        <v>315</v>
      </c>
      <c r="C944" s="18">
        <v>45249</v>
      </c>
      <c r="D944" s="1" t="s">
        <v>308</v>
      </c>
      <c r="E944" s="1" t="s">
        <v>40</v>
      </c>
      <c r="F944" s="1">
        <v>23</v>
      </c>
      <c r="G944" s="1">
        <v>23</v>
      </c>
      <c r="H944" s="1">
        <v>3</v>
      </c>
      <c r="I944" s="1">
        <v>9</v>
      </c>
      <c r="J944" s="1">
        <v>5</v>
      </c>
      <c r="K944" s="1">
        <v>63</v>
      </c>
      <c r="L944" s="5">
        <f t="shared" ca="1" si="17"/>
        <v>60.2</v>
      </c>
      <c r="N944"/>
      <c r="O944"/>
      <c r="P944"/>
      <c r="Q944"/>
      <c r="R944"/>
      <c r="S944"/>
      <c r="T944"/>
      <c r="U944"/>
      <c r="V944"/>
      <c r="W944"/>
    </row>
    <row r="945" spans="1:23" x14ac:dyDescent="0.25">
      <c r="A945" s="2">
        <f t="shared" ca="1" si="16"/>
        <v>22</v>
      </c>
      <c r="B945" s="29" t="s">
        <v>293</v>
      </c>
      <c r="C945" s="18">
        <v>45220</v>
      </c>
      <c r="D945" s="1" t="s">
        <v>309</v>
      </c>
      <c r="E945" s="1" t="s">
        <v>40</v>
      </c>
      <c r="F945" s="1">
        <v>25</v>
      </c>
      <c r="G945" s="1">
        <v>16</v>
      </c>
      <c r="H945" s="1">
        <v>5</v>
      </c>
      <c r="I945" s="1">
        <v>12</v>
      </c>
      <c r="J945" s="1">
        <v>5</v>
      </c>
      <c r="K945" s="1">
        <v>63</v>
      </c>
      <c r="L945" s="5">
        <f t="shared" ca="1" si="17"/>
        <v>60.1</v>
      </c>
      <c r="N945"/>
      <c r="O945"/>
      <c r="P945"/>
      <c r="Q945"/>
      <c r="R945"/>
      <c r="S945"/>
      <c r="T945"/>
      <c r="U945"/>
      <c r="V945"/>
      <c r="W945"/>
    </row>
    <row r="946" spans="1:23" x14ac:dyDescent="0.25">
      <c r="A946" s="2">
        <f t="shared" ca="1" si="16"/>
        <v>23</v>
      </c>
      <c r="B946" s="1" t="s">
        <v>355</v>
      </c>
      <c r="C946" s="18">
        <v>45172</v>
      </c>
      <c r="D946" s="1" t="s">
        <v>67</v>
      </c>
      <c r="E946" s="1" t="s">
        <v>40</v>
      </c>
      <c r="F946" s="1">
        <v>22</v>
      </c>
      <c r="G946" s="1">
        <v>17</v>
      </c>
      <c r="H946" s="1">
        <v>4</v>
      </c>
      <c r="I946" s="1">
        <v>15</v>
      </c>
      <c r="J946" s="1">
        <v>5</v>
      </c>
      <c r="K946" s="1">
        <v>63</v>
      </c>
      <c r="L946" s="5">
        <f t="shared" ca="1" si="17"/>
        <v>60</v>
      </c>
      <c r="N946"/>
      <c r="O946"/>
      <c r="P946"/>
      <c r="Q946"/>
      <c r="R946"/>
      <c r="S946"/>
      <c r="T946"/>
      <c r="U946"/>
      <c r="V946"/>
      <c r="W946"/>
    </row>
    <row r="947" spans="1:23" x14ac:dyDescent="0.25">
      <c r="A947" s="2">
        <f t="shared" ca="1" si="16"/>
        <v>24</v>
      </c>
      <c r="B947" s="1" t="s">
        <v>112</v>
      </c>
      <c r="C947" s="18">
        <v>44703</v>
      </c>
      <c r="D947" s="1" t="s">
        <v>74</v>
      </c>
      <c r="E947" s="1" t="s">
        <v>40</v>
      </c>
      <c r="F947" s="1">
        <v>24</v>
      </c>
      <c r="G947" s="1">
        <v>14</v>
      </c>
      <c r="H947" s="1">
        <v>6</v>
      </c>
      <c r="I947" s="1">
        <v>13</v>
      </c>
      <c r="J947" s="1">
        <v>7</v>
      </c>
      <c r="K947" s="1">
        <v>64</v>
      </c>
      <c r="L947" s="5">
        <f t="shared" ca="1" si="17"/>
        <v>59.7</v>
      </c>
      <c r="N947"/>
      <c r="O947"/>
      <c r="P947"/>
      <c r="Q947"/>
      <c r="R947"/>
      <c r="S947"/>
      <c r="T947"/>
      <c r="U947"/>
      <c r="V947"/>
      <c r="W947"/>
    </row>
    <row r="948" spans="1:23" x14ac:dyDescent="0.25">
      <c r="A948" s="2">
        <f t="shared" ca="1" si="16"/>
        <v>25</v>
      </c>
      <c r="B948" s="1" t="s">
        <v>382</v>
      </c>
      <c r="C948" s="18">
        <v>45578</v>
      </c>
      <c r="D948" s="1" t="s">
        <v>307</v>
      </c>
      <c r="E948" s="1" t="s">
        <v>40</v>
      </c>
      <c r="F948" s="1">
        <v>25</v>
      </c>
      <c r="G948" s="1">
        <v>17</v>
      </c>
      <c r="H948" s="1">
        <v>4</v>
      </c>
      <c r="I948" s="1">
        <v>10</v>
      </c>
      <c r="J948" s="1">
        <v>5</v>
      </c>
      <c r="K948" s="1">
        <v>61</v>
      </c>
      <c r="L948" s="5">
        <f t="shared" ca="1" si="17"/>
        <v>59.1</v>
      </c>
      <c r="N948"/>
      <c r="O948"/>
      <c r="P948"/>
      <c r="Q948"/>
      <c r="R948"/>
      <c r="S948"/>
      <c r="T948"/>
      <c r="U948"/>
      <c r="V948"/>
      <c r="W948"/>
    </row>
    <row r="949" spans="1:23" x14ac:dyDescent="0.25">
      <c r="A949" s="2">
        <f t="shared" ca="1" si="16"/>
        <v>26</v>
      </c>
      <c r="B949" s="1" t="s">
        <v>160</v>
      </c>
      <c r="C949" s="18">
        <v>44465</v>
      </c>
      <c r="D949" s="1" t="s">
        <v>68</v>
      </c>
      <c r="E949" s="1" t="s">
        <v>40</v>
      </c>
      <c r="F949" s="1">
        <v>25</v>
      </c>
      <c r="G949" s="1">
        <v>17</v>
      </c>
      <c r="H949" s="1">
        <v>5</v>
      </c>
      <c r="I949" s="1">
        <v>12</v>
      </c>
      <c r="J949" s="1">
        <v>4</v>
      </c>
      <c r="K949" s="1">
        <v>63</v>
      </c>
      <c r="L949" s="5">
        <f t="shared" ca="1" si="17"/>
        <v>58</v>
      </c>
      <c r="N949"/>
      <c r="O949"/>
      <c r="P949"/>
      <c r="Q949"/>
      <c r="R949"/>
      <c r="S949"/>
      <c r="T949"/>
      <c r="U949"/>
      <c r="V949"/>
      <c r="W949"/>
    </row>
    <row r="950" spans="1:23" x14ac:dyDescent="0.25">
      <c r="A950" s="2">
        <f t="shared" ca="1" si="16"/>
        <v>27</v>
      </c>
      <c r="B950" s="1" t="s">
        <v>104</v>
      </c>
      <c r="C950" s="18">
        <v>45011</v>
      </c>
      <c r="D950" s="1" t="s">
        <v>73</v>
      </c>
      <c r="E950" s="1" t="s">
        <v>40</v>
      </c>
      <c r="F950" s="1">
        <v>23</v>
      </c>
      <c r="G950" s="1">
        <v>15</v>
      </c>
      <c r="H950" s="1">
        <v>5</v>
      </c>
      <c r="I950" s="1">
        <v>11</v>
      </c>
      <c r="J950" s="1">
        <v>6</v>
      </c>
      <c r="K950" s="1">
        <v>60</v>
      </c>
      <c r="L950" s="5">
        <f t="shared" ca="1" si="17"/>
        <v>56.5</v>
      </c>
      <c r="N950"/>
      <c r="O950"/>
      <c r="P950"/>
      <c r="Q950"/>
      <c r="R950"/>
      <c r="S950"/>
      <c r="T950"/>
      <c r="U950"/>
      <c r="V950"/>
      <c r="W950"/>
    </row>
    <row r="951" spans="1:23" x14ac:dyDescent="0.25">
      <c r="A951" s="2">
        <f t="shared" ca="1" si="16"/>
        <v>28</v>
      </c>
      <c r="B951" s="1" t="s">
        <v>395</v>
      </c>
      <c r="C951" s="18">
        <v>45641</v>
      </c>
      <c r="D951" s="1" t="s">
        <v>309</v>
      </c>
      <c r="E951" s="1" t="s">
        <v>40</v>
      </c>
      <c r="F951" s="1">
        <v>26</v>
      </c>
      <c r="G951" s="1">
        <v>16</v>
      </c>
      <c r="H951" s="1">
        <v>4</v>
      </c>
      <c r="I951" s="1">
        <v>8</v>
      </c>
      <c r="J951" s="1">
        <v>4</v>
      </c>
      <c r="K951" s="1">
        <v>58</v>
      </c>
      <c r="L951" s="5">
        <f t="shared" ca="1" si="17"/>
        <v>56.2</v>
      </c>
      <c r="N951"/>
      <c r="O951"/>
      <c r="P951"/>
      <c r="Q951"/>
      <c r="R951"/>
      <c r="S951"/>
      <c r="T951"/>
      <c r="U951"/>
      <c r="V951"/>
      <c r="W951"/>
    </row>
    <row r="952" spans="1:23" x14ac:dyDescent="0.25">
      <c r="A952" s="2">
        <f t="shared" ca="1" si="16"/>
        <v>29</v>
      </c>
      <c r="B952" s="1" t="s">
        <v>442</v>
      </c>
      <c r="C952" s="18">
        <v>45844</v>
      </c>
      <c r="D952" s="1" t="s">
        <v>74</v>
      </c>
      <c r="E952" s="1" t="s">
        <v>40</v>
      </c>
      <c r="F952" s="1">
        <v>25</v>
      </c>
      <c r="G952" s="1">
        <v>15</v>
      </c>
      <c r="H952" s="1">
        <v>3</v>
      </c>
      <c r="I952" s="1">
        <v>10</v>
      </c>
      <c r="J952" s="1">
        <v>4</v>
      </c>
      <c r="K952" s="1">
        <v>57</v>
      </c>
      <c r="L952" s="5">
        <f t="shared" ca="1" si="17"/>
        <v>55.8</v>
      </c>
      <c r="N952"/>
      <c r="O952"/>
      <c r="P952"/>
      <c r="Q952"/>
      <c r="R952"/>
      <c r="S952"/>
      <c r="T952"/>
      <c r="U952"/>
      <c r="V952"/>
      <c r="W952"/>
    </row>
    <row r="953" spans="1:23" x14ac:dyDescent="0.25">
      <c r="A953" s="2">
        <f t="shared" ca="1" si="16"/>
        <v>30</v>
      </c>
      <c r="B953" s="1" t="s">
        <v>428</v>
      </c>
      <c r="C953" s="18">
        <v>45781</v>
      </c>
      <c r="D953" s="1" t="s">
        <v>308</v>
      </c>
      <c r="E953" s="1" t="s">
        <v>40</v>
      </c>
      <c r="F953" s="1">
        <v>23</v>
      </c>
      <c r="G953" s="1">
        <v>18</v>
      </c>
      <c r="H953" s="1">
        <v>3</v>
      </c>
      <c r="I953" s="1">
        <v>9</v>
      </c>
      <c r="J953" s="1">
        <v>4</v>
      </c>
      <c r="K953" s="1">
        <v>57</v>
      </c>
      <c r="L953" s="5">
        <f t="shared" ca="1" si="17"/>
        <v>55.6</v>
      </c>
      <c r="N953"/>
      <c r="O953"/>
      <c r="P953"/>
      <c r="Q953"/>
      <c r="R953"/>
      <c r="S953"/>
      <c r="T953"/>
      <c r="U953"/>
      <c r="V953"/>
      <c r="W953"/>
    </row>
    <row r="954" spans="1:23" x14ac:dyDescent="0.25">
      <c r="A954" s="2">
        <f t="shared" ca="1" si="16"/>
        <v>31</v>
      </c>
      <c r="B954" s="1" t="s">
        <v>344</v>
      </c>
      <c r="C954" s="18">
        <v>45417</v>
      </c>
      <c r="D954" s="1" t="s">
        <v>74</v>
      </c>
      <c r="E954" s="1" t="s">
        <v>40</v>
      </c>
      <c r="F954" s="1">
        <v>22</v>
      </c>
      <c r="G954" s="1">
        <v>17</v>
      </c>
      <c r="H954" s="1">
        <v>4</v>
      </c>
      <c r="I954" s="1">
        <v>9</v>
      </c>
      <c r="J954" s="1">
        <v>5</v>
      </c>
      <c r="K954" s="1">
        <v>57</v>
      </c>
      <c r="L954" s="5">
        <f t="shared" ca="1" si="17"/>
        <v>54.6</v>
      </c>
      <c r="N954"/>
      <c r="O954"/>
      <c r="P954"/>
      <c r="Q954"/>
      <c r="R954"/>
      <c r="S954"/>
      <c r="T954"/>
      <c r="U954"/>
      <c r="V954"/>
      <c r="W954"/>
    </row>
    <row r="955" spans="1:23" x14ac:dyDescent="0.25">
      <c r="A955" s="2">
        <f t="shared" ca="1" si="16"/>
        <v>32</v>
      </c>
      <c r="B955" s="1" t="s">
        <v>84</v>
      </c>
      <c r="C955" s="18">
        <v>44577</v>
      </c>
      <c r="D955" s="1" t="s">
        <v>68</v>
      </c>
      <c r="E955" s="1" t="s">
        <v>40</v>
      </c>
      <c r="F955" s="1">
        <v>22</v>
      </c>
      <c r="G955" s="1">
        <v>14</v>
      </c>
      <c r="H955" s="1">
        <v>4</v>
      </c>
      <c r="I955" s="1">
        <v>12</v>
      </c>
      <c r="J955" s="1">
        <v>6</v>
      </c>
      <c r="K955" s="1">
        <v>58</v>
      </c>
      <c r="L955" s="5">
        <f t="shared" ca="1" si="17"/>
        <v>53.3</v>
      </c>
      <c r="N955"/>
      <c r="O955"/>
      <c r="P955"/>
      <c r="Q955"/>
      <c r="R955"/>
      <c r="S955"/>
      <c r="T955"/>
      <c r="U955"/>
      <c r="V955"/>
      <c r="W955"/>
    </row>
    <row r="956" spans="1:23" x14ac:dyDescent="0.25">
      <c r="A956" s="2">
        <f t="shared" ca="1" si="16"/>
        <v>33</v>
      </c>
      <c r="B956" s="1" t="s">
        <v>244</v>
      </c>
      <c r="C956" s="18">
        <v>44843</v>
      </c>
      <c r="D956" s="1" t="s">
        <v>66</v>
      </c>
      <c r="E956" s="1" t="s">
        <v>40</v>
      </c>
      <c r="F956" s="1">
        <v>22</v>
      </c>
      <c r="G956" s="1">
        <v>17</v>
      </c>
      <c r="H956" s="1">
        <v>4</v>
      </c>
      <c r="I956" s="1">
        <v>10</v>
      </c>
      <c r="J956" s="1">
        <v>4</v>
      </c>
      <c r="K956" s="1">
        <v>57</v>
      </c>
      <c r="L956" s="5">
        <f t="shared" ca="1" si="17"/>
        <v>53.1</v>
      </c>
      <c r="N956"/>
      <c r="O956"/>
      <c r="P956"/>
      <c r="Q956"/>
      <c r="R956"/>
      <c r="S956"/>
      <c r="T956"/>
      <c r="U956"/>
      <c r="V956"/>
      <c r="W956"/>
    </row>
    <row r="957" spans="1:23" x14ac:dyDescent="0.25">
      <c r="A957" s="2">
        <f t="shared" ca="1" si="16"/>
        <v>34</v>
      </c>
      <c r="B957" s="1" t="s">
        <v>274</v>
      </c>
      <c r="C957" s="18">
        <v>45025</v>
      </c>
      <c r="D957" s="1" t="s">
        <v>149</v>
      </c>
      <c r="E957" s="1" t="s">
        <v>40</v>
      </c>
      <c r="F957" s="1">
        <v>22</v>
      </c>
      <c r="G957" s="1">
        <v>14</v>
      </c>
      <c r="H957" s="1">
        <v>4</v>
      </c>
      <c r="I957" s="1">
        <v>11</v>
      </c>
      <c r="J957" s="1">
        <v>5</v>
      </c>
      <c r="K957" s="1">
        <v>56</v>
      </c>
      <c r="L957" s="5">
        <f t="shared" ca="1" si="17"/>
        <v>52.6</v>
      </c>
      <c r="N957"/>
      <c r="O957"/>
      <c r="P957"/>
      <c r="Q957"/>
      <c r="R957"/>
      <c r="S957"/>
      <c r="T957"/>
      <c r="U957"/>
      <c r="V957"/>
      <c r="W957"/>
    </row>
    <row r="958" spans="1:23" x14ac:dyDescent="0.25">
      <c r="A958" s="2">
        <f t="shared" ca="1" si="16"/>
        <v>35</v>
      </c>
      <c r="B958" s="1" t="s">
        <v>305</v>
      </c>
      <c r="C958" s="18">
        <v>45207</v>
      </c>
      <c r="D958" s="1" t="s">
        <v>154</v>
      </c>
      <c r="E958" s="1" t="s">
        <v>40</v>
      </c>
      <c r="F958" s="1">
        <v>22</v>
      </c>
      <c r="G958" s="1">
        <v>15</v>
      </c>
      <c r="H958" s="1">
        <v>4</v>
      </c>
      <c r="I958" s="1">
        <v>8</v>
      </c>
      <c r="J958" s="1">
        <v>4</v>
      </c>
      <c r="K958" s="1">
        <v>53</v>
      </c>
      <c r="L958" s="5">
        <f t="shared" ca="1" si="17"/>
        <v>50.1</v>
      </c>
      <c r="N958"/>
      <c r="O958"/>
      <c r="P958"/>
      <c r="Q958"/>
      <c r="R958"/>
      <c r="S958"/>
      <c r="T958"/>
      <c r="U958"/>
      <c r="V958"/>
      <c r="W958"/>
    </row>
    <row r="959" spans="1:23" x14ac:dyDescent="0.25">
      <c r="A959" s="2">
        <f t="shared" ca="1" si="16"/>
        <v>36</v>
      </c>
      <c r="B959" s="1" t="s">
        <v>39</v>
      </c>
      <c r="C959" s="18">
        <v>44423</v>
      </c>
      <c r="D959" s="1" t="s">
        <v>71</v>
      </c>
      <c r="E959" s="1" t="s">
        <v>40</v>
      </c>
      <c r="F959" s="1">
        <v>21</v>
      </c>
      <c r="G959" s="1">
        <v>15</v>
      </c>
      <c r="H959" s="1">
        <v>4</v>
      </c>
      <c r="I959" s="1">
        <v>9</v>
      </c>
      <c r="J959" s="1">
        <v>3</v>
      </c>
      <c r="K959" s="1">
        <v>52</v>
      </c>
      <c r="L959" s="5">
        <f t="shared" ca="1" si="17"/>
        <v>46.9</v>
      </c>
      <c r="N959"/>
      <c r="O959"/>
      <c r="P959"/>
      <c r="Q959"/>
      <c r="R959"/>
      <c r="S959"/>
      <c r="T959"/>
      <c r="U959"/>
      <c r="V959"/>
      <c r="W959"/>
    </row>
    <row r="960" spans="1:23" x14ac:dyDescent="0.25">
      <c r="A960" s="2">
        <f t="shared" ca="1" si="16"/>
        <v>37</v>
      </c>
      <c r="B960" s="1" t="s">
        <v>240</v>
      </c>
      <c r="C960" s="18">
        <v>44843</v>
      </c>
      <c r="D960" s="1" t="s">
        <v>73</v>
      </c>
      <c r="E960" s="1" t="s">
        <v>40</v>
      </c>
      <c r="F960" s="1">
        <v>19</v>
      </c>
      <c r="G960" s="1">
        <v>14</v>
      </c>
      <c r="H960" s="1">
        <v>3</v>
      </c>
      <c r="I960" s="1">
        <v>9</v>
      </c>
      <c r="J960" s="1">
        <v>4</v>
      </c>
      <c r="K960" s="1">
        <v>49</v>
      </c>
      <c r="L960" s="5">
        <f t="shared" ca="1" si="17"/>
        <v>45.1</v>
      </c>
      <c r="N960"/>
      <c r="O960"/>
      <c r="P960"/>
      <c r="Q960"/>
      <c r="R960"/>
      <c r="S960"/>
      <c r="T960"/>
      <c r="U960"/>
      <c r="V960"/>
      <c r="W960"/>
    </row>
    <row r="961" spans="1:23" x14ac:dyDescent="0.25">
      <c r="A961" s="2">
        <f t="shared" ca="1" si="16"/>
        <v>38</v>
      </c>
      <c r="B961" s="1" t="s">
        <v>304</v>
      </c>
      <c r="C961" s="18">
        <v>45207</v>
      </c>
      <c r="D961" s="1" t="s">
        <v>73</v>
      </c>
      <c r="E961" s="1" t="s">
        <v>40</v>
      </c>
      <c r="F961" s="1">
        <v>14</v>
      </c>
      <c r="G961" s="1">
        <v>13</v>
      </c>
      <c r="H961" s="1">
        <v>2</v>
      </c>
      <c r="I961" s="1">
        <v>9</v>
      </c>
      <c r="J961" s="1">
        <v>4</v>
      </c>
      <c r="K961" s="1">
        <v>42</v>
      </c>
      <c r="L961" s="5">
        <f t="shared" ca="1" si="17"/>
        <v>39.1</v>
      </c>
      <c r="N961"/>
      <c r="O961"/>
      <c r="P961"/>
      <c r="Q961"/>
      <c r="R961"/>
      <c r="S961"/>
      <c r="T961"/>
      <c r="U961"/>
      <c r="V961"/>
      <c r="W961"/>
    </row>
    <row r="962" spans="1:23" x14ac:dyDescent="0.25">
      <c r="A962" s="2">
        <f t="shared" ca="1" si="16"/>
        <v>39</v>
      </c>
      <c r="B962" s="1" t="s">
        <v>63</v>
      </c>
      <c r="C962" s="18">
        <v>44577</v>
      </c>
      <c r="D962" s="1" t="s">
        <v>75</v>
      </c>
      <c r="E962" s="1" t="s">
        <v>40</v>
      </c>
      <c r="F962" s="1">
        <v>17</v>
      </c>
      <c r="G962" s="1">
        <v>13</v>
      </c>
      <c r="H962" s="1">
        <v>3</v>
      </c>
      <c r="I962" s="1">
        <v>6</v>
      </c>
      <c r="J962" s="1">
        <v>4</v>
      </c>
      <c r="K962" s="1">
        <v>43</v>
      </c>
      <c r="L962" s="5">
        <f t="shared" ca="1" si="17"/>
        <v>38.299999999999997</v>
      </c>
      <c r="N962"/>
      <c r="O962"/>
      <c r="P962"/>
      <c r="Q962"/>
      <c r="R962"/>
      <c r="S962"/>
      <c r="T962"/>
      <c r="U962"/>
      <c r="V962"/>
      <c r="W962"/>
    </row>
    <row r="963" spans="1:23" x14ac:dyDescent="0.25">
      <c r="A963" s="2">
        <f t="shared" ca="1" si="16"/>
        <v>40</v>
      </c>
      <c r="B963" s="1" t="s">
        <v>245</v>
      </c>
      <c r="C963" s="18">
        <v>44843</v>
      </c>
      <c r="D963" s="1" t="s">
        <v>75</v>
      </c>
      <c r="E963" s="1" t="s">
        <v>40</v>
      </c>
      <c r="F963" s="1">
        <v>14</v>
      </c>
      <c r="G963" s="1">
        <v>12</v>
      </c>
      <c r="H963" s="1">
        <v>3</v>
      </c>
      <c r="I963" s="1">
        <v>7</v>
      </c>
      <c r="J963" s="1">
        <v>2</v>
      </c>
      <c r="K963" s="1">
        <v>38</v>
      </c>
      <c r="L963" s="5">
        <f t="shared" ca="1" si="17"/>
        <v>34.1</v>
      </c>
      <c r="N963"/>
      <c r="O963"/>
      <c r="P963"/>
      <c r="Q963"/>
      <c r="R963"/>
      <c r="S963"/>
      <c r="T963"/>
      <c r="U963"/>
      <c r="V963"/>
      <c r="W963"/>
    </row>
    <row r="964" spans="1:23" x14ac:dyDescent="0.25">
      <c r="A964" s="2"/>
      <c r="L964" s="3"/>
      <c r="N964"/>
      <c r="O964"/>
      <c r="P964"/>
      <c r="Q964"/>
      <c r="R964"/>
      <c r="S964"/>
      <c r="T964"/>
      <c r="U964"/>
      <c r="V964"/>
      <c r="W964"/>
    </row>
    <row r="965" spans="1:23" x14ac:dyDescent="0.25">
      <c r="A965" s="6" t="s">
        <v>27</v>
      </c>
      <c r="B965" s="7" t="s">
        <v>28</v>
      </c>
      <c r="C965" s="7"/>
      <c r="D965" s="7" t="s">
        <v>29</v>
      </c>
      <c r="E965" s="7" t="s">
        <v>29</v>
      </c>
      <c r="F965" s="8">
        <f>AVERAGE(F924:F964)</f>
        <v>24.725000000000001</v>
      </c>
      <c r="G965" s="8">
        <f t="shared" ref="G965:L965" si="18">AVERAGE(G924:G964)</f>
        <v>16.55</v>
      </c>
      <c r="H965" s="8">
        <f t="shared" si="18"/>
        <v>5.35</v>
      </c>
      <c r="I965" s="8">
        <f t="shared" si="18"/>
        <v>11.8</v>
      </c>
      <c r="J965" s="8">
        <f t="shared" si="18"/>
        <v>5.55</v>
      </c>
      <c r="K965" s="8">
        <f t="shared" si="18"/>
        <v>63.975000000000001</v>
      </c>
      <c r="L965" s="9">
        <f t="shared" ca="1" si="18"/>
        <v>60.847499999999982</v>
      </c>
      <c r="O965"/>
      <c r="P965"/>
      <c r="Q965"/>
      <c r="R965"/>
      <c r="S965"/>
      <c r="T965"/>
      <c r="U965"/>
      <c r="V965"/>
      <c r="W965"/>
    </row>
    <row r="966" spans="1:23" x14ac:dyDescent="0.25">
      <c r="O966"/>
      <c r="P966"/>
      <c r="Q966"/>
      <c r="R966"/>
      <c r="S966"/>
      <c r="T966"/>
      <c r="U966"/>
      <c r="V966"/>
      <c r="W966"/>
    </row>
    <row r="967" spans="1:23" x14ac:dyDescent="0.25">
      <c r="O967"/>
      <c r="P967"/>
      <c r="Q967"/>
      <c r="R967"/>
      <c r="S967"/>
      <c r="T967"/>
      <c r="U967"/>
      <c r="V967"/>
      <c r="W967"/>
    </row>
    <row r="968" spans="1:23" x14ac:dyDescent="0.25">
      <c r="O968"/>
      <c r="P968"/>
      <c r="Q968"/>
      <c r="R968"/>
      <c r="S968"/>
      <c r="T968"/>
      <c r="U968"/>
      <c r="V968"/>
      <c r="W968"/>
    </row>
    <row r="969" spans="1:23" x14ac:dyDescent="0.25">
      <c r="O969"/>
      <c r="P969"/>
      <c r="Q969"/>
      <c r="R969"/>
      <c r="S969"/>
      <c r="T969"/>
      <c r="U969"/>
      <c r="V969"/>
      <c r="W969"/>
    </row>
    <row r="970" spans="1:23" x14ac:dyDescent="0.25">
      <c r="O970"/>
      <c r="P970"/>
      <c r="Q970"/>
      <c r="R970"/>
      <c r="S970"/>
      <c r="T970"/>
      <c r="U970"/>
      <c r="V970"/>
      <c r="W970"/>
    </row>
    <row r="971" spans="1:23" x14ac:dyDescent="0.25">
      <c r="O971"/>
      <c r="P971"/>
      <c r="Q971"/>
      <c r="R971"/>
      <c r="S971"/>
      <c r="T971"/>
      <c r="U971"/>
      <c r="V971"/>
      <c r="W971"/>
    </row>
    <row r="972" spans="1:23" x14ac:dyDescent="0.25">
      <c r="O972"/>
      <c r="P972"/>
      <c r="Q972"/>
      <c r="R972"/>
      <c r="S972"/>
      <c r="T972"/>
      <c r="U972"/>
      <c r="V972"/>
      <c r="W972"/>
    </row>
    <row r="973" spans="1:23" x14ac:dyDescent="0.25">
      <c r="O973"/>
      <c r="P973"/>
      <c r="Q973"/>
      <c r="R973"/>
      <c r="S973"/>
      <c r="T973"/>
      <c r="U973"/>
      <c r="V973"/>
      <c r="W973"/>
    </row>
  </sheetData>
  <sortState xmlns:xlrd2="http://schemas.microsoft.com/office/spreadsheetml/2017/richdata2" ref="O6:X33">
    <sortCondition ref="O6:O33"/>
  </sortState>
  <mergeCells count="15">
    <mergeCell ref="A477:L477"/>
    <mergeCell ref="A720:L720"/>
    <mergeCell ref="A863:L863"/>
    <mergeCell ref="A895:L895"/>
    <mergeCell ref="A922:L922"/>
    <mergeCell ref="O35:X44"/>
    <mergeCell ref="O4:X4"/>
    <mergeCell ref="K1:K3"/>
    <mergeCell ref="A1:A3"/>
    <mergeCell ref="I1:I3"/>
    <mergeCell ref="J1:J3"/>
    <mergeCell ref="B1:F3"/>
    <mergeCell ref="A4:L4"/>
    <mergeCell ref="L1:L3"/>
    <mergeCell ref="G1:H3"/>
  </mergeCells>
  <pageMargins left="0.7" right="0.7" top="0.75" bottom="0.75" header="0.3" footer="0.3"/>
  <pageSetup orientation="portrait" r:id="rId1"/>
  <ignoredErrors>
    <ignoredError sqref="W34" formulaRange="1"/>
    <ignoredError sqref="K476"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8F00B-081E-48C0-9BB1-ABCE3CFF4430}">
  <dimension ref="A1:R973"/>
  <sheetViews>
    <sheetView zoomScale="90" zoomScaleNormal="90" workbookViewId="0">
      <selection activeCell="C13" sqref="C13"/>
    </sheetView>
  </sheetViews>
  <sheetFormatPr defaultRowHeight="15" x14ac:dyDescent="0.25"/>
  <cols>
    <col min="1" max="1" width="9.140625" style="1"/>
    <col min="2" max="2" width="37" style="1" bestFit="1" customWidth="1"/>
    <col min="3" max="3" width="10.7109375" style="1" bestFit="1" customWidth="1"/>
    <col min="4" max="4" width="14" style="1" bestFit="1" customWidth="1"/>
    <col min="5" max="5" width="12.42578125" style="1" bestFit="1" customWidth="1"/>
    <col min="6" max="6" width="9.5703125" style="1" bestFit="1" customWidth="1"/>
    <col min="7" max="7" width="8.85546875" style="1" customWidth="1"/>
    <col min="8" max="8" width="9.140625" style="1"/>
    <col min="9" max="9" width="9.140625" style="1" customWidth="1"/>
    <col min="10" max="12" width="9.140625" style="1"/>
    <col min="13" max="13" width="19" style="1" bestFit="1" customWidth="1"/>
    <col min="14" max="14" width="15.42578125" style="1" bestFit="1" customWidth="1"/>
    <col min="15" max="15" width="9.5703125" style="1" bestFit="1" customWidth="1"/>
    <col min="16" max="17" width="9.140625" style="1"/>
    <col min="18" max="18" width="9.140625" style="4"/>
  </cols>
  <sheetData>
    <row r="1" spans="1:18" ht="14.45" customHeight="1" x14ac:dyDescent="0.25">
      <c r="A1" s="45"/>
      <c r="B1" s="52" t="s">
        <v>78</v>
      </c>
      <c r="C1" s="53"/>
      <c r="D1" s="53"/>
      <c r="E1" s="53"/>
      <c r="F1" s="53"/>
      <c r="G1" s="23">
        <f ca="1">TODAY()</f>
        <v>46299</v>
      </c>
      <c r="H1" s="47" t="s">
        <v>79</v>
      </c>
      <c r="I1" s="49">
        <v>70</v>
      </c>
    </row>
    <row r="2" spans="1:18" ht="14.45" customHeight="1" x14ac:dyDescent="0.25">
      <c r="A2" s="46"/>
      <c r="B2" s="54"/>
      <c r="C2" s="55"/>
      <c r="D2" s="55"/>
      <c r="E2" s="55"/>
      <c r="F2" s="55"/>
      <c r="G2" s="24"/>
      <c r="H2" s="48"/>
      <c r="I2" s="50"/>
      <c r="R2" s="1"/>
    </row>
    <row r="3" spans="1:18" ht="14.45" customHeight="1" x14ac:dyDescent="0.25">
      <c r="A3" s="46"/>
      <c r="B3" s="54"/>
      <c r="C3" s="55"/>
      <c r="D3" s="55"/>
      <c r="E3" s="55"/>
      <c r="F3" s="55"/>
      <c r="G3" s="25"/>
      <c r="H3" s="64"/>
      <c r="I3" s="51"/>
    </row>
    <row r="4" spans="1:18" ht="14.45" customHeight="1" x14ac:dyDescent="0.25">
      <c r="A4" s="39" t="s">
        <v>11</v>
      </c>
      <c r="B4" s="40"/>
      <c r="C4" s="40"/>
      <c r="D4" s="40"/>
      <c r="E4" s="40"/>
      <c r="F4" s="40"/>
      <c r="G4" s="40"/>
      <c r="H4" s="40"/>
      <c r="I4" s="41"/>
      <c r="L4" s="39" t="s">
        <v>81</v>
      </c>
      <c r="M4" s="40"/>
      <c r="N4" s="40"/>
      <c r="O4" s="40"/>
      <c r="P4" s="40"/>
      <c r="Q4" s="40"/>
      <c r="R4" s="41"/>
    </row>
    <row r="5" spans="1:18" s="14" customFormat="1" ht="30" x14ac:dyDescent="0.25">
      <c r="A5" s="12" t="s">
        <v>1</v>
      </c>
      <c r="B5" s="13" t="s">
        <v>0</v>
      </c>
      <c r="C5" s="13" t="s">
        <v>359</v>
      </c>
      <c r="D5" s="13" t="s">
        <v>65</v>
      </c>
      <c r="E5" s="13" t="s">
        <v>2</v>
      </c>
      <c r="F5" s="13" t="s">
        <v>3</v>
      </c>
      <c r="G5" s="13" t="s">
        <v>4</v>
      </c>
      <c r="H5" s="13" t="s">
        <v>5</v>
      </c>
      <c r="I5" s="17" t="s">
        <v>361</v>
      </c>
      <c r="J5" s="11"/>
      <c r="K5" s="11"/>
      <c r="L5" s="12" t="s">
        <v>1</v>
      </c>
      <c r="M5" s="13" t="s">
        <v>76</v>
      </c>
      <c r="N5" s="13" t="s">
        <v>77</v>
      </c>
      <c r="O5" s="13" t="s">
        <v>3</v>
      </c>
      <c r="P5" s="13" t="s">
        <v>4</v>
      </c>
      <c r="Q5" s="13" t="s">
        <v>5</v>
      </c>
      <c r="R5" s="26" t="s">
        <v>361</v>
      </c>
    </row>
    <row r="6" spans="1:18" x14ac:dyDescent="0.25">
      <c r="A6" s="2">
        <f>RANK(I6,$I$6:$I$475,0)</f>
        <v>1</v>
      </c>
      <c r="B6" s="29" t="s">
        <v>338</v>
      </c>
      <c r="C6" s="18">
        <v>45375</v>
      </c>
      <c r="D6" s="1" t="s">
        <v>149</v>
      </c>
      <c r="E6" s="1" t="s">
        <v>22</v>
      </c>
      <c r="F6" s="1">
        <v>31</v>
      </c>
      <c r="G6" s="1">
        <v>25</v>
      </c>
      <c r="H6" s="1">
        <v>8</v>
      </c>
      <c r="I6" s="3">
        <f>SUM(F6:H6)</f>
        <v>64</v>
      </c>
      <c r="L6" s="2">
        <f t="shared" ref="L6:L33" si="0">RANK(R6,$R$6:$R$33,0)</f>
        <v>1</v>
      </c>
      <c r="M6" s="1" t="s">
        <v>470</v>
      </c>
      <c r="N6" s="1">
        <f>(COUNTIF($D$6:$D$475,M6))</f>
        <v>1</v>
      </c>
      <c r="O6" s="4" cm="1">
        <f t="array" ref="O6">(SUMPRODUCT(($D$6:$D$475=M6)*$F$6:$F$475))/(COUNTIF($D$6:$D$475,M6))</f>
        <v>33</v>
      </c>
      <c r="P6" s="4" cm="1">
        <f t="array" ref="P6">(SUMPRODUCT(($D$6:$D$475=M6)*$G$6:$G$475))/(COUNTIF($D$6:$D$475,M6))</f>
        <v>18</v>
      </c>
      <c r="Q6" s="4" cm="1">
        <f t="array" ref="Q6">(SUMPRODUCT(($D$6:$D$475=M6)*$H$6:$H$475))/(COUNTIF($D$6:$D$475,M6))</f>
        <v>10</v>
      </c>
      <c r="R6" s="5" cm="1">
        <f t="array" ref="R6">(SUMPRODUCT(($D$6:$D$475=M6)*$I$6:$I$475))/(COUNTIF($D$6:$D$475,M6))</f>
        <v>61</v>
      </c>
    </row>
    <row r="7" spans="1:18" x14ac:dyDescent="0.25">
      <c r="A7" s="2">
        <f>RANK(I7,$I$6:$I$475,0)</f>
        <v>2</v>
      </c>
      <c r="B7" s="29" t="s">
        <v>85</v>
      </c>
      <c r="C7" s="18">
        <v>44171</v>
      </c>
      <c r="D7" s="1" t="s">
        <v>69</v>
      </c>
      <c r="E7" s="1" t="s">
        <v>22</v>
      </c>
      <c r="F7" s="1">
        <v>32</v>
      </c>
      <c r="G7" s="1">
        <v>22</v>
      </c>
      <c r="H7" s="1">
        <v>9</v>
      </c>
      <c r="I7" s="3">
        <f>SUM(F7:H7)</f>
        <v>63</v>
      </c>
      <c r="L7" s="2">
        <f t="shared" si="0"/>
        <v>2</v>
      </c>
      <c r="M7" s="1" t="s">
        <v>379</v>
      </c>
      <c r="N7" s="1">
        <f>(COUNTIF($D$6:$D$475,M7))</f>
        <v>2</v>
      </c>
      <c r="O7" s="4" cm="1">
        <f t="array" ref="O7">(SUMPRODUCT(($D$6:$D$475=M7)*$F$6:$F$475))/(COUNTIF($D$6:$D$475,M7))</f>
        <v>29.5</v>
      </c>
      <c r="P7" s="4" cm="1">
        <f t="array" ref="P7">(SUMPRODUCT(($D$6:$D$475=M7)*$G$6:$G$475))/(COUNTIF($D$6:$D$475,M7))</f>
        <v>23.5</v>
      </c>
      <c r="Q7" s="4" cm="1">
        <f t="array" ref="Q7">(SUMPRODUCT(($D$6:$D$475=M7)*$H$6:$H$475))/(COUNTIF($D$6:$D$475,M7))</f>
        <v>7</v>
      </c>
      <c r="R7" s="5" cm="1">
        <f t="array" ref="R7">(SUMPRODUCT(($D$6:$D$475=M7)*$I$6:$I$475))/(COUNTIF($D$6:$D$475,M7))</f>
        <v>60</v>
      </c>
    </row>
    <row r="8" spans="1:18" x14ac:dyDescent="0.25">
      <c r="A8" s="2">
        <f>RANK(I8,$I$6:$I$475,0)</f>
        <v>2</v>
      </c>
      <c r="B8" s="29" t="s">
        <v>108</v>
      </c>
      <c r="C8" s="18">
        <v>43889</v>
      </c>
      <c r="D8" s="1" t="s">
        <v>69</v>
      </c>
      <c r="E8" s="1" t="s">
        <v>22</v>
      </c>
      <c r="F8" s="1">
        <v>32</v>
      </c>
      <c r="G8" s="1">
        <v>24</v>
      </c>
      <c r="H8" s="1">
        <v>7</v>
      </c>
      <c r="I8" s="3">
        <f>SUM(F8:H8)</f>
        <v>63</v>
      </c>
      <c r="L8" s="2">
        <f t="shared" si="0"/>
        <v>3</v>
      </c>
      <c r="M8" s="1" t="s">
        <v>497</v>
      </c>
      <c r="N8" s="1">
        <f>(COUNTIF($D$6:$D$475,M8))</f>
        <v>2</v>
      </c>
      <c r="O8" s="4" cm="1">
        <f t="array" ref="O8">(SUMPRODUCT(($D$6:$D$475=M8)*$F$6:$F$475))/(COUNTIF($D$6:$D$475,M8))</f>
        <v>31.5</v>
      </c>
      <c r="P8" s="4" cm="1">
        <f t="array" ref="P8">(SUMPRODUCT(($D$6:$D$475=M8)*$G$6:$G$475))/(COUNTIF($D$6:$D$475,M8))</f>
        <v>17</v>
      </c>
      <c r="Q8" s="4" cm="1">
        <f t="array" ref="Q8">(SUMPRODUCT(($D$6:$D$475=M8)*$H$6:$H$475))/(COUNTIF($D$6:$D$475,M8))</f>
        <v>8.5</v>
      </c>
      <c r="R8" s="5" cm="1">
        <f t="array" ref="R8">(SUMPRODUCT(($D$6:$D$475=M8)*$I$6:$I$475))/(COUNTIF($D$6:$D$475,M8))</f>
        <v>57</v>
      </c>
    </row>
    <row r="9" spans="1:18" x14ac:dyDescent="0.25">
      <c r="A9" s="2">
        <f>RANK(I9,$I$6:$I$475,0)</f>
        <v>2</v>
      </c>
      <c r="B9" s="1" t="s">
        <v>89</v>
      </c>
      <c r="C9" s="18">
        <v>45011</v>
      </c>
      <c r="D9" s="1" t="s">
        <v>66</v>
      </c>
      <c r="E9" s="1" t="s">
        <v>17</v>
      </c>
      <c r="F9" s="1">
        <v>32</v>
      </c>
      <c r="G9" s="1">
        <v>23</v>
      </c>
      <c r="H9" s="1">
        <v>8</v>
      </c>
      <c r="I9" s="3">
        <f>SUM(F9:H9)</f>
        <v>63</v>
      </c>
      <c r="L9" s="2">
        <f t="shared" si="0"/>
        <v>4</v>
      </c>
      <c r="M9" s="1" t="s">
        <v>377</v>
      </c>
      <c r="N9" s="1">
        <f>(COUNTIF($D$6:$D$475,M9))</f>
        <v>9</v>
      </c>
      <c r="O9" s="4" cm="1">
        <f t="array" ref="O9">(SUMPRODUCT(($D$6:$D$475=M9)*$F$6:$F$475))/(COUNTIF($D$6:$D$475,M9))</f>
        <v>29.111111111111111</v>
      </c>
      <c r="P9" s="4" cm="1">
        <f t="array" ref="P9">(SUMPRODUCT(($D$6:$D$475=M9)*$G$6:$G$475))/(COUNTIF($D$6:$D$475,M9))</f>
        <v>20.888888888888889</v>
      </c>
      <c r="Q9" s="4" cm="1">
        <f t="array" ref="Q9">(SUMPRODUCT(($D$6:$D$475=M9)*$H$6:$H$475))/(COUNTIF($D$6:$D$475,M9))</f>
        <v>6.8888888888888893</v>
      </c>
      <c r="R9" s="5" cm="1">
        <f t="array" ref="R9">(SUMPRODUCT(($D$6:$D$475=M9)*$I$6:$I$475))/(COUNTIF($D$6:$D$475,M9))</f>
        <v>56.888888888888886</v>
      </c>
    </row>
    <row r="10" spans="1:18" x14ac:dyDescent="0.25">
      <c r="A10" s="2">
        <f>RANK(I10,$I$6:$I$475,0)</f>
        <v>5</v>
      </c>
      <c r="B10" s="1" t="s">
        <v>277</v>
      </c>
      <c r="C10" s="18">
        <v>45039</v>
      </c>
      <c r="D10" s="1" t="s">
        <v>73</v>
      </c>
      <c r="E10" s="1" t="s">
        <v>22</v>
      </c>
      <c r="F10" s="1">
        <v>31</v>
      </c>
      <c r="G10" s="1">
        <v>23</v>
      </c>
      <c r="H10" s="1">
        <v>8</v>
      </c>
      <c r="I10" s="3">
        <f>SUM(F10:H10)</f>
        <v>62</v>
      </c>
      <c r="L10" s="2">
        <f t="shared" si="0"/>
        <v>5</v>
      </c>
      <c r="M10" s="1" t="s">
        <v>483</v>
      </c>
      <c r="N10" s="1">
        <f>(COUNTIF($D$6:$D$475,M10))</f>
        <v>10</v>
      </c>
      <c r="O10" s="4" cm="1">
        <f t="array" ref="O10">(SUMPRODUCT(($D$6:$D$475=M10)*$F$6:$F$475))/(COUNTIF($D$6:$D$475,M10))</f>
        <v>29</v>
      </c>
      <c r="P10" s="4" cm="1">
        <f t="array" ref="P10">(SUMPRODUCT(($D$6:$D$475=M10)*$G$6:$G$475))/(COUNTIF($D$6:$D$475,M10))</f>
        <v>20.399999999999999</v>
      </c>
      <c r="Q10" s="4" cm="1">
        <f t="array" ref="Q10">(SUMPRODUCT(($D$6:$D$475=M10)*$H$6:$H$475))/(COUNTIF($D$6:$D$475,M10))</f>
        <v>6.7</v>
      </c>
      <c r="R10" s="5" cm="1">
        <f t="array" ref="R10">(SUMPRODUCT(($D$6:$D$475=M10)*$I$6:$I$475))/(COUNTIF($D$6:$D$475,M10))</f>
        <v>56.1</v>
      </c>
    </row>
    <row r="11" spans="1:18" x14ac:dyDescent="0.25">
      <c r="A11" s="2">
        <f>RANK(I11,$I$6:$I$475,0)</f>
        <v>5</v>
      </c>
      <c r="B11" s="1" t="s">
        <v>278</v>
      </c>
      <c r="C11" s="18">
        <v>45039</v>
      </c>
      <c r="D11" s="1" t="s">
        <v>73</v>
      </c>
      <c r="E11" s="1" t="s">
        <v>33</v>
      </c>
      <c r="F11" s="1">
        <v>31</v>
      </c>
      <c r="G11" s="1">
        <v>23</v>
      </c>
      <c r="H11" s="1">
        <v>8</v>
      </c>
      <c r="I11" s="3">
        <f>SUM(F11:H11)</f>
        <v>62</v>
      </c>
      <c r="L11" s="2">
        <f t="shared" si="0"/>
        <v>6</v>
      </c>
      <c r="M11" s="1" t="s">
        <v>378</v>
      </c>
      <c r="N11" s="1">
        <f>(COUNTIF($D$6:$D$475,M11))</f>
        <v>23</v>
      </c>
      <c r="O11" s="4" cm="1">
        <f t="array" ref="O11">(SUMPRODUCT(($D$6:$D$475=M11)*$F$6:$F$475))/(COUNTIF($D$6:$D$475,M11))</f>
        <v>28.304347826086957</v>
      </c>
      <c r="P11" s="4" cm="1">
        <f t="array" ref="P11">(SUMPRODUCT(($D$6:$D$475=M11)*$G$6:$G$475))/(COUNTIF($D$6:$D$475,M11))</f>
        <v>21.956521739130434</v>
      </c>
      <c r="Q11" s="4" cm="1">
        <f t="array" ref="Q11">(SUMPRODUCT(($D$6:$D$475=M11)*$H$6:$H$475))/(COUNTIF($D$6:$D$475,M11))</f>
        <v>5.6521739130434785</v>
      </c>
      <c r="R11" s="5" cm="1">
        <f t="array" ref="R11">(SUMPRODUCT(($D$6:$D$475=M11)*$I$6:$I$475))/(COUNTIF($D$6:$D$475,M11))</f>
        <v>55.913043478260867</v>
      </c>
    </row>
    <row r="12" spans="1:18" x14ac:dyDescent="0.25">
      <c r="A12" s="2">
        <f>RANK(I12,$I$6:$I$475,0)</f>
        <v>7</v>
      </c>
      <c r="B12" s="29" t="s">
        <v>19</v>
      </c>
      <c r="C12" s="18">
        <v>44409</v>
      </c>
      <c r="D12" s="1" t="s">
        <v>66</v>
      </c>
      <c r="E12" s="1" t="s">
        <v>20</v>
      </c>
      <c r="F12" s="1">
        <v>28</v>
      </c>
      <c r="G12" s="1">
        <v>24</v>
      </c>
      <c r="H12" s="1">
        <v>9</v>
      </c>
      <c r="I12" s="3">
        <f>SUM(F12:H12)</f>
        <v>61</v>
      </c>
      <c r="L12" s="2">
        <f t="shared" si="0"/>
        <v>7</v>
      </c>
      <c r="M12" s="1" t="s">
        <v>478</v>
      </c>
      <c r="N12" s="1">
        <f>(COUNTIF($D$6:$D$475,M12))</f>
        <v>1</v>
      </c>
      <c r="O12" s="4" cm="1">
        <f t="array" ref="O12">(SUMPRODUCT(($D$6:$D$475=M12)*$F$6:$F$475))/(COUNTIF($D$6:$D$475,M12))</f>
        <v>27</v>
      </c>
      <c r="P12" s="4" cm="1">
        <f t="array" ref="P12">(SUMPRODUCT(($D$6:$D$475=M12)*$G$6:$G$475))/(COUNTIF($D$6:$D$475,M12))</f>
        <v>24</v>
      </c>
      <c r="Q12" s="4" cm="1">
        <f t="array" ref="Q12">(SUMPRODUCT(($D$6:$D$475=M12)*$H$6:$H$475))/(COUNTIF($D$6:$D$475,M12))</f>
        <v>4</v>
      </c>
      <c r="R12" s="5" cm="1">
        <f t="array" ref="R12">(SUMPRODUCT(($D$6:$D$475=M12)*$I$6:$I$475))/(COUNTIF($D$6:$D$475,M12))</f>
        <v>55</v>
      </c>
    </row>
    <row r="13" spans="1:18" x14ac:dyDescent="0.25">
      <c r="A13" s="2">
        <f>RANK(I13,$I$6:$I$475,0)</f>
        <v>7</v>
      </c>
      <c r="B13" s="1" t="s">
        <v>125</v>
      </c>
      <c r="C13" s="18">
        <v>44344</v>
      </c>
      <c r="D13" s="1" t="s">
        <v>71</v>
      </c>
      <c r="E13" s="1" t="s">
        <v>22</v>
      </c>
      <c r="F13" s="1">
        <v>31</v>
      </c>
      <c r="G13" s="1">
        <v>21</v>
      </c>
      <c r="H13" s="1">
        <v>9</v>
      </c>
      <c r="I13" s="3">
        <f>SUM(F13:H13)</f>
        <v>61</v>
      </c>
      <c r="L13" s="2">
        <f t="shared" si="0"/>
        <v>8</v>
      </c>
      <c r="M13" s="1" t="s">
        <v>184</v>
      </c>
      <c r="N13" s="1">
        <f>(COUNTIF($D$6:$D$475,M13))</f>
        <v>8</v>
      </c>
      <c r="O13" s="4" cm="1">
        <f t="array" ref="O13">(SUMPRODUCT(($D$6:$D$475=M13)*$F$6:$F$475))/(COUNTIF($D$6:$D$475,M13))</f>
        <v>27.875</v>
      </c>
      <c r="P13" s="4" cm="1">
        <f t="array" ref="P13">(SUMPRODUCT(($D$6:$D$475=M13)*$G$6:$G$475))/(COUNTIF($D$6:$D$475,M13))</f>
        <v>19.625</v>
      </c>
      <c r="Q13" s="4" cm="1">
        <f t="array" ref="Q13">(SUMPRODUCT(($D$6:$D$475=M13)*$H$6:$H$475))/(COUNTIF($D$6:$D$475,M13))</f>
        <v>6.375</v>
      </c>
      <c r="R13" s="5" cm="1">
        <f t="array" ref="R13">(SUMPRODUCT(($D$6:$D$475=M13)*$I$6:$I$475))/(COUNTIF($D$6:$D$475,M13))</f>
        <v>53.875</v>
      </c>
    </row>
    <row r="14" spans="1:18" x14ac:dyDescent="0.25">
      <c r="A14" s="2">
        <f>RANK(I14,$I$6:$I$475,0)</f>
        <v>7</v>
      </c>
      <c r="B14" s="1" t="s">
        <v>194</v>
      </c>
      <c r="C14" s="18">
        <v>45235</v>
      </c>
      <c r="D14" s="1" t="s">
        <v>236</v>
      </c>
      <c r="E14" s="1" t="s">
        <v>22</v>
      </c>
      <c r="F14" s="1">
        <v>32</v>
      </c>
      <c r="G14" s="1">
        <v>21</v>
      </c>
      <c r="H14" s="1">
        <v>8</v>
      </c>
      <c r="I14" s="3">
        <f>SUM(F14:H14)</f>
        <v>61</v>
      </c>
      <c r="L14" s="2">
        <f t="shared" si="0"/>
        <v>9</v>
      </c>
      <c r="M14" s="1" t="s">
        <v>131</v>
      </c>
      <c r="N14" s="1">
        <f>(COUNTIF($D$6:$D$475,M14))</f>
        <v>2</v>
      </c>
      <c r="O14" s="4" cm="1">
        <f t="array" ref="O14">(SUMPRODUCT(($D$6:$D$475=M14)*$F$6:$F$475))/(COUNTIF($D$6:$D$475,M14))</f>
        <v>28.5</v>
      </c>
      <c r="P14" s="4" cm="1">
        <f t="array" ref="P14">(SUMPRODUCT(($D$6:$D$475=M14)*$G$6:$G$475))/(COUNTIF($D$6:$D$475,M14))</f>
        <v>18.5</v>
      </c>
      <c r="Q14" s="4" cm="1">
        <f t="array" ref="Q14">(SUMPRODUCT(($D$6:$D$475=M14)*$H$6:$H$475))/(COUNTIF($D$6:$D$475,M14))</f>
        <v>6</v>
      </c>
      <c r="R14" s="5" cm="1">
        <f t="array" ref="R14">(SUMPRODUCT(($D$6:$D$475=M14)*$I$6:$I$475))/(COUNTIF($D$6:$D$475,M14))</f>
        <v>53</v>
      </c>
    </row>
    <row r="15" spans="1:18" x14ac:dyDescent="0.25">
      <c r="A15" s="2">
        <f>RANK(I15,$I$6:$I$475,0)</f>
        <v>7</v>
      </c>
      <c r="B15" s="29" t="s">
        <v>389</v>
      </c>
      <c r="C15" s="18">
        <v>45620</v>
      </c>
      <c r="D15" s="1" t="s">
        <v>378</v>
      </c>
      <c r="E15" s="1" t="s">
        <v>22</v>
      </c>
      <c r="F15" s="1">
        <v>31</v>
      </c>
      <c r="G15" s="1">
        <v>23</v>
      </c>
      <c r="H15" s="1">
        <v>7</v>
      </c>
      <c r="I15" s="3">
        <f>SUM(F15:H15)</f>
        <v>61</v>
      </c>
      <c r="L15" s="2">
        <f t="shared" si="0"/>
        <v>10</v>
      </c>
      <c r="M15" s="1" t="s">
        <v>307</v>
      </c>
      <c r="N15" s="1">
        <f>(COUNTIF($D$6:$D$475,M15))</f>
        <v>9</v>
      </c>
      <c r="O15" s="4" cm="1">
        <f t="array" ref="O15">(SUMPRODUCT(($D$6:$D$475=M15)*$F$6:$F$475))/(COUNTIF($D$6:$D$475,M15))</f>
        <v>27.555555555555557</v>
      </c>
      <c r="P15" s="4" cm="1">
        <f t="array" ref="P15">(SUMPRODUCT(($D$6:$D$475=M15)*$G$6:$G$475))/(COUNTIF($D$6:$D$475,M15))</f>
        <v>18.666666666666668</v>
      </c>
      <c r="Q15" s="4" cm="1">
        <f t="array" ref="Q15">(SUMPRODUCT(($D$6:$D$475=M15)*$H$6:$H$475))/(COUNTIF($D$6:$D$475,M15))</f>
        <v>6.2222222222222223</v>
      </c>
      <c r="R15" s="5" cm="1">
        <f t="array" ref="R15">(SUMPRODUCT(($D$6:$D$475=M15)*$I$6:$I$475))/(COUNTIF($D$6:$D$475,M15))</f>
        <v>52.444444444444443</v>
      </c>
    </row>
    <row r="16" spans="1:18" x14ac:dyDescent="0.25">
      <c r="A16" s="2">
        <f>RANK(I16,$I$6:$I$475,0)</f>
        <v>7</v>
      </c>
      <c r="B16" s="29" t="s">
        <v>426</v>
      </c>
      <c r="C16" s="18">
        <v>45774</v>
      </c>
      <c r="D16" s="1" t="s">
        <v>470</v>
      </c>
      <c r="E16" s="1" t="s">
        <v>22</v>
      </c>
      <c r="F16" s="1">
        <v>33</v>
      </c>
      <c r="G16" s="1">
        <v>18</v>
      </c>
      <c r="H16" s="1">
        <v>10</v>
      </c>
      <c r="I16" s="3">
        <f>SUM(F16:H16)</f>
        <v>61</v>
      </c>
      <c r="L16" s="2">
        <f t="shared" si="0"/>
        <v>11</v>
      </c>
      <c r="M16" s="1" t="s">
        <v>266</v>
      </c>
      <c r="N16" s="1">
        <f>(COUNTIF($D$6:$D$475,M16))</f>
        <v>20</v>
      </c>
      <c r="O16" s="4" cm="1">
        <f t="array" ref="O16">(SUMPRODUCT(($D$6:$D$475=M16)*$F$6:$F$475))/(COUNTIF($D$6:$D$475,M16))</f>
        <v>28.15</v>
      </c>
      <c r="P16" s="4" cm="1">
        <f t="array" ref="P16">(SUMPRODUCT(($D$6:$D$475=M16)*$G$6:$G$475))/(COUNTIF($D$6:$D$475,M16))</f>
        <v>18.149999999999999</v>
      </c>
      <c r="Q16" s="4" cm="1">
        <f t="array" ref="Q16">(SUMPRODUCT(($D$6:$D$475=M16)*$H$6:$H$475))/(COUNTIF($D$6:$D$475,M16))</f>
        <v>6.05</v>
      </c>
      <c r="R16" s="5" cm="1">
        <f t="array" ref="R16">(SUMPRODUCT(($D$6:$D$475=M16)*$I$6:$I$475))/(COUNTIF($D$6:$D$475,M16))</f>
        <v>52.35</v>
      </c>
    </row>
    <row r="17" spans="1:18" x14ac:dyDescent="0.25">
      <c r="A17" s="2">
        <f>RANK(I17,$I$6:$I$475,0)</f>
        <v>7</v>
      </c>
      <c r="B17" s="29" t="s">
        <v>436</v>
      </c>
      <c r="C17" s="18">
        <v>45809</v>
      </c>
      <c r="D17" s="1" t="s">
        <v>71</v>
      </c>
      <c r="E17" s="1" t="s">
        <v>22</v>
      </c>
      <c r="F17" s="1">
        <v>31</v>
      </c>
      <c r="G17" s="1">
        <v>21</v>
      </c>
      <c r="H17" s="1">
        <v>9</v>
      </c>
      <c r="I17" s="3">
        <f>SUM(F17:H17)</f>
        <v>61</v>
      </c>
      <c r="L17" s="2">
        <f t="shared" si="0"/>
        <v>12</v>
      </c>
      <c r="M17" s="1" t="s">
        <v>66</v>
      </c>
      <c r="N17" s="1">
        <f>(COUNTIF($D$6:$D$475,M17))</f>
        <v>19</v>
      </c>
      <c r="O17" s="4" cm="1">
        <f t="array" ref="O17">(SUMPRODUCT(($D$6:$D$475=M17)*$F$6:$F$475))/(COUNTIF($D$6:$D$475,M17))</f>
        <v>26.789473684210527</v>
      </c>
      <c r="P17" s="4" cm="1">
        <f t="array" ref="P17">(SUMPRODUCT(($D$6:$D$475=M17)*$G$6:$G$475))/(COUNTIF($D$6:$D$475,M17))</f>
        <v>19.578947368421051</v>
      </c>
      <c r="Q17" s="4" cm="1">
        <f t="array" ref="Q17">(SUMPRODUCT(($D$6:$D$475=M17)*$H$6:$H$475))/(COUNTIF($D$6:$D$475,M17))</f>
        <v>5.7368421052631575</v>
      </c>
      <c r="R17" s="5" cm="1">
        <f t="array" ref="R17">(SUMPRODUCT(($D$6:$D$475=M17)*$I$6:$I$475))/(COUNTIF($D$6:$D$475,M17))</f>
        <v>52.10526315789474</v>
      </c>
    </row>
    <row r="18" spans="1:18" x14ac:dyDescent="0.25">
      <c r="A18" s="2">
        <f>RANK(I18,$I$6:$I$475,0)</f>
        <v>7</v>
      </c>
      <c r="B18" s="29" t="s">
        <v>446</v>
      </c>
      <c r="C18" s="18">
        <v>45851</v>
      </c>
      <c r="D18" s="1" t="s">
        <v>377</v>
      </c>
      <c r="E18" s="1" t="s">
        <v>22</v>
      </c>
      <c r="F18" s="1">
        <v>32</v>
      </c>
      <c r="G18" s="1">
        <v>21</v>
      </c>
      <c r="H18" s="1">
        <v>8</v>
      </c>
      <c r="I18" s="3">
        <f>SUM(F18:H18)</f>
        <v>61</v>
      </c>
      <c r="L18" s="2">
        <f t="shared" si="0"/>
        <v>13</v>
      </c>
      <c r="M18" s="1" t="s">
        <v>368</v>
      </c>
      <c r="N18" s="1">
        <f>(COUNTIF($D$6:$D$475,M18))</f>
        <v>5</v>
      </c>
      <c r="O18" s="4" cm="1">
        <f t="array" ref="O18">(SUMPRODUCT(($D$6:$D$475=M18)*$F$6:$F$475))/(COUNTIF($D$6:$D$475,M18))</f>
        <v>27.6</v>
      </c>
      <c r="P18" s="4" cm="1">
        <f t="array" ref="P18">(SUMPRODUCT(($D$6:$D$475=M18)*$G$6:$G$475))/(COUNTIF($D$6:$D$475,M18))</f>
        <v>19.2</v>
      </c>
      <c r="Q18" s="4" cm="1">
        <f t="array" ref="Q18">(SUMPRODUCT(($D$6:$D$475=M18)*$H$6:$H$475))/(COUNTIF($D$6:$D$475,M18))</f>
        <v>5</v>
      </c>
      <c r="R18" s="5" cm="1">
        <f t="array" ref="R18">(SUMPRODUCT(($D$6:$D$475=M18)*$I$6:$I$475))/(COUNTIF($D$6:$D$475,M18))</f>
        <v>51.8</v>
      </c>
    </row>
    <row r="19" spans="1:18" x14ac:dyDescent="0.25">
      <c r="A19" s="2">
        <f>RANK(I19,$I$6:$I$475,0)</f>
        <v>7</v>
      </c>
      <c r="B19" s="29" t="s">
        <v>507</v>
      </c>
      <c r="C19" s="18">
        <v>46131</v>
      </c>
      <c r="D19" s="1" t="s">
        <v>266</v>
      </c>
      <c r="E19" s="1" t="s">
        <v>22</v>
      </c>
      <c r="F19" s="1">
        <v>31</v>
      </c>
      <c r="G19" s="1">
        <v>22</v>
      </c>
      <c r="H19" s="1">
        <v>8</v>
      </c>
      <c r="I19" s="3">
        <f>SUM(F19:H19)</f>
        <v>61</v>
      </c>
      <c r="L19" s="2">
        <f t="shared" si="0"/>
        <v>14</v>
      </c>
      <c r="M19" s="1" t="s">
        <v>71</v>
      </c>
      <c r="N19" s="1">
        <f>(COUNTIF($D$6:$D$475,M19))</f>
        <v>70</v>
      </c>
      <c r="O19" s="4" cm="1">
        <f t="array" ref="O19">(SUMPRODUCT(($D$6:$D$475=M19)*$F$6:$F$475))/(COUNTIF($D$6:$D$475,M19))</f>
        <v>27.671428571428571</v>
      </c>
      <c r="P19" s="4" cm="1">
        <f t="array" ref="P19">(SUMPRODUCT(($D$6:$D$475=M19)*$G$6:$G$475))/(COUNTIF($D$6:$D$475,M19))</f>
        <v>17.742857142857144</v>
      </c>
      <c r="Q19" s="4" cm="1">
        <f t="array" ref="Q19">(SUMPRODUCT(($D$6:$D$475=M19)*$H$6:$H$475))/(COUNTIF($D$6:$D$475,M19))</f>
        <v>5.8428571428571425</v>
      </c>
      <c r="R19" s="5" cm="1">
        <f t="array" ref="R19">(SUMPRODUCT(($D$6:$D$475=M19)*$I$6:$I$475))/(COUNTIF($D$6:$D$475,M19))</f>
        <v>51.25714285714286</v>
      </c>
    </row>
    <row r="20" spans="1:18" x14ac:dyDescent="0.25">
      <c r="A20" s="2">
        <f>RANK(I20,$I$6:$I$475,0)</f>
        <v>7</v>
      </c>
      <c r="B20" s="29" t="s">
        <v>534</v>
      </c>
      <c r="C20" s="18">
        <v>46292</v>
      </c>
      <c r="D20" s="1" t="s">
        <v>378</v>
      </c>
      <c r="E20" s="1" t="s">
        <v>22</v>
      </c>
      <c r="F20" s="1">
        <v>30</v>
      </c>
      <c r="G20" s="1">
        <v>24</v>
      </c>
      <c r="H20" s="1">
        <v>7</v>
      </c>
      <c r="I20" s="3">
        <f>SUM(F20:H20)</f>
        <v>61</v>
      </c>
      <c r="L20" s="2">
        <f t="shared" si="0"/>
        <v>15</v>
      </c>
      <c r="M20" s="1" t="s">
        <v>70</v>
      </c>
      <c r="N20" s="1">
        <f>(COUNTIF($D$6:$D$475,M20))</f>
        <v>6</v>
      </c>
      <c r="O20" s="4" cm="1">
        <f t="array" ref="O20">(SUMPRODUCT(($D$6:$D$475=M20)*$F$6:$F$475))/(COUNTIF($D$6:$D$475,M20))</f>
        <v>27.666666666666668</v>
      </c>
      <c r="P20" s="4" cm="1">
        <f t="array" ref="P20">(SUMPRODUCT(($D$6:$D$475=M20)*$G$6:$G$475))/(COUNTIF($D$6:$D$475,M20))</f>
        <v>16.666666666666668</v>
      </c>
      <c r="Q20" s="4" cm="1">
        <f t="array" ref="Q20">(SUMPRODUCT(($D$6:$D$475=M20)*$H$6:$H$475))/(COUNTIF($D$6:$D$475,M20))</f>
        <v>6.5</v>
      </c>
      <c r="R20" s="5" cm="1">
        <f t="array" ref="R20">(SUMPRODUCT(($D$6:$D$475=M20)*$I$6:$I$475))/(COUNTIF($D$6:$D$475,M20))</f>
        <v>50.833333333333336</v>
      </c>
    </row>
    <row r="21" spans="1:18" x14ac:dyDescent="0.25">
      <c r="A21" s="2">
        <f>RANK(I21,$I$6:$I$475,0)</f>
        <v>16</v>
      </c>
      <c r="B21" s="29" t="s">
        <v>280</v>
      </c>
      <c r="C21" s="18">
        <v>45220</v>
      </c>
      <c r="D21" s="1" t="s">
        <v>307</v>
      </c>
      <c r="E21" s="1" t="s">
        <v>33</v>
      </c>
      <c r="F21" s="1">
        <v>33</v>
      </c>
      <c r="G21" s="1">
        <v>18</v>
      </c>
      <c r="H21" s="1">
        <v>9</v>
      </c>
      <c r="I21" s="3">
        <f>SUM(F21:H21)</f>
        <v>60</v>
      </c>
      <c r="L21" s="2">
        <f t="shared" si="0"/>
        <v>16</v>
      </c>
      <c r="M21" s="1" t="s">
        <v>236</v>
      </c>
      <c r="N21" s="1">
        <f>(COUNTIF($D$6:$D$475,M21))</f>
        <v>15</v>
      </c>
      <c r="O21" s="4" cm="1">
        <f t="array" ref="O21">(SUMPRODUCT(($D$6:$D$475=M21)*$F$6:$F$475))/(COUNTIF($D$6:$D$475,M21))</f>
        <v>27.533333333333335</v>
      </c>
      <c r="P21" s="4" cm="1">
        <f t="array" ref="P21">(SUMPRODUCT(($D$6:$D$475=M21)*$G$6:$G$475))/(COUNTIF($D$6:$D$475,M21))</f>
        <v>17.466666666666665</v>
      </c>
      <c r="Q21" s="4" cm="1">
        <f t="array" ref="Q21">(SUMPRODUCT(($D$6:$D$475=M21)*$H$6:$H$475))/(COUNTIF($D$6:$D$475,M21))</f>
        <v>5.8</v>
      </c>
      <c r="R21" s="5" cm="1">
        <f t="array" ref="R21">(SUMPRODUCT(($D$6:$D$475=M21)*$I$6:$I$475))/(COUNTIF($D$6:$D$475,M21))</f>
        <v>50.8</v>
      </c>
    </row>
    <row r="22" spans="1:18" x14ac:dyDescent="0.25">
      <c r="A22" s="2">
        <f>RANK(I22,$I$6:$I$475,0)</f>
        <v>16</v>
      </c>
      <c r="B22" s="29" t="s">
        <v>352</v>
      </c>
      <c r="C22" s="18">
        <v>45466</v>
      </c>
      <c r="D22" s="1" t="s">
        <v>154</v>
      </c>
      <c r="E22" s="1" t="s">
        <v>22</v>
      </c>
      <c r="F22" s="1">
        <v>31</v>
      </c>
      <c r="G22" s="1">
        <v>20</v>
      </c>
      <c r="H22" s="1">
        <v>9</v>
      </c>
      <c r="I22" s="3">
        <f>SUM(F22:H22)</f>
        <v>60</v>
      </c>
      <c r="L22" s="2">
        <f t="shared" si="0"/>
        <v>17</v>
      </c>
      <c r="M22" s="1" t="s">
        <v>309</v>
      </c>
      <c r="N22" s="1">
        <f>(COUNTIF($D$6:$D$475,M22))</f>
        <v>7</v>
      </c>
      <c r="O22" s="4" cm="1">
        <f t="array" ref="O22">(SUMPRODUCT(($D$6:$D$475=M22)*$F$6:$F$475))/(COUNTIF($D$6:$D$475,M22))</f>
        <v>27.428571428571427</v>
      </c>
      <c r="P22" s="4" cm="1">
        <f t="array" ref="P22">(SUMPRODUCT(($D$6:$D$475=M22)*$G$6:$G$475))/(COUNTIF($D$6:$D$475,M22))</f>
        <v>17.714285714285715</v>
      </c>
      <c r="Q22" s="4" cm="1">
        <f t="array" ref="Q22">(SUMPRODUCT(($D$6:$D$475=M22)*$H$6:$H$475))/(COUNTIF($D$6:$D$475,M22))</f>
        <v>5.5714285714285712</v>
      </c>
      <c r="R22" s="5" cm="1">
        <f t="array" ref="R22">(SUMPRODUCT(($D$6:$D$475=M22)*$I$6:$I$475))/(COUNTIF($D$6:$D$475,M22))</f>
        <v>50.714285714285715</v>
      </c>
    </row>
    <row r="23" spans="1:18" x14ac:dyDescent="0.25">
      <c r="A23" s="2">
        <f>RANK(I23,$I$6:$I$475,0)</f>
        <v>16</v>
      </c>
      <c r="B23" s="29" t="s">
        <v>346</v>
      </c>
      <c r="C23" s="18">
        <v>45424</v>
      </c>
      <c r="D23" s="1" t="s">
        <v>378</v>
      </c>
      <c r="E23" s="1" t="s">
        <v>22</v>
      </c>
      <c r="F23" s="1">
        <v>30</v>
      </c>
      <c r="G23" s="1">
        <v>23</v>
      </c>
      <c r="H23" s="1">
        <v>7</v>
      </c>
      <c r="I23" s="3">
        <f>SUM(F23:H23)</f>
        <v>60</v>
      </c>
      <c r="L23" s="2">
        <f t="shared" si="0"/>
        <v>18</v>
      </c>
      <c r="M23" s="1" t="s">
        <v>74</v>
      </c>
      <c r="N23" s="1">
        <f>(COUNTIF($D$6:$D$475,M23))</f>
        <v>32</v>
      </c>
      <c r="O23" s="4" cm="1">
        <f t="array" ref="O23">(SUMPRODUCT(($D$6:$D$475=M23)*$F$6:$F$475))/(COUNTIF($D$6:$D$475,M23))</f>
        <v>26.65625</v>
      </c>
      <c r="P23" s="4" cm="1">
        <f t="array" ref="P23">(SUMPRODUCT(($D$6:$D$475=M23)*$G$6:$G$475))/(COUNTIF($D$6:$D$475,M23))</f>
        <v>17.71875</v>
      </c>
      <c r="Q23" s="4" cm="1">
        <f t="array" ref="Q23">(SUMPRODUCT(($D$6:$D$475=M23)*$H$6:$H$475))/(COUNTIF($D$6:$D$475,M23))</f>
        <v>5.46875</v>
      </c>
      <c r="R23" s="5" cm="1">
        <f t="array" ref="R23">(SUMPRODUCT(($D$6:$D$475=M23)*$I$6:$I$475))/(COUNTIF($D$6:$D$475,M23))</f>
        <v>49.84375</v>
      </c>
    </row>
    <row r="24" spans="1:18" x14ac:dyDescent="0.25">
      <c r="A24" s="2">
        <f>RANK(I24,$I$6:$I$475,0)</f>
        <v>16</v>
      </c>
      <c r="B24" s="1" t="s">
        <v>303</v>
      </c>
      <c r="C24" s="18">
        <v>45207</v>
      </c>
      <c r="D24" s="1" t="s">
        <v>149</v>
      </c>
      <c r="E24" s="1" t="s">
        <v>33</v>
      </c>
      <c r="F24" s="1">
        <v>30</v>
      </c>
      <c r="G24" s="1">
        <v>23</v>
      </c>
      <c r="H24" s="1">
        <v>7</v>
      </c>
      <c r="I24" s="3">
        <f>SUM(F24:H24)</f>
        <v>60</v>
      </c>
      <c r="L24" s="2">
        <f t="shared" si="0"/>
        <v>19</v>
      </c>
      <c r="M24" s="1" t="s">
        <v>154</v>
      </c>
      <c r="N24" s="1">
        <f>(COUNTIF($D$6:$D$475,M24))</f>
        <v>16</v>
      </c>
      <c r="O24" s="4" cm="1">
        <f t="array" ref="O24">(SUMPRODUCT(($D$6:$D$475=M24)*$F$6:$F$475))/(COUNTIF($D$6:$D$475,M24))</f>
        <v>26.8125</v>
      </c>
      <c r="P24" s="4" cm="1">
        <f t="array" ref="P24">(SUMPRODUCT(($D$6:$D$475=M24)*$G$6:$G$475))/(COUNTIF($D$6:$D$475,M24))</f>
        <v>17.0625</v>
      </c>
      <c r="Q24" s="4" cm="1">
        <f t="array" ref="Q24">(SUMPRODUCT(($D$6:$D$475=M24)*$H$6:$H$475))/(COUNTIF($D$6:$D$475,M24))</f>
        <v>5.8125</v>
      </c>
      <c r="R24" s="5" cm="1">
        <f t="array" ref="R24">(SUMPRODUCT(($D$6:$D$475=M24)*$I$6:$I$475))/(COUNTIF($D$6:$D$475,M24))</f>
        <v>49.6875</v>
      </c>
    </row>
    <row r="25" spans="1:18" x14ac:dyDescent="0.25">
      <c r="A25" s="2">
        <f>RANK(I25,$I$6:$I$475,0)</f>
        <v>16</v>
      </c>
      <c r="B25" s="1" t="s">
        <v>317</v>
      </c>
      <c r="C25" s="18">
        <v>45263</v>
      </c>
      <c r="D25" s="1" t="s">
        <v>379</v>
      </c>
      <c r="E25" s="1" t="s">
        <v>22</v>
      </c>
      <c r="F25" s="1">
        <v>29</v>
      </c>
      <c r="G25" s="1">
        <v>24</v>
      </c>
      <c r="H25" s="1">
        <v>7</v>
      </c>
      <c r="I25" s="3">
        <f>SUM(F25:H25)</f>
        <v>60</v>
      </c>
      <c r="L25" s="2">
        <f t="shared" si="0"/>
        <v>20</v>
      </c>
      <c r="M25" s="1" t="s">
        <v>72</v>
      </c>
      <c r="N25" s="1">
        <f>(COUNTIF($D$6:$D$475,M25))</f>
        <v>30</v>
      </c>
      <c r="O25" s="4" cm="1">
        <f t="array" ref="O25">(SUMPRODUCT(($D$6:$D$475=M25)*$F$6:$F$475))/(COUNTIF($D$6:$D$475,M25))</f>
        <v>26.966666666666665</v>
      </c>
      <c r="P25" s="4" cm="1">
        <f t="array" ref="P25">(SUMPRODUCT(($D$6:$D$475=M25)*$G$6:$G$475))/(COUNTIF($D$6:$D$475,M25))</f>
        <v>16.766666666666666</v>
      </c>
      <c r="Q25" s="4" cm="1">
        <f t="array" ref="Q25">(SUMPRODUCT(($D$6:$D$475=M25)*$H$6:$H$475))/(COUNTIF($D$6:$D$475,M25))</f>
        <v>5.7666666666666666</v>
      </c>
      <c r="R25" s="5" cm="1">
        <f t="array" ref="R25">(SUMPRODUCT(($D$6:$D$475=M25)*$I$6:$I$475))/(COUNTIF($D$6:$D$475,M25))</f>
        <v>49.5</v>
      </c>
    </row>
    <row r="26" spans="1:18" x14ac:dyDescent="0.25">
      <c r="A26" s="2">
        <f>RANK(I26,$I$6:$I$475,0)</f>
        <v>16</v>
      </c>
      <c r="B26" s="29" t="s">
        <v>366</v>
      </c>
      <c r="C26" s="18">
        <v>45536</v>
      </c>
      <c r="D26" s="1" t="s">
        <v>379</v>
      </c>
      <c r="E26" s="1" t="s">
        <v>22</v>
      </c>
      <c r="F26" s="1">
        <v>30</v>
      </c>
      <c r="G26" s="1">
        <v>23</v>
      </c>
      <c r="H26" s="1">
        <v>7</v>
      </c>
      <c r="I26" s="3">
        <f>SUM(F26:H26)</f>
        <v>60</v>
      </c>
      <c r="L26" s="2">
        <f t="shared" si="0"/>
        <v>21</v>
      </c>
      <c r="M26" s="1" t="s">
        <v>69</v>
      </c>
      <c r="N26" s="1">
        <f>(COUNTIF($D$6:$D$475,M26))</f>
        <v>55</v>
      </c>
      <c r="O26" s="4" cm="1">
        <f t="array" ref="O26">(SUMPRODUCT(($D$6:$D$475=M26)*$F$6:$F$475))/(COUNTIF($D$6:$D$475,M26))</f>
        <v>26.672727272727272</v>
      </c>
      <c r="P26" s="4" cm="1">
        <f t="array" ref="P26">(SUMPRODUCT(($D$6:$D$475=M26)*$G$6:$G$475))/(COUNTIF($D$6:$D$475,M26))</f>
        <v>17.381818181818183</v>
      </c>
      <c r="Q26" s="4" cm="1">
        <f t="array" ref="Q26">(SUMPRODUCT(($D$6:$D$475=M26)*$H$6:$H$475))/(COUNTIF($D$6:$D$475,M26))</f>
        <v>5.3090909090909095</v>
      </c>
      <c r="R26" s="5" cm="1">
        <f t="array" ref="R26">(SUMPRODUCT(($D$6:$D$475=M26)*$I$6:$I$475))/(COUNTIF($D$6:$D$475,M26))</f>
        <v>49.363636363636367</v>
      </c>
    </row>
    <row r="27" spans="1:18" x14ac:dyDescent="0.25">
      <c r="A27" s="2">
        <f>RANK(I27,$I$6:$I$475,0)</f>
        <v>16</v>
      </c>
      <c r="B27" s="1" t="s">
        <v>380</v>
      </c>
      <c r="C27" s="18">
        <v>45578</v>
      </c>
      <c r="D27" s="1" t="s">
        <v>377</v>
      </c>
      <c r="E27" s="1" t="s">
        <v>22</v>
      </c>
      <c r="F27" s="1">
        <v>29</v>
      </c>
      <c r="G27" s="1">
        <v>25</v>
      </c>
      <c r="H27" s="1">
        <v>6</v>
      </c>
      <c r="I27" s="3">
        <f>SUM(F27:H27)</f>
        <v>60</v>
      </c>
      <c r="L27" s="2">
        <f t="shared" si="0"/>
        <v>22</v>
      </c>
      <c r="M27" s="1" t="s">
        <v>68</v>
      </c>
      <c r="N27" s="1">
        <f>(COUNTIF($D$6:$D$475,M27))</f>
        <v>47</v>
      </c>
      <c r="O27" s="4" cm="1">
        <f t="array" ref="O27">(SUMPRODUCT(($D$6:$D$475=M27)*$F$6:$F$475))/(COUNTIF($D$6:$D$475,M27))</f>
        <v>26.702127659574469</v>
      </c>
      <c r="P27" s="4" cm="1">
        <f t="array" ref="P27">(SUMPRODUCT(($D$6:$D$475=M27)*$G$6:$G$475))/(COUNTIF($D$6:$D$475,M27))</f>
        <v>16.893617021276597</v>
      </c>
      <c r="Q27" s="4" cm="1">
        <f t="array" ref="Q27">(SUMPRODUCT(($D$6:$D$475=M27)*$H$6:$H$475))/(COUNTIF($D$6:$D$475,M27))</f>
        <v>5.7234042553191493</v>
      </c>
      <c r="R27" s="5" cm="1">
        <f t="array" ref="R27">(SUMPRODUCT(($D$6:$D$475=M27)*$I$6:$I$475))/(COUNTIF($D$6:$D$475,M27))</f>
        <v>49.319148936170215</v>
      </c>
    </row>
    <row r="28" spans="1:18" x14ac:dyDescent="0.25">
      <c r="A28" s="2">
        <f>RANK(I28,$I$6:$I$475,0)</f>
        <v>16</v>
      </c>
      <c r="B28" s="1" t="s">
        <v>385</v>
      </c>
      <c r="C28" s="18">
        <v>45613</v>
      </c>
      <c r="D28" s="1" t="s">
        <v>378</v>
      </c>
      <c r="E28" s="1" t="s">
        <v>22</v>
      </c>
      <c r="F28" s="1">
        <v>30</v>
      </c>
      <c r="G28" s="1">
        <v>22</v>
      </c>
      <c r="H28" s="1">
        <v>8</v>
      </c>
      <c r="I28" s="3">
        <f>SUM(F28:H28)</f>
        <v>60</v>
      </c>
      <c r="L28" s="2">
        <f t="shared" si="0"/>
        <v>23</v>
      </c>
      <c r="M28" s="1" t="s">
        <v>308</v>
      </c>
      <c r="N28" s="1">
        <f>(COUNTIF($D$6:$D$475,M28))</f>
        <v>9</v>
      </c>
      <c r="O28" s="4" cm="1">
        <f t="array" ref="O28">(SUMPRODUCT(($D$6:$D$475=M28)*$F$6:$F$475))/(COUNTIF($D$6:$D$475,M28))</f>
        <v>25.444444444444443</v>
      </c>
      <c r="P28" s="4" cm="1">
        <f t="array" ref="P28">(SUMPRODUCT(($D$6:$D$475=M28)*$G$6:$G$475))/(COUNTIF($D$6:$D$475,M28))</f>
        <v>19.222222222222221</v>
      </c>
      <c r="Q28" s="4" cm="1">
        <f t="array" ref="Q28">(SUMPRODUCT(($D$6:$D$475=M28)*$H$6:$H$475))/(COUNTIF($D$6:$D$475,M28))</f>
        <v>4.4444444444444446</v>
      </c>
      <c r="R28" s="5" cm="1">
        <f t="array" ref="R28">(SUMPRODUCT(($D$6:$D$475=M28)*$I$6:$I$475))/(COUNTIF($D$6:$D$475,M28))</f>
        <v>49.111111111111114</v>
      </c>
    </row>
    <row r="29" spans="1:18" x14ac:dyDescent="0.25">
      <c r="A29" s="2">
        <f>RANK(I29,$I$6:$I$475,0)</f>
        <v>16</v>
      </c>
      <c r="B29" s="1" t="s">
        <v>416</v>
      </c>
      <c r="C29" s="18">
        <v>45732</v>
      </c>
      <c r="D29" s="1" t="s">
        <v>308</v>
      </c>
      <c r="E29" s="1" t="s">
        <v>22</v>
      </c>
      <c r="F29" s="1">
        <v>29</v>
      </c>
      <c r="G29" s="1">
        <v>23</v>
      </c>
      <c r="H29" s="1">
        <v>8</v>
      </c>
      <c r="I29" s="3">
        <f>SUM(F29:H29)</f>
        <v>60</v>
      </c>
      <c r="L29" s="2">
        <f t="shared" si="0"/>
        <v>24</v>
      </c>
      <c r="M29" s="1" t="s">
        <v>73</v>
      </c>
      <c r="N29" s="1">
        <f>(COUNTIF($D$6:$D$475,M29))</f>
        <v>19</v>
      </c>
      <c r="O29" s="4" cm="1">
        <f t="array" ref="O29">(SUMPRODUCT(($D$6:$D$475=M29)*$F$6:$F$475))/(COUNTIF($D$6:$D$475,M29))</f>
        <v>25.631578947368421</v>
      </c>
      <c r="P29" s="4" cm="1">
        <f t="array" ref="P29">(SUMPRODUCT(($D$6:$D$475=M29)*$G$6:$G$475))/(COUNTIF($D$6:$D$475,M29))</f>
        <v>17.578947368421051</v>
      </c>
      <c r="Q29" s="4" cm="1">
        <f t="array" ref="Q29">(SUMPRODUCT(($D$6:$D$475=M29)*$H$6:$H$475))/(COUNTIF($D$6:$D$475,M29))</f>
        <v>5.3157894736842106</v>
      </c>
      <c r="R29" s="5" cm="1">
        <f t="array" ref="R29">(SUMPRODUCT(($D$6:$D$475=M29)*$I$6:$I$475))/(COUNTIF($D$6:$D$475,M29))</f>
        <v>48.526315789473685</v>
      </c>
    </row>
    <row r="30" spans="1:18" x14ac:dyDescent="0.25">
      <c r="A30" s="2">
        <f>RANK(I30,$I$6:$I$475,0)</f>
        <v>16</v>
      </c>
      <c r="B30" s="29" t="s">
        <v>495</v>
      </c>
      <c r="C30" s="18">
        <v>46082</v>
      </c>
      <c r="D30" s="1" t="s">
        <v>266</v>
      </c>
      <c r="E30" s="1" t="s">
        <v>17</v>
      </c>
      <c r="F30" s="1">
        <v>30</v>
      </c>
      <c r="G30" s="1">
        <v>21</v>
      </c>
      <c r="H30" s="1">
        <v>9</v>
      </c>
      <c r="I30" s="3">
        <f>SUM(F30:H30)</f>
        <v>60</v>
      </c>
      <c r="L30" s="2">
        <f t="shared" si="0"/>
        <v>25</v>
      </c>
      <c r="M30" s="1" t="s">
        <v>67</v>
      </c>
      <c r="N30" s="1">
        <f>(COUNTIF($D$6:$D$475,M30))</f>
        <v>16</v>
      </c>
      <c r="O30" s="4" cm="1">
        <f t="array" ref="O30">(SUMPRODUCT(($D$6:$D$475=M30)*$F$6:$F$475))/(COUNTIF($D$6:$D$475,M30))</f>
        <v>26.1875</v>
      </c>
      <c r="P30" s="4" cm="1">
        <f t="array" ref="P30">(SUMPRODUCT(($D$6:$D$475=M30)*$G$6:$G$475))/(COUNTIF($D$6:$D$475,M30))</f>
        <v>16.9375</v>
      </c>
      <c r="Q30" s="4" cm="1">
        <f t="array" ref="Q30">(SUMPRODUCT(($D$6:$D$475=M30)*$H$6:$H$475))/(COUNTIF($D$6:$D$475,M30))</f>
        <v>5</v>
      </c>
      <c r="R30" s="5" cm="1">
        <f t="array" ref="R30">(SUMPRODUCT(($D$6:$D$475=M30)*$I$6:$I$475))/(COUNTIF($D$6:$D$475,M30))</f>
        <v>48.125</v>
      </c>
    </row>
    <row r="31" spans="1:18" x14ac:dyDescent="0.25">
      <c r="A31" s="2">
        <f>RANK(I31,$I$6:$I$475,0)</f>
        <v>16</v>
      </c>
      <c r="B31" s="1" t="s">
        <v>504</v>
      </c>
      <c r="C31" s="18">
        <v>46124</v>
      </c>
      <c r="D31" s="1" t="s">
        <v>483</v>
      </c>
      <c r="E31" s="1" t="s">
        <v>17</v>
      </c>
      <c r="F31" s="1">
        <v>29</v>
      </c>
      <c r="G31" s="1">
        <v>24</v>
      </c>
      <c r="H31" s="1">
        <v>7</v>
      </c>
      <c r="I31" s="3">
        <f>SUM(F31:H31)</f>
        <v>60</v>
      </c>
      <c r="L31" s="2">
        <f t="shared" si="0"/>
        <v>26</v>
      </c>
      <c r="M31" s="1" t="s">
        <v>469</v>
      </c>
      <c r="N31" s="1">
        <f>(COUNTIF($D$6:$D$475,M31))</f>
        <v>1</v>
      </c>
      <c r="O31" s="4" cm="1">
        <f t="array" ref="O31">(SUMPRODUCT(($D$6:$D$475=M31)*$F$6:$F$475))/(COUNTIF($D$6:$D$475,M31))</f>
        <v>25</v>
      </c>
      <c r="P31" s="4" cm="1">
        <f t="array" ref="P31">(SUMPRODUCT(($D$6:$D$475=M31)*$G$6:$G$475))/(COUNTIF($D$6:$D$475,M31))</f>
        <v>15</v>
      </c>
      <c r="Q31" s="4" cm="1">
        <f t="array" ref="Q31">(SUMPRODUCT(($D$6:$D$475=M31)*$H$6:$H$475))/(COUNTIF($D$6:$D$475,M31))</f>
        <v>4</v>
      </c>
      <c r="R31" s="5" cm="1">
        <f t="array" ref="R31">(SUMPRODUCT(($D$6:$D$475=M31)*$I$6:$I$475))/(COUNTIF($D$6:$D$475,M31))</f>
        <v>44</v>
      </c>
    </row>
    <row r="32" spans="1:18" x14ac:dyDescent="0.25">
      <c r="A32" s="2">
        <f>RANK(I32,$I$6:$I$475,0)</f>
        <v>16</v>
      </c>
      <c r="B32" s="1" t="s">
        <v>523</v>
      </c>
      <c r="C32" s="18">
        <v>46229</v>
      </c>
      <c r="D32" s="1" t="s">
        <v>75</v>
      </c>
      <c r="E32" s="1" t="s">
        <v>22</v>
      </c>
      <c r="F32" s="1">
        <v>32</v>
      </c>
      <c r="G32" s="1">
        <v>21</v>
      </c>
      <c r="H32" s="1">
        <v>7</v>
      </c>
      <c r="I32" s="3">
        <f>SUM(F32:H32)</f>
        <v>60</v>
      </c>
      <c r="L32" s="2">
        <f t="shared" si="0"/>
        <v>27</v>
      </c>
      <c r="M32" s="1" t="s">
        <v>75</v>
      </c>
      <c r="N32" s="1">
        <f>(COUNTIF($D$6:$D$475,M32))</f>
        <v>8</v>
      </c>
      <c r="O32" s="4" cm="1">
        <f t="array" ref="O32">(SUMPRODUCT(($D$6:$D$475=M32)*$F$6:$F$475))/(COUNTIF($D$6:$D$475,M32))</f>
        <v>22.5</v>
      </c>
      <c r="P32" s="4" cm="1">
        <f t="array" ref="P32">(SUMPRODUCT(($D$6:$D$475=M32)*$G$6:$G$475))/(COUNTIF($D$6:$D$475,M32))</f>
        <v>15.125</v>
      </c>
      <c r="Q32" s="4" cm="1">
        <f t="array" ref="Q32">(SUMPRODUCT(($D$6:$D$475=M32)*$H$6:$H$475))/(COUNTIF($D$6:$D$475,M32))</f>
        <v>4.25</v>
      </c>
      <c r="R32" s="5" cm="1">
        <f t="array" ref="R32">(SUMPRODUCT(($D$6:$D$475=M32)*$I$6:$I$475))/(COUNTIF($D$6:$D$475,M32))</f>
        <v>41.875</v>
      </c>
    </row>
    <row r="33" spans="1:18" x14ac:dyDescent="0.25">
      <c r="A33" s="2">
        <f>RANK(I33,$I$6:$I$475,0)</f>
        <v>28</v>
      </c>
      <c r="B33" s="29" t="s">
        <v>297</v>
      </c>
      <c r="C33" s="18">
        <v>45144</v>
      </c>
      <c r="D33" s="1" t="s">
        <v>71</v>
      </c>
      <c r="E33" s="1" t="s">
        <v>22</v>
      </c>
      <c r="F33" s="1">
        <v>31</v>
      </c>
      <c r="G33" s="1">
        <v>21</v>
      </c>
      <c r="H33" s="1">
        <v>7</v>
      </c>
      <c r="I33" s="3">
        <f>SUM(F33:H33)</f>
        <v>59</v>
      </c>
      <c r="L33" s="6">
        <f t="shared" si="0"/>
        <v>28</v>
      </c>
      <c r="M33" s="7" t="s">
        <v>262</v>
      </c>
      <c r="N33" s="7">
        <f>(COUNTIF($D$6:$D$475,M33))</f>
        <v>2</v>
      </c>
      <c r="O33" s="8" cm="1">
        <f t="array" ref="O33">(SUMPRODUCT(($D$6:$D$475=M33)*$F$6:$F$475))/(COUNTIF($D$6:$D$475,M33))</f>
        <v>21.5</v>
      </c>
      <c r="P33" s="8" cm="1">
        <f t="array" ref="P33">(SUMPRODUCT(($D$6:$D$475=M33)*$G$6:$G$475))/(COUNTIF($D$6:$D$475,M33))</f>
        <v>16.5</v>
      </c>
      <c r="Q33" s="8" cm="1">
        <f t="array" ref="Q33">(SUMPRODUCT(($D$6:$D$475=M33)*$H$6:$H$475))/(COUNTIF($D$6:$D$475,M33))</f>
        <v>3</v>
      </c>
      <c r="R33" s="9" cm="1">
        <f t="array" ref="R33">(SUMPRODUCT(($D$6:$D$475=M33)*$I$6:$I$475))/(COUNTIF($D$6:$D$475,M33))</f>
        <v>41</v>
      </c>
    </row>
    <row r="34" spans="1:18" x14ac:dyDescent="0.25">
      <c r="A34" s="2">
        <f>RANK(I34,$I$6:$I$475,0)</f>
        <v>28</v>
      </c>
      <c r="B34" s="29" t="s">
        <v>239</v>
      </c>
      <c r="C34" s="18">
        <v>44836</v>
      </c>
      <c r="D34" s="1" t="s">
        <v>184</v>
      </c>
      <c r="E34" s="1" t="s">
        <v>22</v>
      </c>
      <c r="F34" s="1">
        <v>32</v>
      </c>
      <c r="G34" s="1">
        <v>20</v>
      </c>
      <c r="H34" s="1">
        <v>7</v>
      </c>
      <c r="I34" s="3">
        <f>SUM(F34:H34)</f>
        <v>59</v>
      </c>
    </row>
    <row r="35" spans="1:18" x14ac:dyDescent="0.25">
      <c r="A35" s="2">
        <f>RANK(I35,$I$6:$I$475,0)</f>
        <v>28</v>
      </c>
      <c r="B35" s="29" t="s">
        <v>330</v>
      </c>
      <c r="C35" s="18">
        <v>45326</v>
      </c>
      <c r="D35" s="1" t="s">
        <v>71</v>
      </c>
      <c r="E35" s="1" t="s">
        <v>40</v>
      </c>
      <c r="F35" s="1">
        <v>31</v>
      </c>
      <c r="G35" s="1">
        <v>19</v>
      </c>
      <c r="H35" s="1">
        <v>9</v>
      </c>
      <c r="I35" s="3">
        <f>SUM(F35:H35)</f>
        <v>59</v>
      </c>
      <c r="L35" s="62" t="s">
        <v>488</v>
      </c>
      <c r="M35" s="63"/>
      <c r="N35" s="63"/>
      <c r="O35" s="63"/>
      <c r="P35" s="63"/>
      <c r="Q35" s="63"/>
      <c r="R35" s="63"/>
    </row>
    <row r="36" spans="1:18" x14ac:dyDescent="0.25">
      <c r="A36" s="2">
        <f>RANK(I36,$I$6:$I$475,0)</f>
        <v>28</v>
      </c>
      <c r="B36" s="1" t="s">
        <v>88</v>
      </c>
      <c r="C36" s="18">
        <v>44577</v>
      </c>
      <c r="D36" s="1" t="s">
        <v>66</v>
      </c>
      <c r="E36" s="1" t="s">
        <v>33</v>
      </c>
      <c r="F36" s="1">
        <v>28</v>
      </c>
      <c r="G36" s="1">
        <v>23</v>
      </c>
      <c r="H36" s="1">
        <v>8</v>
      </c>
      <c r="I36" s="3">
        <f>SUM(F36:H36)</f>
        <v>59</v>
      </c>
      <c r="L36" s="63"/>
      <c r="M36" s="63"/>
      <c r="N36" s="63"/>
      <c r="O36" s="63"/>
      <c r="P36" s="63"/>
      <c r="Q36" s="63"/>
      <c r="R36" s="63"/>
    </row>
    <row r="37" spans="1:18" x14ac:dyDescent="0.25">
      <c r="A37" s="2">
        <f>RANK(I37,$I$6:$I$475,0)</f>
        <v>28</v>
      </c>
      <c r="B37" s="29" t="s">
        <v>238</v>
      </c>
      <c r="C37" s="18">
        <v>44822</v>
      </c>
      <c r="D37" s="1" t="s">
        <v>71</v>
      </c>
      <c r="E37" s="1" t="s">
        <v>33</v>
      </c>
      <c r="F37" s="1">
        <v>28</v>
      </c>
      <c r="G37" s="1">
        <v>23</v>
      </c>
      <c r="H37" s="1">
        <v>8</v>
      </c>
      <c r="I37" s="3">
        <f>SUM(F37:H37)</f>
        <v>59</v>
      </c>
      <c r="L37" s="63"/>
      <c r="M37" s="63"/>
      <c r="N37" s="63"/>
      <c r="O37" s="63"/>
      <c r="P37" s="63"/>
      <c r="Q37" s="63"/>
      <c r="R37" s="63"/>
    </row>
    <row r="38" spans="1:18" x14ac:dyDescent="0.25">
      <c r="A38" s="2">
        <f>RANK(I38,$I$6:$I$475,0)</f>
        <v>28</v>
      </c>
      <c r="B38" s="1" t="s">
        <v>124</v>
      </c>
      <c r="C38" s="18">
        <v>44325</v>
      </c>
      <c r="D38" s="1" t="s">
        <v>72</v>
      </c>
      <c r="E38" s="1" t="s">
        <v>17</v>
      </c>
      <c r="F38" s="1">
        <v>29</v>
      </c>
      <c r="G38" s="1">
        <v>22</v>
      </c>
      <c r="H38" s="1">
        <v>8</v>
      </c>
      <c r="I38" s="3">
        <f>SUM(F38:H38)</f>
        <v>59</v>
      </c>
      <c r="L38" s="63"/>
      <c r="M38" s="63"/>
      <c r="N38" s="63"/>
      <c r="O38" s="63"/>
      <c r="P38" s="63"/>
      <c r="Q38" s="63"/>
      <c r="R38" s="63"/>
    </row>
    <row r="39" spans="1:18" x14ac:dyDescent="0.25">
      <c r="A39" s="2">
        <f>RANK(I39,$I$6:$I$475,0)</f>
        <v>28</v>
      </c>
      <c r="B39" s="29" t="s">
        <v>197</v>
      </c>
      <c r="C39" s="18">
        <v>44621</v>
      </c>
      <c r="D39" s="1" t="s">
        <v>71</v>
      </c>
      <c r="E39" s="1" t="s">
        <v>17</v>
      </c>
      <c r="F39" s="1">
        <v>31</v>
      </c>
      <c r="G39" s="1">
        <v>23</v>
      </c>
      <c r="H39" s="1">
        <v>5</v>
      </c>
      <c r="I39" s="3">
        <f>SUM(F39:H39)</f>
        <v>59</v>
      </c>
      <c r="L39" s="63"/>
      <c r="M39" s="63"/>
      <c r="N39" s="63"/>
      <c r="O39" s="63"/>
      <c r="P39" s="63"/>
      <c r="Q39" s="63"/>
      <c r="R39" s="63"/>
    </row>
    <row r="40" spans="1:18" x14ac:dyDescent="0.25">
      <c r="A40" s="2">
        <f>RANK(I40,$I$6:$I$475,0)</f>
        <v>28</v>
      </c>
      <c r="B40" s="29" t="s">
        <v>384</v>
      </c>
      <c r="C40" s="18">
        <v>45606</v>
      </c>
      <c r="D40" s="1" t="s">
        <v>377</v>
      </c>
      <c r="E40" s="1" t="s">
        <v>22</v>
      </c>
      <c r="F40" s="1">
        <v>30</v>
      </c>
      <c r="G40" s="1">
        <v>21</v>
      </c>
      <c r="H40" s="1">
        <v>8</v>
      </c>
      <c r="I40" s="3">
        <f>SUM(F40:H40)</f>
        <v>59</v>
      </c>
      <c r="L40" s="63"/>
      <c r="M40" s="63"/>
      <c r="N40" s="63"/>
      <c r="O40" s="63"/>
      <c r="P40" s="63"/>
      <c r="Q40" s="63"/>
      <c r="R40" s="63"/>
    </row>
    <row r="41" spans="1:18" x14ac:dyDescent="0.25">
      <c r="A41" s="2">
        <f>RANK(I41,$I$6:$I$475,0)</f>
        <v>28</v>
      </c>
      <c r="B41" s="1" t="s">
        <v>413</v>
      </c>
      <c r="C41" s="18">
        <v>45718</v>
      </c>
      <c r="D41" s="1" t="s">
        <v>378</v>
      </c>
      <c r="E41" s="1" t="s">
        <v>22</v>
      </c>
      <c r="F41" s="1">
        <v>29</v>
      </c>
      <c r="G41" s="1">
        <v>23</v>
      </c>
      <c r="H41" s="1">
        <v>7</v>
      </c>
      <c r="I41" s="3">
        <f>SUM(F41:H41)</f>
        <v>59</v>
      </c>
      <c r="L41" s="63"/>
      <c r="M41" s="63"/>
      <c r="N41" s="63"/>
      <c r="O41" s="63"/>
      <c r="P41" s="63"/>
      <c r="Q41" s="63"/>
      <c r="R41" s="63"/>
    </row>
    <row r="42" spans="1:18" x14ac:dyDescent="0.25">
      <c r="A42" s="2">
        <f>RANK(I42,$I$6:$I$475,0)</f>
        <v>28</v>
      </c>
      <c r="B42" s="29" t="s">
        <v>414</v>
      </c>
      <c r="C42" s="18">
        <v>45725</v>
      </c>
      <c r="D42" s="1" t="s">
        <v>72</v>
      </c>
      <c r="E42" s="1" t="s">
        <v>17</v>
      </c>
      <c r="F42" s="1">
        <v>29</v>
      </c>
      <c r="G42" s="1">
        <v>24</v>
      </c>
      <c r="H42" s="1">
        <v>6</v>
      </c>
      <c r="I42" s="3">
        <f>SUM(F42:H42)</f>
        <v>59</v>
      </c>
      <c r="L42" s="63"/>
      <c r="M42" s="63"/>
      <c r="N42" s="63"/>
      <c r="O42" s="63"/>
      <c r="P42" s="63"/>
      <c r="Q42" s="63"/>
      <c r="R42" s="63"/>
    </row>
    <row r="43" spans="1:18" x14ac:dyDescent="0.25">
      <c r="A43" s="2">
        <f>RANK(I43,$I$6:$I$475,0)</f>
        <v>28</v>
      </c>
      <c r="B43" s="29" t="s">
        <v>477</v>
      </c>
      <c r="C43" s="18">
        <v>46011</v>
      </c>
      <c r="D43" s="1" t="s">
        <v>378</v>
      </c>
      <c r="E43" s="1" t="s">
        <v>20</v>
      </c>
      <c r="F43" s="1">
        <v>30</v>
      </c>
      <c r="G43" s="1">
        <v>24</v>
      </c>
      <c r="H43" s="1">
        <v>5</v>
      </c>
      <c r="I43" s="3">
        <f>SUM(F43:H43)</f>
        <v>59</v>
      </c>
    </row>
    <row r="44" spans="1:18" x14ac:dyDescent="0.25">
      <c r="A44" s="2">
        <f>RANK(I44,$I$6:$I$475,0)</f>
        <v>28</v>
      </c>
      <c r="B44" s="1" t="s">
        <v>482</v>
      </c>
      <c r="C44" s="18">
        <v>46033</v>
      </c>
      <c r="D44" s="1" t="s">
        <v>483</v>
      </c>
      <c r="E44" s="1" t="s">
        <v>22</v>
      </c>
      <c r="F44" s="1">
        <v>28</v>
      </c>
      <c r="G44" s="1">
        <v>24</v>
      </c>
      <c r="H44" s="1">
        <v>7</v>
      </c>
      <c r="I44" s="3">
        <f>SUM(F44:H44)</f>
        <v>59</v>
      </c>
    </row>
    <row r="45" spans="1:18" x14ac:dyDescent="0.25">
      <c r="A45" s="2">
        <f>RANK(I45,$I$6:$I$475,0)</f>
        <v>28</v>
      </c>
      <c r="B45" s="1" t="s">
        <v>510</v>
      </c>
      <c r="C45" s="18">
        <v>46138</v>
      </c>
      <c r="D45" s="1" t="s">
        <v>377</v>
      </c>
      <c r="E45" s="1" t="s">
        <v>22</v>
      </c>
      <c r="F45" s="1">
        <v>29</v>
      </c>
      <c r="G45" s="1">
        <v>23</v>
      </c>
      <c r="H45" s="1">
        <v>7</v>
      </c>
      <c r="I45" s="3">
        <f>SUM(F45:H45)</f>
        <v>59</v>
      </c>
    </row>
    <row r="46" spans="1:18" x14ac:dyDescent="0.25">
      <c r="A46" s="2">
        <f>RANK(I46,$I$6:$I$475,0)</f>
        <v>28</v>
      </c>
      <c r="B46" s="29" t="s">
        <v>513</v>
      </c>
      <c r="C46" s="18">
        <v>46159</v>
      </c>
      <c r="D46" s="1" t="s">
        <v>483</v>
      </c>
      <c r="E46" s="1" t="s">
        <v>33</v>
      </c>
      <c r="F46" s="1">
        <v>33</v>
      </c>
      <c r="G46" s="1">
        <v>17</v>
      </c>
      <c r="H46" s="1">
        <v>9</v>
      </c>
      <c r="I46" s="3">
        <f>SUM(F46:H46)</f>
        <v>59</v>
      </c>
    </row>
    <row r="47" spans="1:18" x14ac:dyDescent="0.25">
      <c r="A47" s="2">
        <f>RANK(I47,$I$6:$I$475,0)</f>
        <v>28</v>
      </c>
      <c r="B47" s="29" t="s">
        <v>514</v>
      </c>
      <c r="C47" s="18">
        <v>46180</v>
      </c>
      <c r="D47" s="1" t="s">
        <v>149</v>
      </c>
      <c r="E47" s="1" t="s">
        <v>22</v>
      </c>
      <c r="F47" s="1">
        <v>30</v>
      </c>
      <c r="G47" s="1">
        <v>22</v>
      </c>
      <c r="H47" s="1">
        <v>7</v>
      </c>
      <c r="I47" s="3">
        <f>SUM(F47:H47)</f>
        <v>59</v>
      </c>
    </row>
    <row r="48" spans="1:18" x14ac:dyDescent="0.25">
      <c r="A48" s="2">
        <f>RANK(I48,$I$6:$I$475,0)</f>
        <v>28</v>
      </c>
      <c r="B48" s="1" t="s">
        <v>532</v>
      </c>
      <c r="C48" s="18">
        <v>46285</v>
      </c>
      <c r="D48" s="1" t="s">
        <v>483</v>
      </c>
      <c r="E48" s="1" t="s">
        <v>20</v>
      </c>
      <c r="F48" s="1">
        <v>30</v>
      </c>
      <c r="G48" s="1">
        <v>22</v>
      </c>
      <c r="H48" s="1">
        <v>7</v>
      </c>
      <c r="I48" s="3">
        <f>SUM(F48:H48)</f>
        <v>59</v>
      </c>
    </row>
    <row r="49" spans="1:9" x14ac:dyDescent="0.25">
      <c r="A49" s="2">
        <f>RANK(I49,$I$6:$I$475,0)</f>
        <v>44</v>
      </c>
      <c r="B49" s="29" t="s">
        <v>56</v>
      </c>
      <c r="C49" s="18">
        <v>44142</v>
      </c>
      <c r="D49" s="1" t="s">
        <v>67</v>
      </c>
      <c r="E49" s="1" t="s">
        <v>22</v>
      </c>
      <c r="F49" s="1">
        <v>29</v>
      </c>
      <c r="G49" s="1">
        <v>21</v>
      </c>
      <c r="H49" s="1">
        <v>8</v>
      </c>
      <c r="I49" s="3">
        <f>SUM(F49:H49)</f>
        <v>58</v>
      </c>
    </row>
    <row r="50" spans="1:9" x14ac:dyDescent="0.25">
      <c r="A50" s="2">
        <f>RANK(I50,$I$6:$I$475,0)</f>
        <v>44</v>
      </c>
      <c r="B50" s="29" t="s">
        <v>272</v>
      </c>
      <c r="C50" s="18">
        <v>45004</v>
      </c>
      <c r="D50" s="1" t="s">
        <v>236</v>
      </c>
      <c r="E50" s="1" t="s">
        <v>22</v>
      </c>
      <c r="F50" s="1">
        <v>31</v>
      </c>
      <c r="G50" s="1">
        <v>19</v>
      </c>
      <c r="H50" s="1">
        <v>8</v>
      </c>
      <c r="I50" s="3">
        <f>SUM(F50:H50)</f>
        <v>58</v>
      </c>
    </row>
    <row r="51" spans="1:9" x14ac:dyDescent="0.25">
      <c r="A51" s="2">
        <f>RANK(I51,$I$6:$I$475,0)</f>
        <v>44</v>
      </c>
      <c r="B51" s="29" t="s">
        <v>95</v>
      </c>
      <c r="C51" s="18">
        <v>44226</v>
      </c>
      <c r="D51" s="1" t="s">
        <v>74</v>
      </c>
      <c r="E51" s="1" t="s">
        <v>22</v>
      </c>
      <c r="F51" s="1">
        <v>30</v>
      </c>
      <c r="G51" s="1">
        <v>20</v>
      </c>
      <c r="H51" s="1">
        <v>8</v>
      </c>
      <c r="I51" s="3">
        <f>SUM(F51:H51)</f>
        <v>58</v>
      </c>
    </row>
    <row r="52" spans="1:9" x14ac:dyDescent="0.25">
      <c r="A52" s="2">
        <f>RANK(I52,$I$6:$I$475,0)</f>
        <v>44</v>
      </c>
      <c r="B52" s="1" t="s">
        <v>321</v>
      </c>
      <c r="C52" s="18">
        <v>45291</v>
      </c>
      <c r="D52" s="1" t="s">
        <v>307</v>
      </c>
      <c r="E52" s="1" t="s">
        <v>22</v>
      </c>
      <c r="F52" s="1">
        <v>29</v>
      </c>
      <c r="G52" s="1">
        <v>22</v>
      </c>
      <c r="H52" s="1">
        <v>7</v>
      </c>
      <c r="I52" s="3">
        <f>SUM(F52:H52)</f>
        <v>58</v>
      </c>
    </row>
    <row r="53" spans="1:9" x14ac:dyDescent="0.25">
      <c r="A53" s="2">
        <f>RANK(I53,$I$6:$I$475,0)</f>
        <v>44</v>
      </c>
      <c r="B53" s="29" t="s">
        <v>300</v>
      </c>
      <c r="C53" s="18">
        <v>45186</v>
      </c>
      <c r="D53" s="1" t="s">
        <v>149</v>
      </c>
      <c r="E53" s="1" t="s">
        <v>22</v>
      </c>
      <c r="F53" s="1">
        <v>30</v>
      </c>
      <c r="G53" s="1">
        <v>19</v>
      </c>
      <c r="H53" s="1">
        <v>9</v>
      </c>
      <c r="I53" s="3">
        <f>SUM(F53:H53)</f>
        <v>58</v>
      </c>
    </row>
    <row r="54" spans="1:9" x14ac:dyDescent="0.25">
      <c r="A54" s="2">
        <f>RANK(I54,$I$6:$I$475,0)</f>
        <v>44</v>
      </c>
      <c r="B54" s="1" t="s">
        <v>209</v>
      </c>
      <c r="C54" s="18">
        <v>44668</v>
      </c>
      <c r="D54" s="1" t="s">
        <v>184</v>
      </c>
      <c r="E54" s="1" t="s">
        <v>17</v>
      </c>
      <c r="F54" s="1">
        <v>28</v>
      </c>
      <c r="G54" s="1">
        <v>23</v>
      </c>
      <c r="H54" s="1">
        <v>7</v>
      </c>
      <c r="I54" s="3">
        <f>SUM(F54:H54)</f>
        <v>58</v>
      </c>
    </row>
    <row r="55" spans="1:9" x14ac:dyDescent="0.25">
      <c r="A55" s="2">
        <f>RANK(I55,$I$6:$I$475,0)</f>
        <v>44</v>
      </c>
      <c r="B55" s="29" t="s">
        <v>372</v>
      </c>
      <c r="C55" s="18">
        <v>45550</v>
      </c>
      <c r="D55" s="1" t="s">
        <v>266</v>
      </c>
      <c r="E55" s="1" t="s">
        <v>17</v>
      </c>
      <c r="F55" s="1">
        <v>30</v>
      </c>
      <c r="G55" s="1">
        <v>21</v>
      </c>
      <c r="H55" s="1">
        <v>7</v>
      </c>
      <c r="I55" s="3">
        <f>SUM(F55:H55)</f>
        <v>58</v>
      </c>
    </row>
    <row r="56" spans="1:9" x14ac:dyDescent="0.25">
      <c r="A56" s="2">
        <f>RANK(I56,$I$6:$I$475,0)</f>
        <v>44</v>
      </c>
      <c r="B56" s="1" t="s">
        <v>392</v>
      </c>
      <c r="C56" s="18">
        <v>45641</v>
      </c>
      <c r="D56" s="1" t="s">
        <v>368</v>
      </c>
      <c r="E56" s="1" t="s">
        <v>22</v>
      </c>
      <c r="F56" s="1">
        <v>28</v>
      </c>
      <c r="G56" s="1">
        <v>24</v>
      </c>
      <c r="H56" s="1">
        <v>6</v>
      </c>
      <c r="I56" s="3">
        <f>SUM(F56:H56)</f>
        <v>58</v>
      </c>
    </row>
    <row r="57" spans="1:9" x14ac:dyDescent="0.25">
      <c r="A57" s="2">
        <f>RANK(I57,$I$6:$I$475,0)</f>
        <v>44</v>
      </c>
      <c r="B57" s="1" t="s">
        <v>443</v>
      </c>
      <c r="C57" s="18">
        <v>45844</v>
      </c>
      <c r="D57" s="1" t="s">
        <v>71</v>
      </c>
      <c r="E57" s="1" t="s">
        <v>17</v>
      </c>
      <c r="F57" s="1">
        <v>29</v>
      </c>
      <c r="G57" s="1">
        <v>23</v>
      </c>
      <c r="H57" s="1">
        <v>6</v>
      </c>
      <c r="I57" s="3">
        <f>SUM(F57:H57)</f>
        <v>58</v>
      </c>
    </row>
    <row r="58" spans="1:9" x14ac:dyDescent="0.25">
      <c r="A58" s="2">
        <f>RANK(I58,$I$6:$I$475,0)</f>
        <v>44</v>
      </c>
      <c r="B58" s="1" t="s">
        <v>444</v>
      </c>
      <c r="C58" s="18">
        <v>45844</v>
      </c>
      <c r="D58" s="1" t="s">
        <v>68</v>
      </c>
      <c r="E58" s="1" t="s">
        <v>22</v>
      </c>
      <c r="F58" s="1">
        <v>28</v>
      </c>
      <c r="G58" s="1">
        <v>24</v>
      </c>
      <c r="H58" s="1">
        <v>6</v>
      </c>
      <c r="I58" s="3">
        <f>SUM(F58:H58)</f>
        <v>58</v>
      </c>
    </row>
    <row r="59" spans="1:9" x14ac:dyDescent="0.25">
      <c r="A59" s="2">
        <f>RANK(I59,$I$6:$I$475,0)</f>
        <v>44</v>
      </c>
      <c r="B59" s="29" t="s">
        <v>452</v>
      </c>
      <c r="C59" s="18">
        <v>45879</v>
      </c>
      <c r="D59" s="1" t="s">
        <v>149</v>
      </c>
      <c r="E59" s="1" t="s">
        <v>22</v>
      </c>
      <c r="F59" s="1">
        <v>28</v>
      </c>
      <c r="G59" s="1">
        <v>24</v>
      </c>
      <c r="H59" s="1">
        <v>6</v>
      </c>
      <c r="I59" s="3">
        <f>SUM(F59:H59)</f>
        <v>58</v>
      </c>
    </row>
    <row r="60" spans="1:9" x14ac:dyDescent="0.25">
      <c r="A60" s="2">
        <f>RANK(I60,$I$6:$I$475,0)</f>
        <v>44</v>
      </c>
      <c r="B60" s="1" t="s">
        <v>454</v>
      </c>
      <c r="C60" s="18">
        <v>45886</v>
      </c>
      <c r="D60" s="1" t="s">
        <v>377</v>
      </c>
      <c r="E60" s="1" t="s">
        <v>22</v>
      </c>
      <c r="F60" s="1">
        <v>30</v>
      </c>
      <c r="G60" s="1">
        <v>22</v>
      </c>
      <c r="H60" s="1">
        <v>6</v>
      </c>
      <c r="I60" s="3">
        <f>SUM(F60:H60)</f>
        <v>58</v>
      </c>
    </row>
    <row r="61" spans="1:9" x14ac:dyDescent="0.25">
      <c r="A61" s="2">
        <f>RANK(I61,$I$6:$I$475,0)</f>
        <v>44</v>
      </c>
      <c r="B61" s="29" t="s">
        <v>496</v>
      </c>
      <c r="C61" s="18">
        <v>46096</v>
      </c>
      <c r="D61" s="1" t="s">
        <v>497</v>
      </c>
      <c r="E61" s="1" t="s">
        <v>33</v>
      </c>
      <c r="F61" s="1">
        <v>32</v>
      </c>
      <c r="G61" s="1">
        <v>17</v>
      </c>
      <c r="H61" s="1">
        <v>9</v>
      </c>
      <c r="I61" s="3">
        <f>SUM(F61:H61)</f>
        <v>58</v>
      </c>
    </row>
    <row r="62" spans="1:9" x14ac:dyDescent="0.25">
      <c r="A62" s="2">
        <f>RANK(I62,$I$6:$I$475,0)</f>
        <v>44</v>
      </c>
      <c r="B62" s="1" t="s">
        <v>508</v>
      </c>
      <c r="C62" s="18">
        <v>46138</v>
      </c>
      <c r="D62" s="1" t="s">
        <v>483</v>
      </c>
      <c r="E62" s="1" t="s">
        <v>22</v>
      </c>
      <c r="F62" s="1">
        <v>29</v>
      </c>
      <c r="G62" s="1">
        <v>22</v>
      </c>
      <c r="H62" s="1">
        <v>7</v>
      </c>
      <c r="I62" s="3">
        <f>SUM(F62:H62)</f>
        <v>58</v>
      </c>
    </row>
    <row r="63" spans="1:9" x14ac:dyDescent="0.25">
      <c r="A63" s="2">
        <f>RANK(I63,$I$6:$I$475,0)</f>
        <v>44</v>
      </c>
      <c r="B63" s="1" t="s">
        <v>520</v>
      </c>
      <c r="C63" s="18">
        <v>46215</v>
      </c>
      <c r="D63" s="1" t="s">
        <v>483</v>
      </c>
      <c r="E63" s="1" t="s">
        <v>22</v>
      </c>
      <c r="F63" s="1">
        <v>28</v>
      </c>
      <c r="G63" s="1">
        <v>24</v>
      </c>
      <c r="H63" s="1">
        <v>6</v>
      </c>
      <c r="I63" s="3">
        <f>SUM(F63:H63)</f>
        <v>58</v>
      </c>
    </row>
    <row r="64" spans="1:9" x14ac:dyDescent="0.25">
      <c r="A64" s="2">
        <f>RANK(I64,$I$6:$I$475,0)</f>
        <v>59</v>
      </c>
      <c r="B64" s="29" t="s">
        <v>223</v>
      </c>
      <c r="C64" s="18">
        <v>44752</v>
      </c>
      <c r="D64" s="1" t="s">
        <v>71</v>
      </c>
      <c r="E64" s="1" t="s">
        <v>40</v>
      </c>
      <c r="F64" s="1">
        <v>29</v>
      </c>
      <c r="G64" s="1">
        <v>19</v>
      </c>
      <c r="H64" s="1">
        <v>9</v>
      </c>
      <c r="I64" s="3">
        <f>SUM(F64:H64)</f>
        <v>57</v>
      </c>
    </row>
    <row r="65" spans="1:9" x14ac:dyDescent="0.25">
      <c r="A65" s="2">
        <f>RANK(I65,$I$6:$I$475,0)</f>
        <v>59</v>
      </c>
      <c r="B65" s="29" t="s">
        <v>185</v>
      </c>
      <c r="C65" s="18">
        <v>44570</v>
      </c>
      <c r="D65" s="1" t="s">
        <v>184</v>
      </c>
      <c r="E65" s="1" t="s">
        <v>22</v>
      </c>
      <c r="F65" s="1">
        <v>29</v>
      </c>
      <c r="G65" s="1">
        <v>20</v>
      </c>
      <c r="H65" s="1">
        <v>8</v>
      </c>
      <c r="I65" s="3">
        <f>SUM(F65:H65)</f>
        <v>57</v>
      </c>
    </row>
    <row r="66" spans="1:9" x14ac:dyDescent="0.25">
      <c r="A66" s="2">
        <f>RANK(I66,$I$6:$I$475,0)</f>
        <v>59</v>
      </c>
      <c r="B66" s="1" t="s">
        <v>228</v>
      </c>
      <c r="C66" s="18">
        <v>44773</v>
      </c>
      <c r="D66" s="1" t="s">
        <v>68</v>
      </c>
      <c r="E66" s="1" t="s">
        <v>33</v>
      </c>
      <c r="F66" s="1">
        <v>29</v>
      </c>
      <c r="G66" s="1">
        <v>21</v>
      </c>
      <c r="H66" s="1">
        <v>7</v>
      </c>
      <c r="I66" s="3">
        <f>SUM(F66:H66)</f>
        <v>57</v>
      </c>
    </row>
    <row r="67" spans="1:9" x14ac:dyDescent="0.25">
      <c r="A67" s="2">
        <f>RANK(I67,$I$6:$I$475,0)</f>
        <v>59</v>
      </c>
      <c r="B67" s="1" t="s">
        <v>227</v>
      </c>
      <c r="C67" s="18">
        <v>44773</v>
      </c>
      <c r="D67" s="1" t="s">
        <v>68</v>
      </c>
      <c r="E67" s="1" t="s">
        <v>20</v>
      </c>
      <c r="F67" s="1">
        <v>28</v>
      </c>
      <c r="G67" s="1">
        <v>21</v>
      </c>
      <c r="H67" s="1">
        <v>8</v>
      </c>
      <c r="I67" s="3">
        <f>SUM(F67:H67)</f>
        <v>57</v>
      </c>
    </row>
    <row r="68" spans="1:9" x14ac:dyDescent="0.25">
      <c r="A68" s="2">
        <f>RANK(I68,$I$6:$I$475,0)</f>
        <v>59</v>
      </c>
      <c r="B68" s="29" t="s">
        <v>86</v>
      </c>
      <c r="C68" s="18">
        <v>44185</v>
      </c>
      <c r="D68" s="1" t="s">
        <v>69</v>
      </c>
      <c r="E68" s="1" t="s">
        <v>22</v>
      </c>
      <c r="F68" s="1">
        <v>29</v>
      </c>
      <c r="G68" s="1">
        <v>22</v>
      </c>
      <c r="H68" s="1">
        <v>6</v>
      </c>
      <c r="I68" s="3">
        <f>SUM(F68:H68)</f>
        <v>57</v>
      </c>
    </row>
    <row r="69" spans="1:9" x14ac:dyDescent="0.25">
      <c r="A69" s="2">
        <f>RANK(I69,$I$6:$I$475,0)</f>
        <v>59</v>
      </c>
      <c r="B69" s="1" t="s">
        <v>47</v>
      </c>
      <c r="C69" s="18">
        <v>44423</v>
      </c>
      <c r="D69" s="1" t="s">
        <v>69</v>
      </c>
      <c r="E69" s="1" t="s">
        <v>33</v>
      </c>
      <c r="F69" s="1">
        <v>29</v>
      </c>
      <c r="G69" s="1">
        <v>21</v>
      </c>
      <c r="H69" s="1">
        <v>7</v>
      </c>
      <c r="I69" s="3">
        <f>SUM(F69:H69)</f>
        <v>57</v>
      </c>
    </row>
    <row r="70" spans="1:9" x14ac:dyDescent="0.25">
      <c r="A70" s="2">
        <f>RANK(I70,$I$6:$I$475,0)</f>
        <v>59</v>
      </c>
      <c r="B70" s="1" t="s">
        <v>350</v>
      </c>
      <c r="C70" s="18">
        <v>45459</v>
      </c>
      <c r="D70" s="1" t="s">
        <v>66</v>
      </c>
      <c r="E70" s="1" t="s">
        <v>33</v>
      </c>
      <c r="F70" s="1">
        <v>29</v>
      </c>
      <c r="G70" s="1">
        <v>21</v>
      </c>
      <c r="H70" s="1">
        <v>7</v>
      </c>
      <c r="I70" s="3">
        <f>SUM(F70:H70)</f>
        <v>57</v>
      </c>
    </row>
    <row r="71" spans="1:9" x14ac:dyDescent="0.25">
      <c r="A71" s="2">
        <f>RANK(I71,$I$6:$I$475,0)</f>
        <v>59</v>
      </c>
      <c r="B71" s="1" t="s">
        <v>222</v>
      </c>
      <c r="C71" s="18">
        <v>44745</v>
      </c>
      <c r="D71" s="1" t="s">
        <v>71</v>
      </c>
      <c r="E71" s="1" t="s">
        <v>22</v>
      </c>
      <c r="F71" s="1">
        <v>29</v>
      </c>
      <c r="G71" s="1">
        <v>22</v>
      </c>
      <c r="H71" s="1">
        <v>6</v>
      </c>
      <c r="I71" s="3">
        <f>SUM(F71:H71)</f>
        <v>57</v>
      </c>
    </row>
    <row r="72" spans="1:9" x14ac:dyDescent="0.25">
      <c r="A72" s="2">
        <f>RANK(I72,$I$6:$I$475,0)</f>
        <v>59</v>
      </c>
      <c r="B72" s="29" t="s">
        <v>403</v>
      </c>
      <c r="C72" s="18">
        <v>45669</v>
      </c>
      <c r="D72" s="1" t="s">
        <v>71</v>
      </c>
      <c r="E72" s="1" t="s">
        <v>17</v>
      </c>
      <c r="F72" s="1">
        <v>31</v>
      </c>
      <c r="G72" s="1">
        <v>18</v>
      </c>
      <c r="H72" s="1">
        <v>8</v>
      </c>
      <c r="I72" s="3">
        <f>SUM(F72:H72)</f>
        <v>57</v>
      </c>
    </row>
    <row r="73" spans="1:9" x14ac:dyDescent="0.25">
      <c r="A73" s="2">
        <f>RANK(I73,$I$6:$I$475,0)</f>
        <v>59</v>
      </c>
      <c r="B73" s="1" t="s">
        <v>422</v>
      </c>
      <c r="C73" s="18">
        <v>45753</v>
      </c>
      <c r="D73" s="1" t="s">
        <v>73</v>
      </c>
      <c r="E73" s="1" t="s">
        <v>22</v>
      </c>
      <c r="F73" s="1">
        <v>29</v>
      </c>
      <c r="G73" s="1">
        <v>21</v>
      </c>
      <c r="H73" s="1">
        <v>7</v>
      </c>
      <c r="I73" s="3">
        <f>SUM(F73:H73)</f>
        <v>57</v>
      </c>
    </row>
    <row r="74" spans="1:9" x14ac:dyDescent="0.25">
      <c r="A74" s="2">
        <f>RANK(I74,$I$6:$I$475,0)</f>
        <v>59</v>
      </c>
      <c r="B74" s="1" t="s">
        <v>437</v>
      </c>
      <c r="C74" s="18">
        <v>45816</v>
      </c>
      <c r="D74" s="1" t="s">
        <v>378</v>
      </c>
      <c r="E74" s="1" t="s">
        <v>22</v>
      </c>
      <c r="F74" s="1">
        <v>28</v>
      </c>
      <c r="G74" s="1">
        <v>23</v>
      </c>
      <c r="H74" s="1">
        <v>6</v>
      </c>
      <c r="I74" s="3">
        <f>SUM(F74:H74)</f>
        <v>57</v>
      </c>
    </row>
    <row r="75" spans="1:9" x14ac:dyDescent="0.25">
      <c r="A75" s="2">
        <f>RANK(I75,$I$6:$I$475,0)</f>
        <v>59</v>
      </c>
      <c r="B75" s="1" t="s">
        <v>445</v>
      </c>
      <c r="C75" s="18">
        <v>45844</v>
      </c>
      <c r="D75" s="1" t="s">
        <v>66</v>
      </c>
      <c r="E75" s="1" t="s">
        <v>20</v>
      </c>
      <c r="F75" s="1">
        <v>29</v>
      </c>
      <c r="G75" s="1">
        <v>19</v>
      </c>
      <c r="H75" s="1">
        <v>9</v>
      </c>
      <c r="I75" s="3">
        <f>SUM(F75:H75)</f>
        <v>57</v>
      </c>
    </row>
    <row r="76" spans="1:9" x14ac:dyDescent="0.25">
      <c r="A76" s="2">
        <f>RANK(I76,$I$6:$I$475,0)</f>
        <v>59</v>
      </c>
      <c r="B76" s="1" t="s">
        <v>448</v>
      </c>
      <c r="C76" s="18">
        <v>45858</v>
      </c>
      <c r="D76" s="1" t="s">
        <v>368</v>
      </c>
      <c r="E76" s="1" t="s">
        <v>22</v>
      </c>
      <c r="F76" s="1">
        <v>29</v>
      </c>
      <c r="G76" s="1">
        <v>24</v>
      </c>
      <c r="H76" s="1">
        <v>4</v>
      </c>
      <c r="I76" s="3">
        <f>SUM(F76:H76)</f>
        <v>57</v>
      </c>
    </row>
    <row r="77" spans="1:9" x14ac:dyDescent="0.25">
      <c r="A77" s="2">
        <f>RANK(I77,$I$6:$I$475,0)</f>
        <v>59</v>
      </c>
      <c r="B77" s="1" t="s">
        <v>460</v>
      </c>
      <c r="C77" s="18">
        <v>45921</v>
      </c>
      <c r="D77" s="1" t="s">
        <v>69</v>
      </c>
      <c r="E77" s="1" t="s">
        <v>22</v>
      </c>
      <c r="F77" s="1">
        <v>27</v>
      </c>
      <c r="G77" s="1">
        <v>22</v>
      </c>
      <c r="H77" s="1">
        <v>8</v>
      </c>
      <c r="I77" s="3">
        <f>SUM(F77:H77)</f>
        <v>57</v>
      </c>
    </row>
    <row r="78" spans="1:9" x14ac:dyDescent="0.25">
      <c r="A78" s="2">
        <f>RANK(I78,$I$6:$I$475,0)</f>
        <v>59</v>
      </c>
      <c r="B78" s="1" t="s">
        <v>476</v>
      </c>
      <c r="C78" s="18">
        <v>46005</v>
      </c>
      <c r="D78" s="1" t="s">
        <v>75</v>
      </c>
      <c r="E78" s="1" t="s">
        <v>22</v>
      </c>
      <c r="F78" s="1">
        <v>30</v>
      </c>
      <c r="G78" s="1">
        <v>21</v>
      </c>
      <c r="H78" s="1">
        <v>6</v>
      </c>
      <c r="I78" s="3">
        <f>SUM(F78:H78)</f>
        <v>57</v>
      </c>
    </row>
    <row r="79" spans="1:9" x14ac:dyDescent="0.25">
      <c r="A79" s="2">
        <f>RANK(I79,$I$6:$I$475,0)</f>
        <v>59</v>
      </c>
      <c r="B79" s="29" t="s">
        <v>484</v>
      </c>
      <c r="C79" s="18">
        <v>46040</v>
      </c>
      <c r="D79" s="1" t="s">
        <v>378</v>
      </c>
      <c r="E79" s="1" t="s">
        <v>17</v>
      </c>
      <c r="F79" s="1">
        <v>29</v>
      </c>
      <c r="G79" s="1">
        <v>23</v>
      </c>
      <c r="H79" s="1">
        <v>5</v>
      </c>
      <c r="I79" s="3">
        <f>SUM(F79:H79)</f>
        <v>57</v>
      </c>
    </row>
    <row r="80" spans="1:9" x14ac:dyDescent="0.25">
      <c r="A80" s="2">
        <f>RANK(I80,$I$6:$I$475,0)</f>
        <v>59</v>
      </c>
      <c r="B80" s="29" t="s">
        <v>486</v>
      </c>
      <c r="C80" s="18">
        <v>46054</v>
      </c>
      <c r="D80" s="1" t="s">
        <v>71</v>
      </c>
      <c r="E80" s="1" t="s">
        <v>22</v>
      </c>
      <c r="F80" s="1">
        <v>30</v>
      </c>
      <c r="G80" s="1">
        <v>19</v>
      </c>
      <c r="H80" s="1">
        <v>8</v>
      </c>
      <c r="I80" s="3">
        <f>SUM(F80:H80)</f>
        <v>57</v>
      </c>
    </row>
    <row r="81" spans="1:9" x14ac:dyDescent="0.25">
      <c r="A81" s="2">
        <f>RANK(I81,$I$6:$I$475,0)</f>
        <v>59</v>
      </c>
      <c r="B81" s="1" t="s">
        <v>490</v>
      </c>
      <c r="C81" s="18">
        <v>46061</v>
      </c>
      <c r="D81" s="1" t="s">
        <v>71</v>
      </c>
      <c r="E81" s="1" t="s">
        <v>40</v>
      </c>
      <c r="F81" s="1">
        <v>29</v>
      </c>
      <c r="G81" s="1">
        <v>19</v>
      </c>
      <c r="H81" s="1">
        <v>9</v>
      </c>
      <c r="I81" s="3">
        <f>SUM(F81:H81)</f>
        <v>57</v>
      </c>
    </row>
    <row r="82" spans="1:9" x14ac:dyDescent="0.25">
      <c r="A82" s="2">
        <f>RANK(I82,$I$6:$I$475,0)</f>
        <v>59</v>
      </c>
      <c r="B82" s="1" t="s">
        <v>535</v>
      </c>
      <c r="C82" s="18">
        <v>46299</v>
      </c>
      <c r="D82" s="1" t="s">
        <v>378</v>
      </c>
      <c r="E82" s="1" t="s">
        <v>17</v>
      </c>
      <c r="F82" s="1">
        <v>28</v>
      </c>
      <c r="G82" s="1">
        <v>24</v>
      </c>
      <c r="H82" s="1">
        <v>5</v>
      </c>
      <c r="I82" s="3">
        <f>SUM(F82:H82)</f>
        <v>57</v>
      </c>
    </row>
    <row r="83" spans="1:9" x14ac:dyDescent="0.25">
      <c r="A83" s="2">
        <f>RANK(I83,$I$6:$I$475,0)</f>
        <v>78</v>
      </c>
      <c r="B83" s="1" t="s">
        <v>64</v>
      </c>
      <c r="C83" s="18">
        <v>44409</v>
      </c>
      <c r="D83" s="1" t="s">
        <v>69</v>
      </c>
      <c r="E83" s="1" t="s">
        <v>17</v>
      </c>
      <c r="F83" s="1">
        <v>29</v>
      </c>
      <c r="G83" s="1">
        <v>19</v>
      </c>
      <c r="H83" s="1">
        <v>8</v>
      </c>
      <c r="I83" s="3">
        <f>SUM(F83:H83)</f>
        <v>56</v>
      </c>
    </row>
    <row r="84" spans="1:9" x14ac:dyDescent="0.25">
      <c r="A84" s="2">
        <f>RANK(I84,$I$6:$I$475,0)</f>
        <v>78</v>
      </c>
      <c r="B84" s="29" t="s">
        <v>188</v>
      </c>
      <c r="C84" s="18">
        <v>44584</v>
      </c>
      <c r="D84" s="1" t="s">
        <v>71</v>
      </c>
      <c r="E84" s="1" t="s">
        <v>22</v>
      </c>
      <c r="F84" s="1">
        <v>30</v>
      </c>
      <c r="G84" s="1">
        <v>19</v>
      </c>
      <c r="H84" s="1">
        <v>7</v>
      </c>
      <c r="I84" s="3">
        <f>SUM(F84:H84)</f>
        <v>56</v>
      </c>
    </row>
    <row r="85" spans="1:9" x14ac:dyDescent="0.25">
      <c r="A85" s="2">
        <f>RANK(I85,$I$6:$I$475,0)</f>
        <v>78</v>
      </c>
      <c r="B85" s="29" t="s">
        <v>210</v>
      </c>
      <c r="C85" s="18">
        <v>44696</v>
      </c>
      <c r="D85" s="1" t="s">
        <v>73</v>
      </c>
      <c r="E85" s="1" t="s">
        <v>22</v>
      </c>
      <c r="F85" s="1">
        <v>29</v>
      </c>
      <c r="G85" s="1">
        <v>22</v>
      </c>
      <c r="H85" s="1">
        <v>5</v>
      </c>
      <c r="I85" s="3">
        <f>SUM(F85:H85)</f>
        <v>56</v>
      </c>
    </row>
    <row r="86" spans="1:9" x14ac:dyDescent="0.25">
      <c r="A86" s="2">
        <f>RANK(I86,$I$6:$I$475,0)</f>
        <v>78</v>
      </c>
      <c r="B86" s="29" t="s">
        <v>200</v>
      </c>
      <c r="C86" s="18">
        <v>44633</v>
      </c>
      <c r="D86" s="1" t="s">
        <v>68</v>
      </c>
      <c r="E86" s="1" t="s">
        <v>22</v>
      </c>
      <c r="F86" s="1">
        <v>30</v>
      </c>
      <c r="G86" s="1">
        <v>18</v>
      </c>
      <c r="H86" s="1">
        <v>8</v>
      </c>
      <c r="I86" s="3">
        <f>SUM(F86:H86)</f>
        <v>56</v>
      </c>
    </row>
    <row r="87" spans="1:9" x14ac:dyDescent="0.25">
      <c r="A87" s="2">
        <f>RANK(I87,$I$6:$I$475,0)</f>
        <v>78</v>
      </c>
      <c r="B87" s="29" t="s">
        <v>87</v>
      </c>
      <c r="C87" s="18">
        <v>43832</v>
      </c>
      <c r="D87" s="1" t="s">
        <v>69</v>
      </c>
      <c r="E87" s="1" t="s">
        <v>22</v>
      </c>
      <c r="F87" s="1">
        <v>29</v>
      </c>
      <c r="G87" s="1">
        <v>20</v>
      </c>
      <c r="H87" s="1">
        <v>7</v>
      </c>
      <c r="I87" s="3">
        <f>SUM(F87:H87)</f>
        <v>56</v>
      </c>
    </row>
    <row r="88" spans="1:9" x14ac:dyDescent="0.25">
      <c r="A88" s="2">
        <f>RANK(I88,$I$6:$I$475,0)</f>
        <v>78</v>
      </c>
      <c r="B88" s="1" t="s">
        <v>139</v>
      </c>
      <c r="C88" s="18">
        <v>44409</v>
      </c>
      <c r="D88" s="1" t="s">
        <v>69</v>
      </c>
      <c r="E88" s="1" t="s">
        <v>22</v>
      </c>
      <c r="F88" s="1">
        <v>30</v>
      </c>
      <c r="G88" s="1">
        <v>21</v>
      </c>
      <c r="H88" s="1">
        <v>5</v>
      </c>
      <c r="I88" s="3">
        <f>SUM(F88:H88)</f>
        <v>56</v>
      </c>
    </row>
    <row r="89" spans="1:9" x14ac:dyDescent="0.25">
      <c r="A89" s="2">
        <f>RANK(I89,$I$6:$I$475,0)</f>
        <v>78</v>
      </c>
      <c r="B89" s="1" t="s">
        <v>325</v>
      </c>
      <c r="C89" s="18">
        <v>45305</v>
      </c>
      <c r="D89" s="1" t="s">
        <v>307</v>
      </c>
      <c r="E89" s="1" t="s">
        <v>20</v>
      </c>
      <c r="F89" s="1">
        <v>28</v>
      </c>
      <c r="G89" s="1">
        <v>22</v>
      </c>
      <c r="H89" s="1">
        <v>6</v>
      </c>
      <c r="I89" s="3">
        <f>SUM(F89:H89)</f>
        <v>56</v>
      </c>
    </row>
    <row r="90" spans="1:9" x14ac:dyDescent="0.25">
      <c r="A90" s="2">
        <f>RANK(I90,$I$6:$I$475,0)</f>
        <v>78</v>
      </c>
      <c r="B90" s="1" t="s">
        <v>375</v>
      </c>
      <c r="C90" s="18">
        <v>45557</v>
      </c>
      <c r="D90" s="1" t="s">
        <v>71</v>
      </c>
      <c r="E90" s="1" t="s">
        <v>22</v>
      </c>
      <c r="F90" s="1">
        <v>30</v>
      </c>
      <c r="G90" s="1">
        <v>19</v>
      </c>
      <c r="H90" s="1">
        <v>7</v>
      </c>
      <c r="I90" s="3">
        <f>SUM(F90:H90)</f>
        <v>56</v>
      </c>
    </row>
    <row r="91" spans="1:9" x14ac:dyDescent="0.25">
      <c r="A91" s="2">
        <f>RANK(I91,$I$6:$I$475,0)</f>
        <v>78</v>
      </c>
      <c r="B91" s="29" t="s">
        <v>432</v>
      </c>
      <c r="C91" s="18">
        <v>45795</v>
      </c>
      <c r="D91" s="1" t="s">
        <v>378</v>
      </c>
      <c r="E91" s="1" t="s">
        <v>17</v>
      </c>
      <c r="F91" s="1">
        <v>28</v>
      </c>
      <c r="G91" s="1">
        <v>23</v>
      </c>
      <c r="H91" s="1">
        <v>5</v>
      </c>
      <c r="I91" s="3">
        <f>SUM(F91:H91)</f>
        <v>56</v>
      </c>
    </row>
    <row r="92" spans="1:9" x14ac:dyDescent="0.25">
      <c r="A92" s="2">
        <f>RANK(I92,$I$6:$I$475,0)</f>
        <v>78</v>
      </c>
      <c r="B92" s="29" t="s">
        <v>457</v>
      </c>
      <c r="C92" s="18">
        <v>45914</v>
      </c>
      <c r="D92" s="1" t="s">
        <v>71</v>
      </c>
      <c r="E92" s="1" t="s">
        <v>17</v>
      </c>
      <c r="F92" s="1">
        <v>32</v>
      </c>
      <c r="G92" s="1">
        <v>18</v>
      </c>
      <c r="H92" s="1">
        <v>6</v>
      </c>
      <c r="I92" s="3">
        <f>SUM(F92:H92)</f>
        <v>56</v>
      </c>
    </row>
    <row r="93" spans="1:9" x14ac:dyDescent="0.25">
      <c r="A93" s="2">
        <f>RANK(I93,$I$6:$I$475,0)</f>
        <v>78</v>
      </c>
      <c r="B93" s="1" t="s">
        <v>466</v>
      </c>
      <c r="C93" s="18">
        <v>45963</v>
      </c>
      <c r="D93" s="1" t="s">
        <v>378</v>
      </c>
      <c r="E93" s="1" t="s">
        <v>17</v>
      </c>
      <c r="F93" s="1">
        <v>28</v>
      </c>
      <c r="G93" s="1">
        <v>23</v>
      </c>
      <c r="H93" s="1">
        <v>5</v>
      </c>
      <c r="I93" s="3">
        <f>SUM(F93:H93)</f>
        <v>56</v>
      </c>
    </row>
    <row r="94" spans="1:9" x14ac:dyDescent="0.25">
      <c r="A94" s="2">
        <f>RANK(I94,$I$6:$I$475,0)</f>
        <v>78</v>
      </c>
      <c r="B94" s="1" t="s">
        <v>506</v>
      </c>
      <c r="C94" s="18">
        <v>46124</v>
      </c>
      <c r="D94" s="1" t="s">
        <v>377</v>
      </c>
      <c r="E94" s="1" t="s">
        <v>22</v>
      </c>
      <c r="F94" s="1">
        <v>28</v>
      </c>
      <c r="G94" s="1">
        <v>21</v>
      </c>
      <c r="H94" s="1">
        <v>7</v>
      </c>
      <c r="I94" s="3">
        <f>SUM(F94:H94)</f>
        <v>56</v>
      </c>
    </row>
    <row r="95" spans="1:9" x14ac:dyDescent="0.25">
      <c r="A95" s="2">
        <f>RANK(I95,$I$6:$I$475,0)</f>
        <v>78</v>
      </c>
      <c r="B95" s="1" t="s">
        <v>516</v>
      </c>
      <c r="C95" s="18">
        <v>46201</v>
      </c>
      <c r="D95" s="1" t="s">
        <v>497</v>
      </c>
      <c r="E95" s="1" t="s">
        <v>33</v>
      </c>
      <c r="F95" s="1">
        <v>31</v>
      </c>
      <c r="G95" s="1">
        <v>17</v>
      </c>
      <c r="H95" s="1">
        <v>8</v>
      </c>
      <c r="I95" s="3">
        <f>SUM(F95:H95)</f>
        <v>56</v>
      </c>
    </row>
    <row r="96" spans="1:9" x14ac:dyDescent="0.25">
      <c r="A96" s="2">
        <f>RANK(I96,$I$6:$I$475,0)</f>
        <v>78</v>
      </c>
      <c r="B96" s="1" t="s">
        <v>536</v>
      </c>
      <c r="C96" s="18">
        <v>46299</v>
      </c>
      <c r="D96" s="1" t="s">
        <v>378</v>
      </c>
      <c r="E96" s="1" t="s">
        <v>17</v>
      </c>
      <c r="F96" s="1">
        <v>29</v>
      </c>
      <c r="G96" s="1">
        <v>22</v>
      </c>
      <c r="H96" s="1">
        <v>5</v>
      </c>
      <c r="I96" s="3">
        <f>SUM(F96:H96)</f>
        <v>56</v>
      </c>
    </row>
    <row r="97" spans="1:9" x14ac:dyDescent="0.25">
      <c r="A97" s="2">
        <f>RANK(I97,$I$6:$I$475,0)</f>
        <v>92</v>
      </c>
      <c r="B97" s="1" t="s">
        <v>101</v>
      </c>
      <c r="C97" s="18">
        <v>45011</v>
      </c>
      <c r="D97" s="1" t="s">
        <v>69</v>
      </c>
      <c r="E97" s="1" t="s">
        <v>17</v>
      </c>
      <c r="F97" s="1">
        <v>27</v>
      </c>
      <c r="G97" s="1">
        <v>22</v>
      </c>
      <c r="H97" s="1">
        <v>6</v>
      </c>
      <c r="I97" s="3">
        <f>SUM(F97:H97)</f>
        <v>55</v>
      </c>
    </row>
    <row r="98" spans="1:9" ht="14.25" customHeight="1" x14ac:dyDescent="0.25">
      <c r="A98" s="2">
        <f>RANK(I98,$I$6:$I$475,0)</f>
        <v>92</v>
      </c>
      <c r="B98" s="29" t="s">
        <v>252</v>
      </c>
      <c r="C98" s="18">
        <v>44878</v>
      </c>
      <c r="D98" s="1" t="s">
        <v>69</v>
      </c>
      <c r="E98" s="1" t="s">
        <v>33</v>
      </c>
      <c r="F98" s="1">
        <v>28</v>
      </c>
      <c r="G98" s="1">
        <v>19</v>
      </c>
      <c r="H98" s="1">
        <v>8</v>
      </c>
      <c r="I98" s="3">
        <f>SUM(F98:H98)</f>
        <v>55</v>
      </c>
    </row>
    <row r="99" spans="1:9" x14ac:dyDescent="0.25">
      <c r="A99" s="2">
        <f>RANK(I99,$I$6:$I$475,0)</f>
        <v>92</v>
      </c>
      <c r="B99" s="29" t="s">
        <v>141</v>
      </c>
      <c r="C99" s="18">
        <v>44416</v>
      </c>
      <c r="D99" s="1" t="s">
        <v>69</v>
      </c>
      <c r="E99" s="1" t="s">
        <v>17</v>
      </c>
      <c r="F99" s="1">
        <v>30</v>
      </c>
      <c r="G99" s="1">
        <v>19</v>
      </c>
      <c r="H99" s="1">
        <v>6</v>
      </c>
      <c r="I99" s="3">
        <f>SUM(F99:H99)</f>
        <v>55</v>
      </c>
    </row>
    <row r="100" spans="1:9" x14ac:dyDescent="0.25">
      <c r="A100" s="2">
        <f>RANK(I100,$I$6:$I$475,0)</f>
        <v>92</v>
      </c>
      <c r="B100" s="29" t="s">
        <v>224</v>
      </c>
      <c r="C100" s="18">
        <v>44752</v>
      </c>
      <c r="D100" s="1" t="s">
        <v>71</v>
      </c>
      <c r="E100" s="1" t="s">
        <v>17</v>
      </c>
      <c r="F100" s="1">
        <v>28</v>
      </c>
      <c r="G100" s="1">
        <v>20</v>
      </c>
      <c r="H100" s="1">
        <v>7</v>
      </c>
      <c r="I100" s="3">
        <f>SUM(F100:H100)</f>
        <v>55</v>
      </c>
    </row>
    <row r="101" spans="1:9" x14ac:dyDescent="0.25">
      <c r="A101" s="2">
        <f>RANK(I101,$I$6:$I$475,0)</f>
        <v>92</v>
      </c>
      <c r="B101" s="1" t="s">
        <v>126</v>
      </c>
      <c r="C101" s="18">
        <v>44344</v>
      </c>
      <c r="D101" s="1" t="s">
        <v>71</v>
      </c>
      <c r="E101" s="1" t="s">
        <v>22</v>
      </c>
      <c r="F101" s="1">
        <v>27</v>
      </c>
      <c r="G101" s="1">
        <v>21</v>
      </c>
      <c r="H101" s="1">
        <v>7</v>
      </c>
      <c r="I101" s="3">
        <f>SUM(F101:H101)</f>
        <v>55</v>
      </c>
    </row>
    <row r="102" spans="1:9" x14ac:dyDescent="0.25">
      <c r="A102" s="2">
        <f>RANK(I102,$I$6:$I$475,0)</f>
        <v>92</v>
      </c>
      <c r="B102" s="29" t="s">
        <v>265</v>
      </c>
      <c r="C102" s="18">
        <v>45320</v>
      </c>
      <c r="D102" s="1" t="s">
        <v>74</v>
      </c>
      <c r="E102" s="1" t="s">
        <v>17</v>
      </c>
      <c r="F102" s="1">
        <v>28</v>
      </c>
      <c r="G102" s="1">
        <v>22</v>
      </c>
      <c r="H102" s="1">
        <v>5</v>
      </c>
      <c r="I102" s="3">
        <f>SUM(F102:H102)</f>
        <v>55</v>
      </c>
    </row>
    <row r="103" spans="1:9" x14ac:dyDescent="0.25">
      <c r="A103" s="2">
        <f>RANK(I103,$I$6:$I$475,0)</f>
        <v>92</v>
      </c>
      <c r="B103" s="1" t="s">
        <v>313</v>
      </c>
      <c r="C103" s="18">
        <v>45249</v>
      </c>
      <c r="D103" s="1" t="s">
        <v>74</v>
      </c>
      <c r="E103" s="1" t="s">
        <v>33</v>
      </c>
      <c r="F103" s="1">
        <v>29</v>
      </c>
      <c r="G103" s="1">
        <v>19</v>
      </c>
      <c r="H103" s="1">
        <v>7</v>
      </c>
      <c r="I103" s="3">
        <f>SUM(F103:H103)</f>
        <v>55</v>
      </c>
    </row>
    <row r="104" spans="1:9" x14ac:dyDescent="0.25">
      <c r="A104" s="2">
        <f>RANK(I104,$I$6:$I$475,0)</f>
        <v>92</v>
      </c>
      <c r="B104" s="1" t="s">
        <v>230</v>
      </c>
      <c r="C104" s="18">
        <v>44787</v>
      </c>
      <c r="D104" s="1" t="s">
        <v>69</v>
      </c>
      <c r="E104" s="1" t="s">
        <v>22</v>
      </c>
      <c r="F104" s="1">
        <v>28</v>
      </c>
      <c r="G104" s="1">
        <v>21</v>
      </c>
      <c r="H104" s="1">
        <v>6</v>
      </c>
      <c r="I104" s="3">
        <f>SUM(F104:H104)</f>
        <v>55</v>
      </c>
    </row>
    <row r="105" spans="1:9" x14ac:dyDescent="0.25">
      <c r="A105" s="2">
        <f>RANK(I105,$I$6:$I$475,0)</f>
        <v>92</v>
      </c>
      <c r="B105" s="1" t="s">
        <v>145</v>
      </c>
      <c r="C105" s="18">
        <v>44423</v>
      </c>
      <c r="D105" s="1" t="s">
        <v>71</v>
      </c>
      <c r="E105" s="1" t="s">
        <v>22</v>
      </c>
      <c r="F105" s="1">
        <v>30</v>
      </c>
      <c r="G105" s="1">
        <v>17</v>
      </c>
      <c r="H105" s="1">
        <v>8</v>
      </c>
      <c r="I105" s="3">
        <f>SUM(F105:H105)</f>
        <v>55</v>
      </c>
    </row>
    <row r="106" spans="1:9" x14ac:dyDescent="0.25">
      <c r="A106" s="2">
        <f>RANK(I106,$I$6:$I$475,0)</f>
        <v>92</v>
      </c>
      <c r="B106" s="1" t="s">
        <v>349</v>
      </c>
      <c r="C106" s="18">
        <v>45459</v>
      </c>
      <c r="D106" s="1" t="s">
        <v>236</v>
      </c>
      <c r="E106" s="1" t="s">
        <v>17</v>
      </c>
      <c r="F106" s="1">
        <v>29</v>
      </c>
      <c r="G106" s="1">
        <v>18</v>
      </c>
      <c r="H106" s="1">
        <v>8</v>
      </c>
      <c r="I106" s="3">
        <f>SUM(F106:H106)</f>
        <v>55</v>
      </c>
    </row>
    <row r="107" spans="1:9" x14ac:dyDescent="0.25">
      <c r="A107" s="2">
        <f>RANK(I107,$I$6:$I$475,0)</f>
        <v>92</v>
      </c>
      <c r="B107" s="29" t="s">
        <v>137</v>
      </c>
      <c r="C107" s="18">
        <v>45011</v>
      </c>
      <c r="D107" s="1" t="s">
        <v>70</v>
      </c>
      <c r="E107" s="1" t="s">
        <v>17</v>
      </c>
      <c r="F107" s="1">
        <v>30</v>
      </c>
      <c r="G107" s="1">
        <v>17</v>
      </c>
      <c r="H107" s="1">
        <v>8</v>
      </c>
      <c r="I107" s="3">
        <f>SUM(F107:H107)</f>
        <v>55</v>
      </c>
    </row>
    <row r="108" spans="1:9" x14ac:dyDescent="0.25">
      <c r="A108" s="2">
        <f>RANK(I108,$I$6:$I$475,0)</f>
        <v>92</v>
      </c>
      <c r="B108" s="1" t="s">
        <v>169</v>
      </c>
      <c r="C108" s="18">
        <v>44493</v>
      </c>
      <c r="D108" s="1" t="s">
        <v>71</v>
      </c>
      <c r="E108" s="1" t="s">
        <v>22</v>
      </c>
      <c r="F108" s="1">
        <v>29</v>
      </c>
      <c r="G108" s="1">
        <v>18</v>
      </c>
      <c r="H108" s="1">
        <v>8</v>
      </c>
      <c r="I108" s="3">
        <f>SUM(F108:H108)</f>
        <v>55</v>
      </c>
    </row>
    <row r="109" spans="1:9" x14ac:dyDescent="0.25">
      <c r="A109" s="2">
        <f>RANK(I109,$I$6:$I$475,0)</f>
        <v>92</v>
      </c>
      <c r="B109" s="29" t="s">
        <v>168</v>
      </c>
      <c r="C109" s="18">
        <v>44485</v>
      </c>
      <c r="D109" s="1" t="s">
        <v>71</v>
      </c>
      <c r="E109" s="1" t="s">
        <v>22</v>
      </c>
      <c r="F109" s="1">
        <v>29</v>
      </c>
      <c r="G109" s="1">
        <v>19</v>
      </c>
      <c r="H109" s="1">
        <v>7</v>
      </c>
      <c r="I109" s="3">
        <f>SUM(F109:H109)</f>
        <v>55</v>
      </c>
    </row>
    <row r="110" spans="1:9" x14ac:dyDescent="0.25">
      <c r="A110" s="2">
        <f>RANK(I110,$I$6:$I$475,0)</f>
        <v>92</v>
      </c>
      <c r="B110" s="1" t="s">
        <v>211</v>
      </c>
      <c r="C110" s="18">
        <v>44703</v>
      </c>
      <c r="D110" s="1" t="s">
        <v>69</v>
      </c>
      <c r="E110" s="1" t="s">
        <v>22</v>
      </c>
      <c r="F110" s="1">
        <v>29</v>
      </c>
      <c r="G110" s="1">
        <v>21</v>
      </c>
      <c r="H110" s="1">
        <v>5</v>
      </c>
      <c r="I110" s="3">
        <f>SUM(F110:H110)</f>
        <v>55</v>
      </c>
    </row>
    <row r="111" spans="1:9" x14ac:dyDescent="0.25">
      <c r="A111" s="2">
        <f>RANK(I111,$I$6:$I$475,0)</f>
        <v>92</v>
      </c>
      <c r="B111" s="1" t="s">
        <v>333</v>
      </c>
      <c r="C111" s="18">
        <v>45347</v>
      </c>
      <c r="D111" s="1" t="s">
        <v>71</v>
      </c>
      <c r="E111" s="1" t="s">
        <v>22</v>
      </c>
      <c r="F111" s="1">
        <v>31</v>
      </c>
      <c r="G111" s="1">
        <v>16</v>
      </c>
      <c r="H111" s="1">
        <v>8</v>
      </c>
      <c r="I111" s="3">
        <f>SUM(F111:H111)</f>
        <v>55</v>
      </c>
    </row>
    <row r="112" spans="1:9" x14ac:dyDescent="0.25">
      <c r="A112" s="2">
        <f>RANK(I112,$I$6:$I$475,0)</f>
        <v>92</v>
      </c>
      <c r="B112" s="29" t="s">
        <v>249</v>
      </c>
      <c r="C112" s="18">
        <v>44864</v>
      </c>
      <c r="D112" s="1" t="s">
        <v>236</v>
      </c>
      <c r="E112" s="1" t="s">
        <v>22</v>
      </c>
      <c r="F112" s="1">
        <v>29</v>
      </c>
      <c r="G112" s="1">
        <v>18</v>
      </c>
      <c r="H112" s="1">
        <v>8</v>
      </c>
      <c r="I112" s="3">
        <f>SUM(F112:H112)</f>
        <v>55</v>
      </c>
    </row>
    <row r="113" spans="1:9" x14ac:dyDescent="0.25">
      <c r="A113" s="2">
        <f>RANK(I113,$I$6:$I$475,0)</f>
        <v>92</v>
      </c>
      <c r="B113" s="1" t="s">
        <v>337</v>
      </c>
      <c r="C113" s="18">
        <v>45368</v>
      </c>
      <c r="D113" s="1" t="s">
        <v>184</v>
      </c>
      <c r="E113" s="1" t="s">
        <v>17</v>
      </c>
      <c r="F113" s="1">
        <v>26</v>
      </c>
      <c r="G113" s="1">
        <v>22</v>
      </c>
      <c r="H113" s="1">
        <v>7</v>
      </c>
      <c r="I113" s="3">
        <f>SUM(F113:H113)</f>
        <v>55</v>
      </c>
    </row>
    <row r="114" spans="1:9" x14ac:dyDescent="0.25">
      <c r="A114" s="2">
        <f>RANK(I114,$I$6:$I$475,0)</f>
        <v>92</v>
      </c>
      <c r="B114" s="1" t="s">
        <v>345</v>
      </c>
      <c r="C114" s="18">
        <v>45417</v>
      </c>
      <c r="D114" s="1" t="s">
        <v>309</v>
      </c>
      <c r="E114" s="1" t="s">
        <v>22</v>
      </c>
      <c r="F114" s="1">
        <v>28</v>
      </c>
      <c r="G114" s="1">
        <v>22</v>
      </c>
      <c r="H114" s="1">
        <v>5</v>
      </c>
      <c r="I114" s="3">
        <f>SUM(F114:H114)</f>
        <v>55</v>
      </c>
    </row>
    <row r="115" spans="1:9" x14ac:dyDescent="0.25">
      <c r="A115" s="2">
        <f>RANK(I115,$I$6:$I$475,0)</f>
        <v>92</v>
      </c>
      <c r="B115" s="1" t="s">
        <v>299</v>
      </c>
      <c r="C115" s="18">
        <v>45172</v>
      </c>
      <c r="D115" s="1" t="s">
        <v>68</v>
      </c>
      <c r="E115" s="1" t="s">
        <v>20</v>
      </c>
      <c r="F115" s="1">
        <v>27</v>
      </c>
      <c r="G115" s="1">
        <v>21</v>
      </c>
      <c r="H115" s="1">
        <v>7</v>
      </c>
      <c r="I115" s="3">
        <f>SUM(F115:H115)</f>
        <v>55</v>
      </c>
    </row>
    <row r="116" spans="1:9" x14ac:dyDescent="0.25">
      <c r="A116" s="2">
        <f>RANK(I116,$I$6:$I$475,0)</f>
        <v>92</v>
      </c>
      <c r="B116" s="29" t="s">
        <v>347</v>
      </c>
      <c r="C116" s="18">
        <v>45438</v>
      </c>
      <c r="D116" s="1" t="s">
        <v>71</v>
      </c>
      <c r="E116" s="1" t="s">
        <v>22</v>
      </c>
      <c r="F116" s="1">
        <v>30</v>
      </c>
      <c r="G116" s="1">
        <v>18</v>
      </c>
      <c r="H116" s="1">
        <v>7</v>
      </c>
      <c r="I116" s="3">
        <f>SUM(F116:H116)</f>
        <v>55</v>
      </c>
    </row>
    <row r="117" spans="1:9" x14ac:dyDescent="0.25">
      <c r="A117" s="2">
        <f>RANK(I117,$I$6:$I$475,0)</f>
        <v>92</v>
      </c>
      <c r="B117" s="29" t="s">
        <v>226</v>
      </c>
      <c r="C117" s="18">
        <v>44766</v>
      </c>
      <c r="D117" s="1" t="s">
        <v>71</v>
      </c>
      <c r="E117" s="1" t="s">
        <v>22</v>
      </c>
      <c r="F117" s="1">
        <v>29</v>
      </c>
      <c r="G117" s="1">
        <v>20</v>
      </c>
      <c r="H117" s="1">
        <v>6</v>
      </c>
      <c r="I117" s="3">
        <f>SUM(F117:H117)</f>
        <v>55</v>
      </c>
    </row>
    <row r="118" spans="1:9" x14ac:dyDescent="0.25">
      <c r="A118" s="2">
        <f>RANK(I118,$I$6:$I$475,0)</f>
        <v>92</v>
      </c>
      <c r="B118" s="1" t="s">
        <v>371</v>
      </c>
      <c r="C118" s="18">
        <v>45543</v>
      </c>
      <c r="D118" s="1" t="s">
        <v>66</v>
      </c>
      <c r="E118" s="1" t="s">
        <v>33</v>
      </c>
      <c r="F118" s="1">
        <v>28</v>
      </c>
      <c r="G118" s="1">
        <v>21</v>
      </c>
      <c r="H118" s="1">
        <v>6</v>
      </c>
      <c r="I118" s="3">
        <f>SUM(F118:H118)</f>
        <v>55</v>
      </c>
    </row>
    <row r="119" spans="1:9" x14ac:dyDescent="0.25">
      <c r="A119" s="2">
        <f>RANK(I119,$I$6:$I$475,0)</f>
        <v>92</v>
      </c>
      <c r="B119" s="1" t="s">
        <v>415</v>
      </c>
      <c r="C119" s="18">
        <v>45732</v>
      </c>
      <c r="D119" s="1" t="s">
        <v>73</v>
      </c>
      <c r="E119" s="1" t="s">
        <v>22</v>
      </c>
      <c r="F119" s="1">
        <v>28</v>
      </c>
      <c r="G119" s="1">
        <v>22</v>
      </c>
      <c r="H119" s="1">
        <v>5</v>
      </c>
      <c r="I119" s="3">
        <f>SUM(F119:H119)</f>
        <v>55</v>
      </c>
    </row>
    <row r="120" spans="1:9" x14ac:dyDescent="0.25">
      <c r="A120" s="2">
        <f>RANK(I120,$I$6:$I$475,0)</f>
        <v>92</v>
      </c>
      <c r="B120" s="1" t="s">
        <v>430</v>
      </c>
      <c r="C120" s="18">
        <v>45781</v>
      </c>
      <c r="D120" s="1" t="s">
        <v>378</v>
      </c>
      <c r="E120" s="1" t="s">
        <v>22</v>
      </c>
      <c r="F120" s="1">
        <v>27</v>
      </c>
      <c r="G120" s="1">
        <v>22</v>
      </c>
      <c r="H120" s="1">
        <v>6</v>
      </c>
      <c r="I120" s="3">
        <f>SUM(F120:H120)</f>
        <v>55</v>
      </c>
    </row>
    <row r="121" spans="1:9" x14ac:dyDescent="0.25">
      <c r="A121" s="2">
        <f>RANK(I121,$I$6:$I$475,0)</f>
        <v>92</v>
      </c>
      <c r="B121" s="1" t="s">
        <v>453</v>
      </c>
      <c r="C121" s="18">
        <v>45886</v>
      </c>
      <c r="D121" s="1" t="s">
        <v>309</v>
      </c>
      <c r="E121" s="1" t="s">
        <v>33</v>
      </c>
      <c r="F121" s="1">
        <v>30</v>
      </c>
      <c r="G121" s="1">
        <v>19</v>
      </c>
      <c r="H121" s="1">
        <v>6</v>
      </c>
      <c r="I121" s="3">
        <f>SUM(F121:H121)</f>
        <v>55</v>
      </c>
    </row>
    <row r="122" spans="1:9" x14ac:dyDescent="0.25">
      <c r="A122" s="2">
        <f>RANK(I122,$I$6:$I$475,0)</f>
        <v>92</v>
      </c>
      <c r="B122" s="29" t="s">
        <v>455</v>
      </c>
      <c r="C122" s="18">
        <v>45893</v>
      </c>
      <c r="D122" s="1" t="s">
        <v>377</v>
      </c>
      <c r="E122" s="1" t="s">
        <v>22</v>
      </c>
      <c r="F122" s="1">
        <v>29</v>
      </c>
      <c r="G122" s="1">
        <v>18</v>
      </c>
      <c r="H122" s="1">
        <v>8</v>
      </c>
      <c r="I122" s="3">
        <f>SUM(F122:H122)</f>
        <v>55</v>
      </c>
    </row>
    <row r="123" spans="1:9" x14ac:dyDescent="0.25">
      <c r="A123" s="2">
        <f>RANK(I123,$I$6:$I$475,0)</f>
        <v>92</v>
      </c>
      <c r="B123" s="1" t="s">
        <v>459</v>
      </c>
      <c r="C123" s="18">
        <v>45921</v>
      </c>
      <c r="D123" s="1" t="s">
        <v>266</v>
      </c>
      <c r="E123" s="1" t="s">
        <v>17</v>
      </c>
      <c r="F123" s="1">
        <v>29</v>
      </c>
      <c r="G123" s="1">
        <v>19</v>
      </c>
      <c r="H123" s="1">
        <v>7</v>
      </c>
      <c r="I123" s="3">
        <f>SUM(F123:H123)</f>
        <v>55</v>
      </c>
    </row>
    <row r="124" spans="1:9" x14ac:dyDescent="0.25">
      <c r="A124" s="2">
        <f>RANK(I124,$I$6:$I$475,0)</f>
        <v>92</v>
      </c>
      <c r="B124" s="1" t="s">
        <v>474</v>
      </c>
      <c r="C124" s="18">
        <v>45991</v>
      </c>
      <c r="D124" s="1" t="s">
        <v>478</v>
      </c>
      <c r="E124" s="1" t="s">
        <v>22</v>
      </c>
      <c r="F124" s="1">
        <v>27</v>
      </c>
      <c r="G124" s="1">
        <v>24</v>
      </c>
      <c r="H124" s="1">
        <v>4</v>
      </c>
      <c r="I124" s="3">
        <f>SUM(F124:H124)</f>
        <v>55</v>
      </c>
    </row>
    <row r="125" spans="1:9" x14ac:dyDescent="0.25">
      <c r="A125" s="2">
        <f>RANK(I125,$I$6:$I$475,0)</f>
        <v>92</v>
      </c>
      <c r="B125" s="1" t="s">
        <v>494</v>
      </c>
      <c r="C125" s="18">
        <v>46075</v>
      </c>
      <c r="D125" s="1" t="s">
        <v>378</v>
      </c>
      <c r="E125" s="1" t="s">
        <v>17</v>
      </c>
      <c r="F125" s="1">
        <v>29</v>
      </c>
      <c r="G125" s="1">
        <v>19</v>
      </c>
      <c r="H125" s="1">
        <v>7</v>
      </c>
      <c r="I125" s="3">
        <f>SUM(F125:H125)</f>
        <v>55</v>
      </c>
    </row>
    <row r="126" spans="1:9" x14ac:dyDescent="0.25">
      <c r="A126" s="2">
        <f>RANK(I126,$I$6:$I$475,0)</f>
        <v>92</v>
      </c>
      <c r="B126" s="1" t="s">
        <v>503</v>
      </c>
      <c r="C126" s="18">
        <v>46124</v>
      </c>
      <c r="D126" s="1" t="s">
        <v>378</v>
      </c>
      <c r="E126" s="1" t="s">
        <v>17</v>
      </c>
      <c r="F126" s="1">
        <v>28</v>
      </c>
      <c r="G126" s="1">
        <v>22</v>
      </c>
      <c r="H126" s="1">
        <v>5</v>
      </c>
      <c r="I126" s="3">
        <f>SUM(F126:H126)</f>
        <v>55</v>
      </c>
    </row>
    <row r="127" spans="1:9" x14ac:dyDescent="0.25">
      <c r="A127" s="2">
        <f>RANK(I127,$I$6:$I$475,0)</f>
        <v>92</v>
      </c>
      <c r="B127" s="1" t="s">
        <v>512</v>
      </c>
      <c r="C127" s="18">
        <v>46152</v>
      </c>
      <c r="D127" s="1" t="s">
        <v>483</v>
      </c>
      <c r="E127" s="1" t="s">
        <v>20</v>
      </c>
      <c r="F127" s="1">
        <v>30</v>
      </c>
      <c r="G127" s="1">
        <v>17</v>
      </c>
      <c r="H127" s="1">
        <v>8</v>
      </c>
      <c r="I127" s="3">
        <f>SUM(F127:H127)</f>
        <v>55</v>
      </c>
    </row>
    <row r="128" spans="1:9" x14ac:dyDescent="0.25">
      <c r="A128" s="2">
        <f>RANK(I128,$I$6:$I$475,0)</f>
        <v>123</v>
      </c>
      <c r="B128" s="29" t="s">
        <v>270</v>
      </c>
      <c r="C128" s="18">
        <v>44938</v>
      </c>
      <c r="D128" s="1" t="s">
        <v>68</v>
      </c>
      <c r="E128" s="1" t="s">
        <v>40</v>
      </c>
      <c r="F128" s="1">
        <v>31</v>
      </c>
      <c r="G128" s="1">
        <v>15</v>
      </c>
      <c r="H128" s="1">
        <v>8</v>
      </c>
      <c r="I128" s="3">
        <f>SUM(F128:H128)</f>
        <v>54</v>
      </c>
    </row>
    <row r="129" spans="1:9" x14ac:dyDescent="0.25">
      <c r="A129" s="2">
        <f>RANK(I129,$I$6:$I$475,0)</f>
        <v>123</v>
      </c>
      <c r="B129" s="29" t="s">
        <v>232</v>
      </c>
      <c r="C129" s="18">
        <v>44794</v>
      </c>
      <c r="D129" s="1" t="s">
        <v>184</v>
      </c>
      <c r="E129" s="1" t="s">
        <v>17</v>
      </c>
      <c r="F129" s="1">
        <v>28</v>
      </c>
      <c r="G129" s="1">
        <v>20</v>
      </c>
      <c r="H129" s="1">
        <v>6</v>
      </c>
      <c r="I129" s="3">
        <f>SUM(F129:H129)</f>
        <v>54</v>
      </c>
    </row>
    <row r="130" spans="1:9" x14ac:dyDescent="0.25">
      <c r="A130" s="2">
        <f>RANK(I130,$I$6:$I$475,0)</f>
        <v>123</v>
      </c>
      <c r="B130" s="1" t="s">
        <v>204</v>
      </c>
      <c r="C130" s="18">
        <v>44647</v>
      </c>
      <c r="D130" s="1" t="s">
        <v>69</v>
      </c>
      <c r="E130" s="1" t="s">
        <v>22</v>
      </c>
      <c r="F130" s="1">
        <v>30</v>
      </c>
      <c r="G130" s="1">
        <v>18</v>
      </c>
      <c r="H130" s="1">
        <v>6</v>
      </c>
      <c r="I130" s="3">
        <f>SUM(F130:H130)</f>
        <v>54</v>
      </c>
    </row>
    <row r="131" spans="1:9" x14ac:dyDescent="0.25">
      <c r="A131" s="2">
        <f>RANK(I131,$I$6:$I$475,0)</f>
        <v>123</v>
      </c>
      <c r="B131" s="1" t="s">
        <v>42</v>
      </c>
      <c r="C131" s="18">
        <v>44409</v>
      </c>
      <c r="D131" s="1" t="s">
        <v>68</v>
      </c>
      <c r="E131" s="1" t="s">
        <v>40</v>
      </c>
      <c r="F131" s="1">
        <v>29</v>
      </c>
      <c r="G131" s="1">
        <v>16</v>
      </c>
      <c r="H131" s="1">
        <v>9</v>
      </c>
      <c r="I131" s="3">
        <f>SUM(F131:H131)</f>
        <v>54</v>
      </c>
    </row>
    <row r="132" spans="1:9" x14ac:dyDescent="0.25">
      <c r="A132" s="2">
        <f>RANK(I132,$I$6:$I$475,0)</f>
        <v>123</v>
      </c>
      <c r="B132" s="29" t="s">
        <v>117</v>
      </c>
      <c r="C132" s="18">
        <v>44304</v>
      </c>
      <c r="D132" s="1" t="s">
        <v>72</v>
      </c>
      <c r="E132" s="1" t="s">
        <v>17</v>
      </c>
      <c r="F132" s="1">
        <v>29</v>
      </c>
      <c r="G132" s="1">
        <v>17</v>
      </c>
      <c r="H132" s="1">
        <v>8</v>
      </c>
      <c r="I132" s="3">
        <f>SUM(F132:H132)</f>
        <v>54</v>
      </c>
    </row>
    <row r="133" spans="1:9" x14ac:dyDescent="0.25">
      <c r="A133" s="2">
        <f>RANK(I133,$I$6:$I$475,0)</f>
        <v>123</v>
      </c>
      <c r="B133" s="1" t="s">
        <v>298</v>
      </c>
      <c r="C133" s="18">
        <v>45172</v>
      </c>
      <c r="D133" s="1" t="s">
        <v>69</v>
      </c>
      <c r="E133" s="1" t="s">
        <v>22</v>
      </c>
      <c r="F133" s="1">
        <v>30</v>
      </c>
      <c r="G133" s="1">
        <v>17</v>
      </c>
      <c r="H133" s="1">
        <v>7</v>
      </c>
      <c r="I133" s="3">
        <f>SUM(F133:H133)</f>
        <v>54</v>
      </c>
    </row>
    <row r="134" spans="1:9" x14ac:dyDescent="0.25">
      <c r="A134" s="2">
        <f>RANK(I134,$I$6:$I$475,0)</f>
        <v>123</v>
      </c>
      <c r="B134" s="29" t="s">
        <v>264</v>
      </c>
      <c r="C134" s="18">
        <v>44941</v>
      </c>
      <c r="D134" s="1" t="s">
        <v>66</v>
      </c>
      <c r="E134" s="1" t="s">
        <v>17</v>
      </c>
      <c r="F134" s="1">
        <v>28</v>
      </c>
      <c r="G134" s="1">
        <v>20</v>
      </c>
      <c r="H134" s="1">
        <v>6</v>
      </c>
      <c r="I134" s="3">
        <f>SUM(F134:H134)</f>
        <v>54</v>
      </c>
    </row>
    <row r="135" spans="1:9" x14ac:dyDescent="0.25">
      <c r="A135" s="2">
        <f>RANK(I135,$I$6:$I$475,0)</f>
        <v>123</v>
      </c>
      <c r="B135" s="1" t="s">
        <v>248</v>
      </c>
      <c r="C135" s="18">
        <v>44857</v>
      </c>
      <c r="D135" s="1" t="s">
        <v>71</v>
      </c>
      <c r="E135" s="1" t="s">
        <v>22</v>
      </c>
      <c r="F135" s="1">
        <v>29</v>
      </c>
      <c r="G135" s="1">
        <v>18</v>
      </c>
      <c r="H135" s="1">
        <v>7</v>
      </c>
      <c r="I135" s="3">
        <f>SUM(F135:H135)</f>
        <v>54</v>
      </c>
    </row>
    <row r="136" spans="1:9" x14ac:dyDescent="0.25">
      <c r="A136" s="2">
        <f>RANK(I136,$I$6:$I$475,0)</f>
        <v>123</v>
      </c>
      <c r="B136" s="29" t="s">
        <v>180</v>
      </c>
      <c r="C136" s="18">
        <v>44528</v>
      </c>
      <c r="D136" s="1" t="s">
        <v>71</v>
      </c>
      <c r="E136" s="1" t="s">
        <v>17</v>
      </c>
      <c r="F136" s="1">
        <v>29</v>
      </c>
      <c r="G136" s="1">
        <v>19</v>
      </c>
      <c r="H136" s="1">
        <v>6</v>
      </c>
      <c r="I136" s="3">
        <f>SUM(F136:H136)</f>
        <v>54</v>
      </c>
    </row>
    <row r="137" spans="1:9" x14ac:dyDescent="0.25">
      <c r="A137" s="2">
        <f>RANK(I137,$I$6:$I$475,0)</f>
        <v>123</v>
      </c>
      <c r="B137" s="1" t="s">
        <v>178</v>
      </c>
      <c r="C137" s="18">
        <v>44521</v>
      </c>
      <c r="D137" s="1" t="s">
        <v>74</v>
      </c>
      <c r="E137" s="1" t="s">
        <v>22</v>
      </c>
      <c r="F137" s="1">
        <v>29</v>
      </c>
      <c r="G137" s="1">
        <v>20</v>
      </c>
      <c r="H137" s="1">
        <v>5</v>
      </c>
      <c r="I137" s="3">
        <f>SUM(F137:H137)</f>
        <v>54</v>
      </c>
    </row>
    <row r="138" spans="1:9" x14ac:dyDescent="0.25">
      <c r="A138" s="2">
        <f>RANK(I138,$I$6:$I$475,0)</f>
        <v>123</v>
      </c>
      <c r="B138" s="29" t="s">
        <v>136</v>
      </c>
      <c r="C138" s="18">
        <v>45011</v>
      </c>
      <c r="D138" s="1" t="s">
        <v>72</v>
      </c>
      <c r="E138" s="1" t="s">
        <v>17</v>
      </c>
      <c r="F138" s="1">
        <v>30</v>
      </c>
      <c r="G138" s="1">
        <v>17</v>
      </c>
      <c r="H138" s="1">
        <v>7</v>
      </c>
      <c r="I138" s="3">
        <f>SUM(F138:H138)</f>
        <v>54</v>
      </c>
    </row>
    <row r="139" spans="1:9" x14ac:dyDescent="0.25">
      <c r="A139" s="2">
        <f>RANK(I139,$I$6:$I$475,0)</f>
        <v>123</v>
      </c>
      <c r="B139" s="1" t="s">
        <v>158</v>
      </c>
      <c r="C139" s="18">
        <v>44451</v>
      </c>
      <c r="D139" s="1" t="s">
        <v>154</v>
      </c>
      <c r="E139" s="1" t="s">
        <v>22</v>
      </c>
      <c r="F139" s="1">
        <v>27</v>
      </c>
      <c r="G139" s="1">
        <v>21</v>
      </c>
      <c r="H139" s="1">
        <v>6</v>
      </c>
      <c r="I139" s="3">
        <f>SUM(F139:H139)</f>
        <v>54</v>
      </c>
    </row>
    <row r="140" spans="1:9" x14ac:dyDescent="0.25">
      <c r="A140" s="2">
        <f>RANK(I140,$I$6:$I$475,0)</f>
        <v>123</v>
      </c>
      <c r="B140" s="1" t="s">
        <v>399</v>
      </c>
      <c r="C140" s="18">
        <v>45662</v>
      </c>
      <c r="D140" s="1" t="s">
        <v>68</v>
      </c>
      <c r="E140" s="1" t="s">
        <v>40</v>
      </c>
      <c r="F140" s="1">
        <v>29</v>
      </c>
      <c r="G140" s="1">
        <v>17</v>
      </c>
      <c r="H140" s="1">
        <v>8</v>
      </c>
      <c r="I140" s="3">
        <f>SUM(F140:H140)</f>
        <v>54</v>
      </c>
    </row>
    <row r="141" spans="1:9" x14ac:dyDescent="0.25">
      <c r="A141" s="2">
        <f>RANK(I141,$I$6:$I$475,0)</f>
        <v>123</v>
      </c>
      <c r="B141" s="29" t="s">
        <v>411</v>
      </c>
      <c r="C141" s="18">
        <v>45697</v>
      </c>
      <c r="D141" s="1" t="s">
        <v>266</v>
      </c>
      <c r="E141" s="1" t="s">
        <v>22</v>
      </c>
      <c r="F141" s="1">
        <v>30</v>
      </c>
      <c r="G141" s="1">
        <v>16</v>
      </c>
      <c r="H141" s="1">
        <v>8</v>
      </c>
      <c r="I141" s="3">
        <f>SUM(F141:H141)</f>
        <v>54</v>
      </c>
    </row>
    <row r="142" spans="1:9" x14ac:dyDescent="0.25">
      <c r="A142" s="2">
        <f>RANK(I142,$I$6:$I$475,0)</f>
        <v>123</v>
      </c>
      <c r="B142" s="1" t="s">
        <v>456</v>
      </c>
      <c r="C142" s="18">
        <v>45907</v>
      </c>
      <c r="D142" s="1" t="s">
        <v>377</v>
      </c>
      <c r="E142" s="1" t="s">
        <v>22</v>
      </c>
      <c r="F142" s="1">
        <v>29</v>
      </c>
      <c r="G142" s="1">
        <v>19</v>
      </c>
      <c r="H142" s="1">
        <v>6</v>
      </c>
      <c r="I142" s="3">
        <f>SUM(F142:H142)</f>
        <v>54</v>
      </c>
    </row>
    <row r="143" spans="1:9" x14ac:dyDescent="0.25">
      <c r="A143" s="2">
        <f>RANK(I143,$I$6:$I$475,0)</f>
        <v>123</v>
      </c>
      <c r="B143" s="1" t="s">
        <v>480</v>
      </c>
      <c r="C143" s="18">
        <v>46033</v>
      </c>
      <c r="D143" s="1" t="s">
        <v>378</v>
      </c>
      <c r="E143" s="1" t="s">
        <v>17</v>
      </c>
      <c r="F143" s="1">
        <v>26</v>
      </c>
      <c r="G143" s="1">
        <v>23</v>
      </c>
      <c r="H143" s="1">
        <v>5</v>
      </c>
      <c r="I143" s="3">
        <f>SUM(F143:H143)</f>
        <v>54</v>
      </c>
    </row>
    <row r="144" spans="1:9" x14ac:dyDescent="0.25">
      <c r="A144" s="2">
        <f>RANK(I144,$I$6:$I$475,0)</f>
        <v>123</v>
      </c>
      <c r="B144" s="1" t="s">
        <v>502</v>
      </c>
      <c r="C144" s="18">
        <v>46117</v>
      </c>
      <c r="D144" s="1" t="s">
        <v>378</v>
      </c>
      <c r="E144" s="1" t="s">
        <v>17</v>
      </c>
      <c r="F144" s="1">
        <v>29</v>
      </c>
      <c r="G144" s="1">
        <v>19</v>
      </c>
      <c r="H144" s="1">
        <v>6</v>
      </c>
      <c r="I144" s="3">
        <f>SUM(F144:H144)</f>
        <v>54</v>
      </c>
    </row>
    <row r="145" spans="1:9" x14ac:dyDescent="0.25">
      <c r="A145" s="2">
        <f>RANK(I145,$I$6:$I$475,0)</f>
        <v>123</v>
      </c>
      <c r="B145" s="1" t="s">
        <v>518</v>
      </c>
      <c r="C145" s="18">
        <v>46201</v>
      </c>
      <c r="D145" s="1" t="s">
        <v>378</v>
      </c>
      <c r="E145" s="1" t="s">
        <v>22</v>
      </c>
      <c r="F145" s="1">
        <v>28</v>
      </c>
      <c r="G145" s="1">
        <v>21</v>
      </c>
      <c r="H145" s="1">
        <v>5</v>
      </c>
      <c r="I145" s="3">
        <f>SUM(F145:H145)</f>
        <v>54</v>
      </c>
    </row>
    <row r="146" spans="1:9" x14ac:dyDescent="0.25">
      <c r="A146" s="2">
        <f>RANK(I146,$I$6:$I$475,0)</f>
        <v>123</v>
      </c>
      <c r="B146" s="1" t="s">
        <v>519</v>
      </c>
      <c r="C146" s="18">
        <v>46215</v>
      </c>
      <c r="D146" s="1" t="s">
        <v>378</v>
      </c>
      <c r="E146" s="1" t="s">
        <v>22</v>
      </c>
      <c r="F146" s="1">
        <v>29</v>
      </c>
      <c r="G146" s="1">
        <v>19</v>
      </c>
      <c r="H146" s="1">
        <v>6</v>
      </c>
      <c r="I146" s="3">
        <f>SUM(F146:H146)</f>
        <v>54</v>
      </c>
    </row>
    <row r="147" spans="1:9" x14ac:dyDescent="0.25">
      <c r="A147" s="2">
        <f>RANK(I147,$I$6:$I$475,0)</f>
        <v>123</v>
      </c>
      <c r="B147" s="1" t="s">
        <v>522</v>
      </c>
      <c r="C147" s="18">
        <v>46229</v>
      </c>
      <c r="D147" s="1" t="s">
        <v>236</v>
      </c>
      <c r="E147" s="1" t="s">
        <v>17</v>
      </c>
      <c r="F147" s="1">
        <v>29</v>
      </c>
      <c r="G147" s="1">
        <v>21</v>
      </c>
      <c r="H147" s="1">
        <v>4</v>
      </c>
      <c r="I147" s="3">
        <f>SUM(F147:H147)</f>
        <v>54</v>
      </c>
    </row>
    <row r="148" spans="1:9" x14ac:dyDescent="0.25">
      <c r="A148" s="2">
        <f>RANK(I148,$I$6:$I$475,0)</f>
        <v>123</v>
      </c>
      <c r="B148" s="29" t="s">
        <v>524</v>
      </c>
      <c r="C148" s="18">
        <v>46235</v>
      </c>
      <c r="D148" s="1" t="s">
        <v>73</v>
      </c>
      <c r="E148" s="1" t="s">
        <v>40</v>
      </c>
      <c r="F148" s="1">
        <v>30</v>
      </c>
      <c r="G148" s="1">
        <v>17</v>
      </c>
      <c r="H148" s="1">
        <v>7</v>
      </c>
      <c r="I148" s="3">
        <f>SUM(F148:H148)</f>
        <v>54</v>
      </c>
    </row>
    <row r="149" spans="1:9" x14ac:dyDescent="0.25">
      <c r="A149" s="2">
        <f>RANK(I149,$I$6:$I$475,0)</f>
        <v>123</v>
      </c>
      <c r="B149" s="1" t="s">
        <v>531</v>
      </c>
      <c r="C149" s="18">
        <v>46285</v>
      </c>
      <c r="D149" s="1" t="s">
        <v>71</v>
      </c>
      <c r="E149" s="1" t="s">
        <v>22</v>
      </c>
      <c r="F149" s="1">
        <v>29</v>
      </c>
      <c r="G149" s="1">
        <v>20</v>
      </c>
      <c r="H149" s="1">
        <v>5</v>
      </c>
      <c r="I149" s="3">
        <f>SUM(F149:H149)</f>
        <v>54</v>
      </c>
    </row>
    <row r="150" spans="1:9" x14ac:dyDescent="0.25">
      <c r="A150" s="2">
        <f>RANK(I150,$I$6:$I$475,0)</f>
        <v>145</v>
      </c>
      <c r="B150" s="29" t="s">
        <v>255</v>
      </c>
      <c r="C150" s="18">
        <v>44899</v>
      </c>
      <c r="D150" s="1" t="s">
        <v>67</v>
      </c>
      <c r="E150" s="1" t="s">
        <v>22</v>
      </c>
      <c r="F150" s="1">
        <v>27</v>
      </c>
      <c r="G150" s="1">
        <v>20</v>
      </c>
      <c r="H150" s="1">
        <v>6</v>
      </c>
      <c r="I150" s="3">
        <f>SUM(F150:H150)</f>
        <v>53</v>
      </c>
    </row>
    <row r="151" spans="1:9" x14ac:dyDescent="0.25">
      <c r="A151" s="2">
        <f>RANK(I151,$I$6:$I$475,0)</f>
        <v>145</v>
      </c>
      <c r="B151" s="29" t="s">
        <v>132</v>
      </c>
      <c r="C151" s="18">
        <v>44359</v>
      </c>
      <c r="D151" s="1" t="s">
        <v>131</v>
      </c>
      <c r="E151" s="1" t="s">
        <v>22</v>
      </c>
      <c r="F151" s="1">
        <v>28</v>
      </c>
      <c r="G151" s="1">
        <v>19</v>
      </c>
      <c r="H151" s="1">
        <v>6</v>
      </c>
      <c r="I151" s="3">
        <f>SUM(F151:H151)</f>
        <v>53</v>
      </c>
    </row>
    <row r="152" spans="1:9" x14ac:dyDescent="0.25">
      <c r="A152" s="2">
        <f>RANK(I152,$I$6:$I$475,0)</f>
        <v>145</v>
      </c>
      <c r="B152" s="29" t="s">
        <v>260</v>
      </c>
      <c r="C152" s="18">
        <v>44927</v>
      </c>
      <c r="D152" s="1" t="s">
        <v>68</v>
      </c>
      <c r="E152" s="1" t="s">
        <v>22</v>
      </c>
      <c r="F152" s="1">
        <v>28</v>
      </c>
      <c r="G152" s="1">
        <v>18</v>
      </c>
      <c r="H152" s="1">
        <v>7</v>
      </c>
      <c r="I152" s="3">
        <f>SUM(F152:H152)</f>
        <v>53</v>
      </c>
    </row>
    <row r="153" spans="1:9" x14ac:dyDescent="0.25">
      <c r="A153" s="2">
        <f>RANK(I153,$I$6:$I$475,0)</f>
        <v>145</v>
      </c>
      <c r="B153" s="1" t="s">
        <v>41</v>
      </c>
      <c r="C153" s="18">
        <v>44409</v>
      </c>
      <c r="D153" s="1" t="s">
        <v>68</v>
      </c>
      <c r="E153" s="1" t="s">
        <v>40</v>
      </c>
      <c r="F153" s="1">
        <v>28</v>
      </c>
      <c r="G153" s="1">
        <v>16</v>
      </c>
      <c r="H153" s="1">
        <v>9</v>
      </c>
      <c r="I153" s="3">
        <f>SUM(F153:H153)</f>
        <v>53</v>
      </c>
    </row>
    <row r="154" spans="1:9" x14ac:dyDescent="0.25">
      <c r="A154" s="2">
        <f>RANK(I154,$I$6:$I$475,0)</f>
        <v>145</v>
      </c>
      <c r="B154" s="29" t="s">
        <v>358</v>
      </c>
      <c r="C154" s="18">
        <v>45508</v>
      </c>
      <c r="D154" s="1" t="s">
        <v>74</v>
      </c>
      <c r="E154" s="1" t="s">
        <v>20</v>
      </c>
      <c r="F154" s="1">
        <v>29</v>
      </c>
      <c r="G154" s="1">
        <v>16</v>
      </c>
      <c r="H154" s="1">
        <v>8</v>
      </c>
      <c r="I154" s="3">
        <f>SUM(F154:H154)</f>
        <v>53</v>
      </c>
    </row>
    <row r="155" spans="1:9" x14ac:dyDescent="0.25">
      <c r="A155" s="2">
        <f>RANK(I155,$I$6:$I$475,0)</f>
        <v>145</v>
      </c>
      <c r="B155" s="1" t="s">
        <v>109</v>
      </c>
      <c r="C155" s="18">
        <v>44276</v>
      </c>
      <c r="D155" s="1" t="s">
        <v>74</v>
      </c>
      <c r="E155" s="1" t="s">
        <v>22</v>
      </c>
      <c r="F155" s="1">
        <v>29</v>
      </c>
      <c r="G155" s="1">
        <v>19</v>
      </c>
      <c r="H155" s="1">
        <v>5</v>
      </c>
      <c r="I155" s="3">
        <f>SUM(F155:H155)</f>
        <v>53</v>
      </c>
    </row>
    <row r="156" spans="1:9" x14ac:dyDescent="0.25">
      <c r="A156" s="2">
        <f>RANK(I156,$I$6:$I$475,0)</f>
        <v>145</v>
      </c>
      <c r="B156" s="29" t="s">
        <v>159</v>
      </c>
      <c r="C156" s="18">
        <v>44458</v>
      </c>
      <c r="D156" s="1" t="s">
        <v>154</v>
      </c>
      <c r="E156" s="1" t="s">
        <v>17</v>
      </c>
      <c r="F156" s="1">
        <v>30</v>
      </c>
      <c r="G156" s="1">
        <v>16</v>
      </c>
      <c r="H156" s="1">
        <v>7</v>
      </c>
      <c r="I156" s="3">
        <f>SUM(F156:H156)</f>
        <v>53</v>
      </c>
    </row>
    <row r="157" spans="1:9" x14ac:dyDescent="0.25">
      <c r="A157" s="2">
        <f>RANK(I157,$I$6:$I$475,0)</f>
        <v>145</v>
      </c>
      <c r="B157" s="29" t="s">
        <v>217</v>
      </c>
      <c r="C157" s="18">
        <v>44724</v>
      </c>
      <c r="D157" s="1" t="s">
        <v>131</v>
      </c>
      <c r="E157" s="1" t="s">
        <v>17</v>
      </c>
      <c r="F157" s="1">
        <v>29</v>
      </c>
      <c r="G157" s="1">
        <v>18</v>
      </c>
      <c r="H157" s="1">
        <v>6</v>
      </c>
      <c r="I157" s="3">
        <f>SUM(F157:H157)</f>
        <v>53</v>
      </c>
    </row>
    <row r="158" spans="1:9" x14ac:dyDescent="0.25">
      <c r="A158" s="2">
        <f>RANK(I158,$I$6:$I$475,0)</f>
        <v>145</v>
      </c>
      <c r="B158" s="1" t="s">
        <v>218</v>
      </c>
      <c r="C158" s="18">
        <v>44731</v>
      </c>
      <c r="D158" s="1" t="s">
        <v>72</v>
      </c>
      <c r="E158" s="1" t="s">
        <v>17</v>
      </c>
      <c r="F158" s="1">
        <v>29</v>
      </c>
      <c r="G158" s="1">
        <v>18</v>
      </c>
      <c r="H158" s="1">
        <v>6</v>
      </c>
      <c r="I158" s="3">
        <f>SUM(F158:H158)</f>
        <v>53</v>
      </c>
    </row>
    <row r="159" spans="1:9" x14ac:dyDescent="0.25">
      <c r="A159" s="2">
        <f>RANK(I159,$I$6:$I$475,0)</f>
        <v>145</v>
      </c>
      <c r="B159" s="29" t="s">
        <v>196</v>
      </c>
      <c r="C159" s="18">
        <v>44612</v>
      </c>
      <c r="D159" s="1" t="s">
        <v>69</v>
      </c>
      <c r="E159" s="1" t="s">
        <v>22</v>
      </c>
      <c r="F159" s="1">
        <v>30</v>
      </c>
      <c r="G159" s="1">
        <v>16</v>
      </c>
      <c r="H159" s="1">
        <v>7</v>
      </c>
      <c r="I159" s="3">
        <f>SUM(F159:H159)</f>
        <v>53</v>
      </c>
    </row>
    <row r="160" spans="1:9" x14ac:dyDescent="0.25">
      <c r="A160" s="2">
        <f>RANK(I160,$I$6:$I$475,0)</f>
        <v>145</v>
      </c>
      <c r="B160" s="1" t="s">
        <v>363</v>
      </c>
      <c r="C160" s="18">
        <v>45515</v>
      </c>
      <c r="D160" s="1" t="s">
        <v>68</v>
      </c>
      <c r="E160" s="1" t="s">
        <v>22</v>
      </c>
      <c r="F160" s="1">
        <v>29</v>
      </c>
      <c r="G160" s="1">
        <v>16</v>
      </c>
      <c r="H160" s="1">
        <v>8</v>
      </c>
      <c r="I160" s="3">
        <f>SUM(F160:H160)</f>
        <v>53</v>
      </c>
    </row>
    <row r="161" spans="1:9" x14ac:dyDescent="0.25">
      <c r="A161" s="2">
        <f>RANK(I161,$I$6:$I$475,0)</f>
        <v>145</v>
      </c>
      <c r="B161" s="1" t="s">
        <v>319</v>
      </c>
      <c r="C161" s="18">
        <v>45277</v>
      </c>
      <c r="D161" s="1" t="s">
        <v>266</v>
      </c>
      <c r="E161" s="1" t="s">
        <v>22</v>
      </c>
      <c r="F161" s="1">
        <v>28</v>
      </c>
      <c r="G161" s="1">
        <v>19</v>
      </c>
      <c r="H161" s="1">
        <v>6</v>
      </c>
      <c r="I161" s="3">
        <f>SUM(F161:H161)</f>
        <v>53</v>
      </c>
    </row>
    <row r="162" spans="1:9" x14ac:dyDescent="0.25">
      <c r="A162" s="2">
        <f>RANK(I162,$I$6:$I$475,0)</f>
        <v>145</v>
      </c>
      <c r="B162" s="1" t="s">
        <v>281</v>
      </c>
      <c r="C162" s="18">
        <v>45067</v>
      </c>
      <c r="D162" s="1" t="s">
        <v>69</v>
      </c>
      <c r="E162" s="1" t="s">
        <v>17</v>
      </c>
      <c r="F162" s="1">
        <v>25</v>
      </c>
      <c r="G162" s="1">
        <v>23</v>
      </c>
      <c r="H162" s="1">
        <v>5</v>
      </c>
      <c r="I162" s="3">
        <f>SUM(F162:H162)</f>
        <v>53</v>
      </c>
    </row>
    <row r="163" spans="1:9" x14ac:dyDescent="0.25">
      <c r="A163" s="2">
        <f>RANK(I163,$I$6:$I$475,0)</f>
        <v>145</v>
      </c>
      <c r="B163" s="29" t="s">
        <v>164</v>
      </c>
      <c r="C163" s="18">
        <v>44472</v>
      </c>
      <c r="D163" s="1" t="s">
        <v>71</v>
      </c>
      <c r="E163" s="1" t="s">
        <v>22</v>
      </c>
      <c r="F163" s="1">
        <v>29</v>
      </c>
      <c r="G163" s="1">
        <v>19</v>
      </c>
      <c r="H163" s="1">
        <v>5</v>
      </c>
      <c r="I163" s="3">
        <f>SUM(F163:H163)</f>
        <v>53</v>
      </c>
    </row>
    <row r="164" spans="1:9" x14ac:dyDescent="0.25">
      <c r="A164" s="2">
        <f>RANK(I164,$I$6:$I$475,0)</f>
        <v>145</v>
      </c>
      <c r="B164" s="1" t="s">
        <v>151</v>
      </c>
      <c r="C164" s="18">
        <v>44417</v>
      </c>
      <c r="D164" s="1" t="s">
        <v>72</v>
      </c>
      <c r="E164" s="1" t="s">
        <v>17</v>
      </c>
      <c r="F164" s="1">
        <v>28</v>
      </c>
      <c r="G164" s="1">
        <v>18</v>
      </c>
      <c r="H164" s="1">
        <v>7</v>
      </c>
      <c r="I164" s="3">
        <f>SUM(F164:H164)</f>
        <v>53</v>
      </c>
    </row>
    <row r="165" spans="1:9" x14ac:dyDescent="0.25">
      <c r="A165" s="2">
        <f>RANK(I165,$I$6:$I$475,0)</f>
        <v>145</v>
      </c>
      <c r="B165" s="1" t="s">
        <v>310</v>
      </c>
      <c r="C165" s="18">
        <v>45235</v>
      </c>
      <c r="D165" s="1" t="s">
        <v>184</v>
      </c>
      <c r="E165" s="1" t="s">
        <v>17</v>
      </c>
      <c r="F165" s="1">
        <v>27</v>
      </c>
      <c r="G165" s="1">
        <v>20</v>
      </c>
      <c r="H165" s="1">
        <v>6</v>
      </c>
      <c r="I165" s="3">
        <f>SUM(F165:H165)</f>
        <v>53</v>
      </c>
    </row>
    <row r="166" spans="1:9" x14ac:dyDescent="0.25">
      <c r="A166" s="2">
        <f>RANK(I166,$I$6:$I$475,0)</f>
        <v>145</v>
      </c>
      <c r="B166" s="1" t="s">
        <v>301</v>
      </c>
      <c r="C166" s="18">
        <v>45193</v>
      </c>
      <c r="D166" s="1" t="s">
        <v>266</v>
      </c>
      <c r="E166" s="1" t="s">
        <v>17</v>
      </c>
      <c r="F166" s="1">
        <v>28</v>
      </c>
      <c r="G166" s="1">
        <v>18</v>
      </c>
      <c r="H166" s="1">
        <v>7</v>
      </c>
      <c r="I166" s="3">
        <f>SUM(F166:H166)</f>
        <v>53</v>
      </c>
    </row>
    <row r="167" spans="1:9" x14ac:dyDescent="0.25">
      <c r="A167" s="2">
        <f>RANK(I167,$I$6:$I$475,0)</f>
        <v>145</v>
      </c>
      <c r="B167" s="1" t="s">
        <v>179</v>
      </c>
      <c r="C167" s="18">
        <v>44521</v>
      </c>
      <c r="D167" s="1" t="s">
        <v>74</v>
      </c>
      <c r="E167" s="1" t="s">
        <v>17</v>
      </c>
      <c r="F167" s="1">
        <v>27</v>
      </c>
      <c r="G167" s="1">
        <v>20</v>
      </c>
      <c r="H167" s="1">
        <v>6</v>
      </c>
      <c r="I167" s="3">
        <f>SUM(F167:H167)</f>
        <v>53</v>
      </c>
    </row>
    <row r="168" spans="1:9" x14ac:dyDescent="0.25">
      <c r="A168" s="2">
        <f>RANK(I168,$I$6:$I$475,0)</f>
        <v>145</v>
      </c>
      <c r="B168" s="1" t="s">
        <v>111</v>
      </c>
      <c r="C168" s="18">
        <v>44276</v>
      </c>
      <c r="D168" s="1" t="s">
        <v>74</v>
      </c>
      <c r="E168" s="1" t="s">
        <v>17</v>
      </c>
      <c r="F168" s="1">
        <v>28</v>
      </c>
      <c r="G168" s="1">
        <v>20</v>
      </c>
      <c r="H168" s="1">
        <v>5</v>
      </c>
      <c r="I168" s="3">
        <f>SUM(F168:H168)</f>
        <v>53</v>
      </c>
    </row>
    <row r="169" spans="1:9" x14ac:dyDescent="0.25">
      <c r="A169" s="2">
        <f>RANK(I169,$I$6:$I$475,0)</f>
        <v>145</v>
      </c>
      <c r="B169" s="1" t="s">
        <v>156</v>
      </c>
      <c r="C169" s="18">
        <v>44451</v>
      </c>
      <c r="D169" s="1" t="s">
        <v>72</v>
      </c>
      <c r="E169" s="1" t="s">
        <v>17</v>
      </c>
      <c r="F169" s="1">
        <v>30</v>
      </c>
      <c r="G169" s="1">
        <v>15</v>
      </c>
      <c r="H169" s="1">
        <v>8</v>
      </c>
      <c r="I169" s="3">
        <f>SUM(F169:H169)</f>
        <v>53</v>
      </c>
    </row>
    <row r="170" spans="1:9" x14ac:dyDescent="0.25">
      <c r="A170" s="2">
        <f>RANK(I170,$I$6:$I$475,0)</f>
        <v>145</v>
      </c>
      <c r="B170" s="29" t="s">
        <v>327</v>
      </c>
      <c r="C170" s="18">
        <v>45312</v>
      </c>
      <c r="D170" s="1" t="s">
        <v>149</v>
      </c>
      <c r="E170" s="1" t="s">
        <v>22</v>
      </c>
      <c r="F170" s="1">
        <v>28</v>
      </c>
      <c r="G170" s="1">
        <v>18</v>
      </c>
      <c r="H170" s="1">
        <v>7</v>
      </c>
      <c r="I170" s="3">
        <f>SUM(F170:H170)</f>
        <v>53</v>
      </c>
    </row>
    <row r="171" spans="1:9" x14ac:dyDescent="0.25">
      <c r="A171" s="2">
        <f>RANK(I171,$I$6:$I$475,0)</f>
        <v>145</v>
      </c>
      <c r="B171" s="1" t="s">
        <v>221</v>
      </c>
      <c r="C171" s="18">
        <v>44745</v>
      </c>
      <c r="D171" s="1" t="s">
        <v>71</v>
      </c>
      <c r="E171" s="1" t="s">
        <v>17</v>
      </c>
      <c r="F171" s="1">
        <v>28</v>
      </c>
      <c r="G171" s="1">
        <v>20</v>
      </c>
      <c r="H171" s="1">
        <v>5</v>
      </c>
      <c r="I171" s="3">
        <f>SUM(F171:H171)</f>
        <v>53</v>
      </c>
    </row>
    <row r="172" spans="1:9" x14ac:dyDescent="0.25">
      <c r="A172" s="2">
        <f>RANK(I172,$I$6:$I$475,0)</f>
        <v>145</v>
      </c>
      <c r="B172" s="1" t="s">
        <v>116</v>
      </c>
      <c r="C172" s="18">
        <v>44703</v>
      </c>
      <c r="D172" s="1" t="s">
        <v>72</v>
      </c>
      <c r="E172" s="1" t="s">
        <v>22</v>
      </c>
      <c r="F172" s="1">
        <v>28</v>
      </c>
      <c r="G172" s="1">
        <v>18</v>
      </c>
      <c r="H172" s="1">
        <v>7</v>
      </c>
      <c r="I172" s="3">
        <f>SUM(F172:H172)</f>
        <v>53</v>
      </c>
    </row>
    <row r="173" spans="1:9" x14ac:dyDescent="0.25">
      <c r="A173" s="2">
        <f>RANK(I173,$I$6:$I$475,0)</f>
        <v>145</v>
      </c>
      <c r="B173" s="1" t="s">
        <v>320</v>
      </c>
      <c r="C173" s="18">
        <v>45277</v>
      </c>
      <c r="D173" s="1" t="s">
        <v>266</v>
      </c>
      <c r="E173" s="1" t="s">
        <v>22</v>
      </c>
      <c r="F173" s="1">
        <v>28</v>
      </c>
      <c r="G173" s="1">
        <v>19</v>
      </c>
      <c r="H173" s="1">
        <v>6</v>
      </c>
      <c r="I173" s="3">
        <f>SUM(F173:H173)</f>
        <v>53</v>
      </c>
    </row>
    <row r="174" spans="1:9" x14ac:dyDescent="0.25">
      <c r="A174" s="2">
        <f>RANK(I174,$I$6:$I$475,0)</f>
        <v>145</v>
      </c>
      <c r="B174" s="1" t="s">
        <v>370</v>
      </c>
      <c r="C174" s="18">
        <v>45543</v>
      </c>
      <c r="D174" s="1" t="s">
        <v>66</v>
      </c>
      <c r="E174" s="1" t="s">
        <v>20</v>
      </c>
      <c r="F174" s="1">
        <v>26</v>
      </c>
      <c r="G174" s="1">
        <v>21</v>
      </c>
      <c r="H174" s="1">
        <v>6</v>
      </c>
      <c r="I174" s="3">
        <f>SUM(F174:H174)</f>
        <v>53</v>
      </c>
    </row>
    <row r="175" spans="1:9" x14ac:dyDescent="0.25">
      <c r="A175" s="2">
        <f>RANK(I175,$I$6:$I$475,0)</f>
        <v>145</v>
      </c>
      <c r="B175" s="29" t="s">
        <v>376</v>
      </c>
      <c r="C175" s="18">
        <v>45564</v>
      </c>
      <c r="D175" s="1" t="s">
        <v>71</v>
      </c>
      <c r="E175" s="1" t="s">
        <v>22</v>
      </c>
      <c r="F175" s="1">
        <v>29</v>
      </c>
      <c r="G175" s="1">
        <v>17</v>
      </c>
      <c r="H175" s="1">
        <v>7</v>
      </c>
      <c r="I175" s="3">
        <f>SUM(F175:H175)</f>
        <v>53</v>
      </c>
    </row>
    <row r="176" spans="1:9" x14ac:dyDescent="0.25">
      <c r="A176" s="2">
        <f>RANK(I176,$I$6:$I$475,0)</f>
        <v>145</v>
      </c>
      <c r="B176" s="1" t="s">
        <v>381</v>
      </c>
      <c r="C176" s="18">
        <v>45578</v>
      </c>
      <c r="D176" s="1" t="s">
        <v>154</v>
      </c>
      <c r="E176" s="1" t="s">
        <v>33</v>
      </c>
      <c r="F176" s="1">
        <v>29</v>
      </c>
      <c r="G176" s="1">
        <v>18</v>
      </c>
      <c r="H176" s="1">
        <v>6</v>
      </c>
      <c r="I176" s="3">
        <f>SUM(F176:H176)</f>
        <v>53</v>
      </c>
    </row>
    <row r="177" spans="1:9" x14ac:dyDescent="0.25">
      <c r="A177" s="2">
        <f>RANK(I177,$I$6:$I$475,0)</f>
        <v>145</v>
      </c>
      <c r="B177" s="1" t="s">
        <v>386</v>
      </c>
      <c r="C177" s="18">
        <v>45613</v>
      </c>
      <c r="D177" s="1" t="s">
        <v>307</v>
      </c>
      <c r="E177" s="1" t="s">
        <v>33</v>
      </c>
      <c r="F177" s="1">
        <v>28</v>
      </c>
      <c r="G177" s="1">
        <v>18</v>
      </c>
      <c r="H177" s="1">
        <v>7</v>
      </c>
      <c r="I177" s="3">
        <f>SUM(F177:H177)</f>
        <v>53</v>
      </c>
    </row>
    <row r="178" spans="1:9" x14ac:dyDescent="0.25">
      <c r="A178" s="2">
        <f>RANK(I178,$I$6:$I$475,0)</f>
        <v>145</v>
      </c>
      <c r="B178" s="1" t="s">
        <v>394</v>
      </c>
      <c r="C178" s="18">
        <v>45641</v>
      </c>
      <c r="D178" s="1" t="s">
        <v>266</v>
      </c>
      <c r="E178" s="1" t="s">
        <v>22</v>
      </c>
      <c r="F178" s="1">
        <v>28</v>
      </c>
      <c r="G178" s="1">
        <v>18</v>
      </c>
      <c r="H178" s="1">
        <v>7</v>
      </c>
      <c r="I178" s="3">
        <f>SUM(F178:H178)</f>
        <v>53</v>
      </c>
    </row>
    <row r="179" spans="1:9" x14ac:dyDescent="0.25">
      <c r="A179" s="2">
        <f>RANK(I179,$I$6:$I$475,0)</f>
        <v>145</v>
      </c>
      <c r="B179" s="1" t="s">
        <v>400</v>
      </c>
      <c r="C179" s="18">
        <v>45662</v>
      </c>
      <c r="D179" s="1" t="s">
        <v>68</v>
      </c>
      <c r="E179" s="1" t="s">
        <v>40</v>
      </c>
      <c r="F179" s="1">
        <v>29</v>
      </c>
      <c r="G179" s="1">
        <v>17</v>
      </c>
      <c r="H179" s="1">
        <v>7</v>
      </c>
      <c r="I179" s="3">
        <f>SUM(F179:H179)</f>
        <v>53</v>
      </c>
    </row>
    <row r="180" spans="1:9" x14ac:dyDescent="0.25">
      <c r="A180" s="2">
        <f>RANK(I180,$I$6:$I$475,0)</f>
        <v>145</v>
      </c>
      <c r="B180" s="1" t="s">
        <v>417</v>
      </c>
      <c r="C180" s="18">
        <v>45732</v>
      </c>
      <c r="D180" s="1" t="s">
        <v>308</v>
      </c>
      <c r="E180" s="1" t="s">
        <v>17</v>
      </c>
      <c r="F180" s="1">
        <v>26</v>
      </c>
      <c r="G180" s="1">
        <v>21</v>
      </c>
      <c r="H180" s="1">
        <v>6</v>
      </c>
      <c r="I180" s="3">
        <f>SUM(F180:H180)</f>
        <v>53</v>
      </c>
    </row>
    <row r="181" spans="1:9" x14ac:dyDescent="0.25">
      <c r="A181" s="2">
        <f>RANK(I181,$I$6:$I$475,0)</f>
        <v>145</v>
      </c>
      <c r="B181" s="1" t="s">
        <v>429</v>
      </c>
      <c r="C181" s="18">
        <v>45781</v>
      </c>
      <c r="D181" s="1" t="s">
        <v>368</v>
      </c>
      <c r="E181" s="1" t="s">
        <v>22</v>
      </c>
      <c r="F181" s="1">
        <v>29</v>
      </c>
      <c r="G181" s="1">
        <v>17</v>
      </c>
      <c r="H181" s="1">
        <v>7</v>
      </c>
      <c r="I181" s="3">
        <f>SUM(F181:H181)</f>
        <v>53</v>
      </c>
    </row>
    <row r="182" spans="1:9" x14ac:dyDescent="0.25">
      <c r="A182" s="2">
        <f>RANK(I182,$I$6:$I$475,0)</f>
        <v>145</v>
      </c>
      <c r="B182" s="29" t="s">
        <v>463</v>
      </c>
      <c r="C182" s="18">
        <v>45941</v>
      </c>
      <c r="D182" s="1" t="s">
        <v>71</v>
      </c>
      <c r="E182" s="1" t="s">
        <v>17</v>
      </c>
      <c r="F182" s="1">
        <v>27</v>
      </c>
      <c r="G182" s="1">
        <v>21</v>
      </c>
      <c r="H182" s="1">
        <v>5</v>
      </c>
      <c r="I182" s="3">
        <f>SUM(F182:H182)</f>
        <v>53</v>
      </c>
    </row>
    <row r="183" spans="1:9" x14ac:dyDescent="0.25">
      <c r="A183" s="2">
        <f>RANK(I183,$I$6:$I$475,0)</f>
        <v>145</v>
      </c>
      <c r="B183" s="1" t="s">
        <v>472</v>
      </c>
      <c r="C183" s="18">
        <v>45991</v>
      </c>
      <c r="D183" s="1" t="s">
        <v>66</v>
      </c>
      <c r="E183" s="1" t="s">
        <v>17</v>
      </c>
      <c r="F183" s="1">
        <v>28</v>
      </c>
      <c r="G183" s="1">
        <v>20</v>
      </c>
      <c r="H183" s="1">
        <v>5</v>
      </c>
      <c r="I183" s="3">
        <f>SUM(F183:H183)</f>
        <v>53</v>
      </c>
    </row>
    <row r="184" spans="1:9" x14ac:dyDescent="0.25">
      <c r="A184" s="2">
        <f>RANK(I184,$I$6:$I$475,0)</f>
        <v>145</v>
      </c>
      <c r="B184" s="1" t="s">
        <v>491</v>
      </c>
      <c r="C184" s="18">
        <v>46061</v>
      </c>
      <c r="D184" s="1" t="s">
        <v>71</v>
      </c>
      <c r="E184" s="1" t="s">
        <v>17</v>
      </c>
      <c r="F184" s="1">
        <v>27</v>
      </c>
      <c r="G184" s="1">
        <v>21</v>
      </c>
      <c r="H184" s="1">
        <v>5</v>
      </c>
      <c r="I184" s="3">
        <f>SUM(F184:H184)</f>
        <v>53</v>
      </c>
    </row>
    <row r="185" spans="1:9" x14ac:dyDescent="0.25">
      <c r="A185" s="2">
        <f>RANK(I185,$I$6:$I$475,0)</f>
        <v>145</v>
      </c>
      <c r="B185" s="29" t="s">
        <v>511</v>
      </c>
      <c r="C185" s="18">
        <v>46145</v>
      </c>
      <c r="D185" s="1" t="s">
        <v>378</v>
      </c>
      <c r="E185" s="1" t="s">
        <v>17</v>
      </c>
      <c r="F185" s="1">
        <v>26</v>
      </c>
      <c r="G185" s="1">
        <v>23</v>
      </c>
      <c r="H185" s="1">
        <v>4</v>
      </c>
      <c r="I185" s="3">
        <f>SUM(F185:H185)</f>
        <v>53</v>
      </c>
    </row>
    <row r="186" spans="1:9" x14ac:dyDescent="0.25">
      <c r="A186" s="2">
        <f>RANK(I186,$I$6:$I$475,0)</f>
        <v>145</v>
      </c>
      <c r="B186" s="1" t="s">
        <v>529</v>
      </c>
      <c r="C186" s="18">
        <v>46271</v>
      </c>
      <c r="D186" s="1" t="s">
        <v>74</v>
      </c>
      <c r="E186" s="1" t="s">
        <v>22</v>
      </c>
      <c r="F186" s="1">
        <v>28</v>
      </c>
      <c r="G186" s="1">
        <v>19</v>
      </c>
      <c r="H186" s="1">
        <v>6</v>
      </c>
      <c r="I186" s="3">
        <f>SUM(F186:H186)</f>
        <v>53</v>
      </c>
    </row>
    <row r="187" spans="1:9" x14ac:dyDescent="0.25">
      <c r="A187" s="2">
        <f>RANK(I187,$I$6:$I$475,0)</f>
        <v>182</v>
      </c>
      <c r="B187" s="1" t="s">
        <v>173</v>
      </c>
      <c r="C187" s="18">
        <v>44507</v>
      </c>
      <c r="D187" s="1" t="s">
        <v>71</v>
      </c>
      <c r="E187" s="1" t="s">
        <v>22</v>
      </c>
      <c r="F187" s="1">
        <v>28</v>
      </c>
      <c r="G187" s="1">
        <v>17</v>
      </c>
      <c r="H187" s="1">
        <v>7</v>
      </c>
      <c r="I187" s="3">
        <f>SUM(F187:H187)</f>
        <v>52</v>
      </c>
    </row>
    <row r="188" spans="1:9" x14ac:dyDescent="0.25">
      <c r="A188" s="2">
        <f>RANK(I188,$I$6:$I$475,0)</f>
        <v>182</v>
      </c>
      <c r="B188" s="1" t="s">
        <v>165</v>
      </c>
      <c r="C188" s="18">
        <v>44479</v>
      </c>
      <c r="D188" s="1" t="s">
        <v>154</v>
      </c>
      <c r="E188" s="1" t="s">
        <v>17</v>
      </c>
      <c r="F188" s="1">
        <v>30</v>
      </c>
      <c r="G188" s="1">
        <v>16</v>
      </c>
      <c r="H188" s="1">
        <v>6</v>
      </c>
      <c r="I188" s="3">
        <f>SUM(F188:H188)</f>
        <v>52</v>
      </c>
    </row>
    <row r="189" spans="1:9" x14ac:dyDescent="0.25">
      <c r="A189" s="2">
        <f>RANK(I189,$I$6:$I$475,0)</f>
        <v>182</v>
      </c>
      <c r="B189" s="29" t="s">
        <v>271</v>
      </c>
      <c r="C189" s="18">
        <v>44990</v>
      </c>
      <c r="D189" s="1" t="s">
        <v>69</v>
      </c>
      <c r="E189" s="1" t="s">
        <v>22</v>
      </c>
      <c r="F189" s="1">
        <v>29</v>
      </c>
      <c r="G189" s="1">
        <v>17</v>
      </c>
      <c r="H189" s="1">
        <v>6</v>
      </c>
      <c r="I189" s="3">
        <f>SUM(F189:H189)</f>
        <v>52</v>
      </c>
    </row>
    <row r="190" spans="1:9" x14ac:dyDescent="0.25">
      <c r="A190" s="2">
        <f>RANK(I190,$I$6:$I$475,0)</f>
        <v>182</v>
      </c>
      <c r="B190" s="1" t="s">
        <v>294</v>
      </c>
      <c r="C190" s="18">
        <v>45130</v>
      </c>
      <c r="D190" s="1" t="s">
        <v>236</v>
      </c>
      <c r="E190" s="1" t="s">
        <v>17</v>
      </c>
      <c r="F190" s="1">
        <v>29</v>
      </c>
      <c r="G190" s="1">
        <v>18</v>
      </c>
      <c r="H190" s="1">
        <v>5</v>
      </c>
      <c r="I190" s="3">
        <f>SUM(F190:H190)</f>
        <v>52</v>
      </c>
    </row>
    <row r="191" spans="1:9" x14ac:dyDescent="0.25">
      <c r="A191" s="2">
        <f>RANK(I191,$I$6:$I$475,0)</f>
        <v>182</v>
      </c>
      <c r="B191" s="1" t="s">
        <v>163</v>
      </c>
      <c r="C191" s="18">
        <v>44465</v>
      </c>
      <c r="D191" s="1" t="s">
        <v>154</v>
      </c>
      <c r="E191" s="1" t="s">
        <v>22</v>
      </c>
      <c r="F191" s="1">
        <v>29</v>
      </c>
      <c r="G191" s="1">
        <v>16</v>
      </c>
      <c r="H191" s="1">
        <v>7</v>
      </c>
      <c r="I191" s="3">
        <f>SUM(F191:H191)</f>
        <v>52</v>
      </c>
    </row>
    <row r="192" spans="1:9" x14ac:dyDescent="0.25">
      <c r="A192" s="2">
        <f>RANK(I192,$I$6:$I$475,0)</f>
        <v>182</v>
      </c>
      <c r="B192" s="1" t="s">
        <v>285</v>
      </c>
      <c r="C192" s="18">
        <v>45081</v>
      </c>
      <c r="D192" s="1" t="s">
        <v>74</v>
      </c>
      <c r="E192" s="1" t="s">
        <v>22</v>
      </c>
      <c r="F192" s="1">
        <v>27</v>
      </c>
      <c r="G192" s="1">
        <v>19</v>
      </c>
      <c r="H192" s="1">
        <v>6</v>
      </c>
      <c r="I192" s="3">
        <f>SUM(F192:H192)</f>
        <v>52</v>
      </c>
    </row>
    <row r="193" spans="1:9" x14ac:dyDescent="0.25">
      <c r="A193" s="2">
        <f>RANK(I193,$I$6:$I$475,0)</f>
        <v>182</v>
      </c>
      <c r="B193" s="1" t="s">
        <v>153</v>
      </c>
      <c r="C193" s="18">
        <v>44437</v>
      </c>
      <c r="D193" s="1" t="s">
        <v>74</v>
      </c>
      <c r="E193" s="1" t="s">
        <v>17</v>
      </c>
      <c r="F193" s="1">
        <v>30</v>
      </c>
      <c r="G193" s="1">
        <v>16</v>
      </c>
      <c r="H193" s="1">
        <v>6</v>
      </c>
      <c r="I193" s="3">
        <f>SUM(F193:H193)</f>
        <v>52</v>
      </c>
    </row>
    <row r="194" spans="1:9" x14ac:dyDescent="0.25">
      <c r="A194" s="2">
        <f>RANK(I194,$I$6:$I$475,0)</f>
        <v>182</v>
      </c>
      <c r="B194" s="29" t="s">
        <v>155</v>
      </c>
      <c r="C194" s="18">
        <v>44444</v>
      </c>
      <c r="D194" s="1" t="s">
        <v>73</v>
      </c>
      <c r="E194" s="1" t="s">
        <v>22</v>
      </c>
      <c r="F194" s="1">
        <v>29</v>
      </c>
      <c r="G194" s="1">
        <v>18</v>
      </c>
      <c r="H194" s="1">
        <v>5</v>
      </c>
      <c r="I194" s="3">
        <f>SUM(F194:H194)</f>
        <v>52</v>
      </c>
    </row>
    <row r="195" spans="1:9" x14ac:dyDescent="0.25">
      <c r="A195" s="2">
        <f>RANK(I195,$I$6:$I$475,0)</f>
        <v>182</v>
      </c>
      <c r="B195" s="29" t="s">
        <v>113</v>
      </c>
      <c r="C195" s="18">
        <v>44290</v>
      </c>
      <c r="D195" s="1" t="s">
        <v>71</v>
      </c>
      <c r="E195" s="1" t="s">
        <v>22</v>
      </c>
      <c r="F195" s="1">
        <v>28</v>
      </c>
      <c r="G195" s="1">
        <v>19</v>
      </c>
      <c r="H195" s="1">
        <v>5</v>
      </c>
      <c r="I195" s="3">
        <f>SUM(F195:H195)</f>
        <v>52</v>
      </c>
    </row>
    <row r="196" spans="1:9" x14ac:dyDescent="0.25">
      <c r="A196" s="2">
        <f>RANK(I196,$I$6:$I$475,0)</f>
        <v>182</v>
      </c>
      <c r="B196" s="29" t="s">
        <v>292</v>
      </c>
      <c r="C196" s="18">
        <v>45109</v>
      </c>
      <c r="D196" s="1" t="s">
        <v>154</v>
      </c>
      <c r="E196" s="1" t="s">
        <v>22</v>
      </c>
      <c r="F196" s="1">
        <v>28</v>
      </c>
      <c r="G196" s="1">
        <v>18</v>
      </c>
      <c r="H196" s="1">
        <v>6</v>
      </c>
      <c r="I196" s="3">
        <f>SUM(F196:H196)</f>
        <v>52</v>
      </c>
    </row>
    <row r="197" spans="1:9" x14ac:dyDescent="0.25">
      <c r="A197" s="2">
        <f>RANK(I197,$I$6:$I$475,0)</f>
        <v>182</v>
      </c>
      <c r="B197" s="1" t="s">
        <v>273</v>
      </c>
      <c r="C197" s="18">
        <v>45025</v>
      </c>
      <c r="D197" s="1" t="s">
        <v>68</v>
      </c>
      <c r="E197" s="1" t="s">
        <v>40</v>
      </c>
      <c r="F197" s="1">
        <v>28</v>
      </c>
      <c r="G197" s="1">
        <v>16</v>
      </c>
      <c r="H197" s="1">
        <v>8</v>
      </c>
      <c r="I197" s="3">
        <f>SUM(F197:H197)</f>
        <v>52</v>
      </c>
    </row>
    <row r="198" spans="1:9" x14ac:dyDescent="0.25">
      <c r="A198" s="2">
        <f>RANK(I198,$I$6:$I$475,0)</f>
        <v>182</v>
      </c>
      <c r="B198" s="1" t="s">
        <v>146</v>
      </c>
      <c r="C198" s="18">
        <v>44423</v>
      </c>
      <c r="D198" s="1" t="s">
        <v>71</v>
      </c>
      <c r="E198" s="1" t="s">
        <v>17</v>
      </c>
      <c r="F198" s="1">
        <v>29</v>
      </c>
      <c r="G198" s="1">
        <v>17</v>
      </c>
      <c r="H198" s="1">
        <v>6</v>
      </c>
      <c r="I198" s="3">
        <f>SUM(F198:H198)</f>
        <v>52</v>
      </c>
    </row>
    <row r="199" spans="1:9" x14ac:dyDescent="0.25">
      <c r="A199" s="2">
        <f>RANK(I199,$I$6:$I$475,0)</f>
        <v>182</v>
      </c>
      <c r="B199" s="1" t="s">
        <v>177</v>
      </c>
      <c r="C199" s="18">
        <v>44521</v>
      </c>
      <c r="D199" s="1" t="s">
        <v>74</v>
      </c>
      <c r="E199" s="1" t="s">
        <v>22</v>
      </c>
      <c r="F199" s="1">
        <v>27</v>
      </c>
      <c r="G199" s="1">
        <v>19</v>
      </c>
      <c r="H199" s="1">
        <v>6</v>
      </c>
      <c r="I199" s="3">
        <f>SUM(F199:H199)</f>
        <v>52</v>
      </c>
    </row>
    <row r="200" spans="1:9" x14ac:dyDescent="0.25">
      <c r="A200" s="2">
        <f>RANK(I200,$I$6:$I$475,0)</f>
        <v>182</v>
      </c>
      <c r="B200" s="29" t="s">
        <v>284</v>
      </c>
      <c r="C200" s="18">
        <v>45074</v>
      </c>
      <c r="D200" s="1" t="s">
        <v>154</v>
      </c>
      <c r="E200" s="1" t="s">
        <v>22</v>
      </c>
      <c r="F200" s="1">
        <v>28</v>
      </c>
      <c r="G200" s="1">
        <v>17</v>
      </c>
      <c r="H200" s="1">
        <v>7</v>
      </c>
      <c r="I200" s="3">
        <f>SUM(F200:H200)</f>
        <v>52</v>
      </c>
    </row>
    <row r="201" spans="1:9" x14ac:dyDescent="0.25">
      <c r="A201" s="2">
        <f>RANK(I201,$I$6:$I$475,0)</f>
        <v>182</v>
      </c>
      <c r="B201" s="1" t="s">
        <v>290</v>
      </c>
      <c r="C201" s="18">
        <v>45102</v>
      </c>
      <c r="D201" s="1" t="s">
        <v>68</v>
      </c>
      <c r="E201" s="1" t="s">
        <v>33</v>
      </c>
      <c r="F201" s="1">
        <v>29</v>
      </c>
      <c r="G201" s="1">
        <v>17</v>
      </c>
      <c r="H201" s="1">
        <v>6</v>
      </c>
      <c r="I201" s="3">
        <f>SUM(F201:H201)</f>
        <v>52</v>
      </c>
    </row>
    <row r="202" spans="1:9" x14ac:dyDescent="0.25">
      <c r="A202" s="2">
        <f>RANK(I202,$I$6:$I$475,0)</f>
        <v>182</v>
      </c>
      <c r="B202" s="1" t="s">
        <v>328</v>
      </c>
      <c r="C202" s="18">
        <v>45319</v>
      </c>
      <c r="D202" s="1" t="s">
        <v>66</v>
      </c>
      <c r="E202" s="1" t="s">
        <v>22</v>
      </c>
      <c r="F202" s="1">
        <v>29</v>
      </c>
      <c r="G202" s="1">
        <v>18</v>
      </c>
      <c r="H202" s="1">
        <v>5</v>
      </c>
      <c r="I202" s="3">
        <f>SUM(F202:H202)</f>
        <v>52</v>
      </c>
    </row>
    <row r="203" spans="1:9" x14ac:dyDescent="0.25">
      <c r="A203" s="2">
        <f>RANK(I203,$I$6:$I$475,0)</f>
        <v>182</v>
      </c>
      <c r="B203" s="1" t="s">
        <v>410</v>
      </c>
      <c r="C203" s="18">
        <v>45690</v>
      </c>
      <c r="D203" s="1" t="s">
        <v>309</v>
      </c>
      <c r="E203" s="1" t="s">
        <v>22</v>
      </c>
      <c r="F203" s="1">
        <v>28</v>
      </c>
      <c r="G203" s="1">
        <v>18</v>
      </c>
      <c r="H203" s="1">
        <v>6</v>
      </c>
      <c r="I203" s="3">
        <f>SUM(F203:H203)</f>
        <v>52</v>
      </c>
    </row>
    <row r="204" spans="1:9" x14ac:dyDescent="0.25">
      <c r="A204" s="2">
        <f>RANK(I204,$I$6:$I$475,0)</f>
        <v>182</v>
      </c>
      <c r="B204" s="29" t="s">
        <v>419</v>
      </c>
      <c r="C204" s="18">
        <v>45739</v>
      </c>
      <c r="D204" s="1" t="s">
        <v>68</v>
      </c>
      <c r="E204" s="1" t="s">
        <v>22</v>
      </c>
      <c r="F204" s="1">
        <v>28</v>
      </c>
      <c r="G204" s="1">
        <v>17</v>
      </c>
      <c r="H204" s="1">
        <v>7</v>
      </c>
      <c r="I204" s="3">
        <f>SUM(F204:H204)</f>
        <v>52</v>
      </c>
    </row>
    <row r="205" spans="1:9" x14ac:dyDescent="0.25">
      <c r="A205" s="2">
        <f>RANK(I205,$I$6:$I$475,0)</f>
        <v>182</v>
      </c>
      <c r="B205" s="1" t="s">
        <v>424</v>
      </c>
      <c r="C205" s="18">
        <v>45753</v>
      </c>
      <c r="D205" s="1" t="s">
        <v>71</v>
      </c>
      <c r="E205" s="1" t="s">
        <v>17</v>
      </c>
      <c r="F205" s="1">
        <v>28</v>
      </c>
      <c r="G205" s="1">
        <v>18</v>
      </c>
      <c r="H205" s="1">
        <v>6</v>
      </c>
      <c r="I205" s="3">
        <f>SUM(F205:H205)</f>
        <v>52</v>
      </c>
    </row>
    <row r="206" spans="1:9" x14ac:dyDescent="0.25">
      <c r="A206" s="2">
        <f>RANK(I206,$I$6:$I$475,0)</f>
        <v>182</v>
      </c>
      <c r="B206" s="29" t="s">
        <v>425</v>
      </c>
      <c r="C206" s="18">
        <v>45764</v>
      </c>
      <c r="D206" s="1" t="s">
        <v>67</v>
      </c>
      <c r="E206" s="1" t="s">
        <v>33</v>
      </c>
      <c r="F206" s="1">
        <v>28</v>
      </c>
      <c r="G206" s="1">
        <v>18</v>
      </c>
      <c r="H206" s="1">
        <v>6</v>
      </c>
      <c r="I206" s="3">
        <f>SUM(F206:H206)</f>
        <v>52</v>
      </c>
    </row>
    <row r="207" spans="1:9" x14ac:dyDescent="0.25">
      <c r="A207" s="2">
        <f>RANK(I207,$I$6:$I$475,0)</f>
        <v>182</v>
      </c>
      <c r="B207" s="1" t="s">
        <v>462</v>
      </c>
      <c r="C207" s="18">
        <v>45935</v>
      </c>
      <c r="D207" s="1" t="s">
        <v>67</v>
      </c>
      <c r="E207" s="1" t="s">
        <v>17</v>
      </c>
      <c r="F207" s="1">
        <v>29</v>
      </c>
      <c r="G207" s="1">
        <v>18</v>
      </c>
      <c r="H207" s="1">
        <v>5</v>
      </c>
      <c r="I207" s="3">
        <f>SUM(F207:H207)</f>
        <v>52</v>
      </c>
    </row>
    <row r="208" spans="1:9" x14ac:dyDescent="0.25">
      <c r="A208" s="2">
        <f>RANK(I208,$I$6:$I$475,0)</f>
        <v>182</v>
      </c>
      <c r="B208" s="1" t="s">
        <v>465</v>
      </c>
      <c r="C208" s="18">
        <v>45963</v>
      </c>
      <c r="D208" s="1" t="s">
        <v>74</v>
      </c>
      <c r="E208" s="1" t="s">
        <v>22</v>
      </c>
      <c r="F208" s="1">
        <v>28</v>
      </c>
      <c r="G208" s="1">
        <v>18</v>
      </c>
      <c r="H208" s="1">
        <v>6</v>
      </c>
      <c r="I208" s="3">
        <f>SUM(F208:H208)</f>
        <v>52</v>
      </c>
    </row>
    <row r="209" spans="1:9" x14ac:dyDescent="0.25">
      <c r="A209" s="2">
        <f>RANK(I209,$I$6:$I$475,0)</f>
        <v>182</v>
      </c>
      <c r="B209" s="1" t="s">
        <v>505</v>
      </c>
      <c r="C209" s="18">
        <v>46124</v>
      </c>
      <c r="D209" s="1" t="s">
        <v>378</v>
      </c>
      <c r="E209" s="1" t="s">
        <v>22</v>
      </c>
      <c r="F209" s="1">
        <v>26</v>
      </c>
      <c r="G209" s="1">
        <v>23</v>
      </c>
      <c r="H209" s="1">
        <v>3</v>
      </c>
      <c r="I209" s="3">
        <f>SUM(F209:H209)</f>
        <v>52</v>
      </c>
    </row>
    <row r="210" spans="1:9" x14ac:dyDescent="0.25">
      <c r="A210" s="2">
        <f>RANK(I210,$I$6:$I$475,0)</f>
        <v>182</v>
      </c>
      <c r="B210" s="1" t="s">
        <v>509</v>
      </c>
      <c r="C210" s="18">
        <v>46138</v>
      </c>
      <c r="D210" s="1" t="s">
        <v>483</v>
      </c>
      <c r="E210" s="1" t="s">
        <v>22</v>
      </c>
      <c r="F210" s="1">
        <v>28</v>
      </c>
      <c r="G210" s="1">
        <v>18</v>
      </c>
      <c r="H210" s="1">
        <v>6</v>
      </c>
      <c r="I210" s="3">
        <f>SUM(F210:H210)</f>
        <v>52</v>
      </c>
    </row>
    <row r="211" spans="1:9" x14ac:dyDescent="0.25">
      <c r="A211" s="2">
        <f>RANK(I211,$I$6:$I$475,0)</f>
        <v>182</v>
      </c>
      <c r="B211" s="1" t="s">
        <v>525</v>
      </c>
      <c r="C211" s="18">
        <v>46243</v>
      </c>
      <c r="D211" s="1" t="s">
        <v>66</v>
      </c>
      <c r="E211" s="1" t="s">
        <v>22</v>
      </c>
      <c r="F211" s="1">
        <v>28</v>
      </c>
      <c r="G211" s="1">
        <v>20</v>
      </c>
      <c r="H211" s="1">
        <v>4</v>
      </c>
      <c r="I211" s="3">
        <f>SUM(F211:H211)</f>
        <v>52</v>
      </c>
    </row>
    <row r="212" spans="1:9" x14ac:dyDescent="0.25">
      <c r="A212" s="2">
        <f>RANK(I212,$I$6:$I$475,0)</f>
        <v>182</v>
      </c>
      <c r="B212" s="29" t="s">
        <v>526</v>
      </c>
      <c r="C212" s="18">
        <v>46250</v>
      </c>
      <c r="D212" s="1" t="s">
        <v>154</v>
      </c>
      <c r="E212" s="1" t="s">
        <v>22</v>
      </c>
      <c r="F212" s="1">
        <v>28</v>
      </c>
      <c r="G212" s="1">
        <v>18</v>
      </c>
      <c r="H212" s="1">
        <v>6</v>
      </c>
      <c r="I212" s="3">
        <f>SUM(F212:H212)</f>
        <v>52</v>
      </c>
    </row>
    <row r="213" spans="1:9" x14ac:dyDescent="0.25">
      <c r="A213" s="2">
        <f>RANK(I213,$I$6:$I$475,0)</f>
        <v>182</v>
      </c>
      <c r="B213" s="29" t="s">
        <v>527</v>
      </c>
      <c r="C213" s="18">
        <v>46264</v>
      </c>
      <c r="D213" s="1" t="s">
        <v>68</v>
      </c>
      <c r="E213" s="1" t="s">
        <v>17</v>
      </c>
      <c r="F213" s="1">
        <v>29</v>
      </c>
      <c r="G213" s="1">
        <v>19</v>
      </c>
      <c r="H213" s="1">
        <v>4</v>
      </c>
      <c r="I213" s="3">
        <f>SUM(F213:H213)</f>
        <v>52</v>
      </c>
    </row>
    <row r="214" spans="1:9" x14ac:dyDescent="0.25">
      <c r="A214" s="2">
        <f>RANK(I214,$I$6:$I$475,0)</f>
        <v>209</v>
      </c>
      <c r="B214" s="29" t="s">
        <v>233</v>
      </c>
      <c r="C214" s="18">
        <v>44811</v>
      </c>
      <c r="D214" s="1" t="s">
        <v>72</v>
      </c>
      <c r="E214" s="1" t="s">
        <v>40</v>
      </c>
      <c r="F214" s="1">
        <v>28</v>
      </c>
      <c r="G214" s="1">
        <v>16</v>
      </c>
      <c r="H214" s="1">
        <v>7</v>
      </c>
      <c r="I214" s="3">
        <f>SUM(F214:H214)</f>
        <v>51</v>
      </c>
    </row>
    <row r="215" spans="1:9" x14ac:dyDescent="0.25">
      <c r="A215" s="2">
        <f>RANK(I215,$I$6:$I$475,0)</f>
        <v>209</v>
      </c>
      <c r="B215" s="29" t="s">
        <v>121</v>
      </c>
      <c r="C215" s="18">
        <v>44318</v>
      </c>
      <c r="D215" s="1" t="s">
        <v>72</v>
      </c>
      <c r="E215" s="1" t="s">
        <v>17</v>
      </c>
      <c r="F215" s="1">
        <v>30</v>
      </c>
      <c r="G215" s="1">
        <v>14</v>
      </c>
      <c r="H215" s="1">
        <v>7</v>
      </c>
      <c r="I215" s="3">
        <f>SUM(F215:H215)</f>
        <v>51</v>
      </c>
    </row>
    <row r="216" spans="1:9" x14ac:dyDescent="0.25">
      <c r="A216" s="2">
        <f>RANK(I216,$I$6:$I$475,0)</f>
        <v>209</v>
      </c>
      <c r="B216" s="29" t="s">
        <v>259</v>
      </c>
      <c r="C216" s="18">
        <v>44927</v>
      </c>
      <c r="D216" s="1" t="s">
        <v>68</v>
      </c>
      <c r="E216" s="1" t="s">
        <v>22</v>
      </c>
      <c r="F216" s="1">
        <v>27</v>
      </c>
      <c r="G216" s="1">
        <v>18</v>
      </c>
      <c r="H216" s="1">
        <v>6</v>
      </c>
      <c r="I216" s="3">
        <f>SUM(F216:H216)</f>
        <v>51</v>
      </c>
    </row>
    <row r="217" spans="1:9" x14ac:dyDescent="0.25">
      <c r="A217" s="2">
        <f>RANK(I217,$I$6:$I$475,0)</f>
        <v>209</v>
      </c>
      <c r="B217" s="1" t="s">
        <v>119</v>
      </c>
      <c r="C217" s="18">
        <v>44311</v>
      </c>
      <c r="D217" s="1" t="s">
        <v>72</v>
      </c>
      <c r="E217" s="1" t="s">
        <v>22</v>
      </c>
      <c r="F217" s="1">
        <v>27</v>
      </c>
      <c r="G217" s="1">
        <v>17</v>
      </c>
      <c r="H217" s="1">
        <v>7</v>
      </c>
      <c r="I217" s="3">
        <f>SUM(F217:H217)</f>
        <v>51</v>
      </c>
    </row>
    <row r="218" spans="1:9" x14ac:dyDescent="0.25">
      <c r="A218" s="2">
        <f>RANK(I218,$I$6:$I$475,0)</f>
        <v>209</v>
      </c>
      <c r="B218" s="1" t="s">
        <v>231</v>
      </c>
      <c r="C218" s="18">
        <v>44787</v>
      </c>
      <c r="D218" s="1" t="s">
        <v>69</v>
      </c>
      <c r="E218" s="1" t="s">
        <v>17</v>
      </c>
      <c r="F218" s="1">
        <v>26</v>
      </c>
      <c r="G218" s="1">
        <v>20</v>
      </c>
      <c r="H218" s="1">
        <v>5</v>
      </c>
      <c r="I218" s="3">
        <f>SUM(F218:H218)</f>
        <v>51</v>
      </c>
    </row>
    <row r="219" spans="1:9" x14ac:dyDescent="0.25">
      <c r="A219" s="2">
        <f>RANK(I219,$I$6:$I$475,0)</f>
        <v>209</v>
      </c>
      <c r="B219" s="1" t="s">
        <v>237</v>
      </c>
      <c r="C219" s="18">
        <v>44815</v>
      </c>
      <c r="D219" s="1" t="s">
        <v>236</v>
      </c>
      <c r="E219" s="1" t="s">
        <v>33</v>
      </c>
      <c r="F219" s="1">
        <v>27</v>
      </c>
      <c r="G219" s="1">
        <v>17</v>
      </c>
      <c r="H219" s="1">
        <v>7</v>
      </c>
      <c r="I219" s="3">
        <f>SUM(F219:H219)</f>
        <v>51</v>
      </c>
    </row>
    <row r="220" spans="1:9" x14ac:dyDescent="0.25">
      <c r="A220" s="2">
        <f>RANK(I220,$I$6:$I$475,0)</f>
        <v>209</v>
      </c>
      <c r="B220" s="1" t="s">
        <v>187</v>
      </c>
      <c r="C220" s="18">
        <v>44577</v>
      </c>
      <c r="D220" s="1" t="s">
        <v>73</v>
      </c>
      <c r="E220" s="1" t="s">
        <v>40</v>
      </c>
      <c r="F220" s="1">
        <v>27</v>
      </c>
      <c r="G220" s="1">
        <v>17</v>
      </c>
      <c r="H220" s="1">
        <v>7</v>
      </c>
      <c r="I220" s="3">
        <f>SUM(F220:H220)</f>
        <v>51</v>
      </c>
    </row>
    <row r="221" spans="1:9" x14ac:dyDescent="0.25">
      <c r="A221" s="2">
        <f>RANK(I221,$I$6:$I$475,0)</f>
        <v>209</v>
      </c>
      <c r="B221" s="29" t="s">
        <v>247</v>
      </c>
      <c r="C221" s="18">
        <v>44850</v>
      </c>
      <c r="D221" s="1" t="s">
        <v>68</v>
      </c>
      <c r="E221" s="1" t="s">
        <v>22</v>
      </c>
      <c r="F221" s="1">
        <v>27</v>
      </c>
      <c r="G221" s="1">
        <v>18</v>
      </c>
      <c r="H221" s="1">
        <v>6</v>
      </c>
      <c r="I221" s="3">
        <f>SUM(F221:H221)</f>
        <v>51</v>
      </c>
    </row>
    <row r="222" spans="1:9" x14ac:dyDescent="0.25">
      <c r="A222" s="2">
        <f>RANK(I222,$I$6:$I$475,0)</f>
        <v>209</v>
      </c>
      <c r="B222" s="29" t="s">
        <v>318</v>
      </c>
      <c r="C222" s="18">
        <v>45270</v>
      </c>
      <c r="D222" s="1" t="s">
        <v>72</v>
      </c>
      <c r="E222" s="1" t="s">
        <v>17</v>
      </c>
      <c r="F222" s="1">
        <v>28</v>
      </c>
      <c r="G222" s="1">
        <v>17</v>
      </c>
      <c r="H222" s="1">
        <v>6</v>
      </c>
      <c r="I222" s="3">
        <f>SUM(F222:H222)</f>
        <v>51</v>
      </c>
    </row>
    <row r="223" spans="1:9" x14ac:dyDescent="0.25">
      <c r="A223" s="2">
        <f>RANK(I223,$I$6:$I$475,0)</f>
        <v>209</v>
      </c>
      <c r="B223" s="29" t="s">
        <v>31</v>
      </c>
      <c r="C223" s="18">
        <v>44409</v>
      </c>
      <c r="D223" s="1" t="s">
        <v>72</v>
      </c>
      <c r="E223" s="1" t="s">
        <v>17</v>
      </c>
      <c r="F223" s="1">
        <v>30</v>
      </c>
      <c r="G223" s="1">
        <v>16</v>
      </c>
      <c r="H223" s="1">
        <v>5</v>
      </c>
      <c r="I223" s="3">
        <f>SUM(F223:H223)</f>
        <v>51</v>
      </c>
    </row>
    <row r="224" spans="1:9" x14ac:dyDescent="0.25">
      <c r="A224" s="2">
        <f>RANK(I224,$I$6:$I$475,0)</f>
        <v>209</v>
      </c>
      <c r="B224" s="1" t="s">
        <v>140</v>
      </c>
      <c r="C224" s="18">
        <v>44409</v>
      </c>
      <c r="D224" s="1" t="s">
        <v>69</v>
      </c>
      <c r="E224" s="1" t="s">
        <v>17</v>
      </c>
      <c r="F224" s="1">
        <v>29</v>
      </c>
      <c r="G224" s="1">
        <v>15</v>
      </c>
      <c r="H224" s="1">
        <v>7</v>
      </c>
      <c r="I224" s="3">
        <f>SUM(F224:H224)</f>
        <v>51</v>
      </c>
    </row>
    <row r="225" spans="1:9" x14ac:dyDescent="0.25">
      <c r="A225" s="2">
        <f>RANK(I225,$I$6:$I$475,0)</f>
        <v>209</v>
      </c>
      <c r="B225" s="29" t="s">
        <v>276</v>
      </c>
      <c r="C225" s="18">
        <v>45032</v>
      </c>
      <c r="D225" s="1" t="s">
        <v>71</v>
      </c>
      <c r="E225" s="1" t="s">
        <v>17</v>
      </c>
      <c r="F225" s="1">
        <v>28</v>
      </c>
      <c r="G225" s="1">
        <v>18</v>
      </c>
      <c r="H225" s="1">
        <v>5</v>
      </c>
      <c r="I225" s="3">
        <f>SUM(F225:H225)</f>
        <v>51</v>
      </c>
    </row>
    <row r="226" spans="1:9" x14ac:dyDescent="0.25">
      <c r="A226" s="2">
        <f>RANK(I226,$I$6:$I$475,0)</f>
        <v>209</v>
      </c>
      <c r="B226" s="1" t="s">
        <v>193</v>
      </c>
      <c r="C226" s="18">
        <v>44605</v>
      </c>
      <c r="D226" s="1" t="s">
        <v>68</v>
      </c>
      <c r="E226" s="1" t="s">
        <v>22</v>
      </c>
      <c r="F226" s="1">
        <v>30</v>
      </c>
      <c r="G226" s="1">
        <v>17</v>
      </c>
      <c r="H226" s="1">
        <v>4</v>
      </c>
      <c r="I226" s="3">
        <f>SUM(F226:H226)</f>
        <v>51</v>
      </c>
    </row>
    <row r="227" spans="1:9" x14ac:dyDescent="0.25">
      <c r="A227" s="2">
        <f>RANK(I227,$I$6:$I$475,0)</f>
        <v>209</v>
      </c>
      <c r="B227" s="1" t="s">
        <v>36</v>
      </c>
      <c r="C227" s="18">
        <v>44409</v>
      </c>
      <c r="D227" s="1" t="s">
        <v>70</v>
      </c>
      <c r="E227" s="1" t="s">
        <v>22</v>
      </c>
      <c r="F227" s="1">
        <v>28</v>
      </c>
      <c r="G227" s="1">
        <v>16</v>
      </c>
      <c r="H227" s="1">
        <v>7</v>
      </c>
      <c r="I227" s="3">
        <f>SUM(F227:H227)</f>
        <v>51</v>
      </c>
    </row>
    <row r="228" spans="1:9" x14ac:dyDescent="0.25">
      <c r="A228" s="2">
        <f>RANK(I228,$I$6:$I$475,0)</f>
        <v>209</v>
      </c>
      <c r="B228" s="1" t="s">
        <v>37</v>
      </c>
      <c r="C228" s="18">
        <v>44409</v>
      </c>
      <c r="D228" s="1" t="s">
        <v>70</v>
      </c>
      <c r="E228" s="1" t="s">
        <v>17</v>
      </c>
      <c r="F228" s="1">
        <v>29</v>
      </c>
      <c r="G228" s="1">
        <v>16</v>
      </c>
      <c r="H228" s="1">
        <v>6</v>
      </c>
      <c r="I228" s="3">
        <f>SUM(F228:H228)</f>
        <v>51</v>
      </c>
    </row>
    <row r="229" spans="1:9" x14ac:dyDescent="0.25">
      <c r="A229" s="2">
        <f>RANK(I229,$I$6:$I$475,0)</f>
        <v>209</v>
      </c>
      <c r="B229" s="1" t="s">
        <v>152</v>
      </c>
      <c r="C229" s="18">
        <v>44437</v>
      </c>
      <c r="D229" s="1" t="s">
        <v>72</v>
      </c>
      <c r="E229" s="1" t="s">
        <v>22</v>
      </c>
      <c r="F229" s="1">
        <v>27</v>
      </c>
      <c r="G229" s="1">
        <v>18</v>
      </c>
      <c r="H229" s="1">
        <v>6</v>
      </c>
      <c r="I229" s="3">
        <f>SUM(F229:H229)</f>
        <v>51</v>
      </c>
    </row>
    <row r="230" spans="1:9" x14ac:dyDescent="0.25">
      <c r="A230" s="2">
        <f>RANK(I230,$I$6:$I$475,0)</f>
        <v>209</v>
      </c>
      <c r="B230" s="29" t="s">
        <v>128</v>
      </c>
      <c r="C230" s="18">
        <v>44346</v>
      </c>
      <c r="D230" s="1" t="s">
        <v>72</v>
      </c>
      <c r="E230" s="1" t="s">
        <v>22</v>
      </c>
      <c r="F230" s="1">
        <v>28</v>
      </c>
      <c r="G230" s="1">
        <v>17</v>
      </c>
      <c r="H230" s="1">
        <v>6</v>
      </c>
      <c r="I230" s="3">
        <f>SUM(F230:H230)</f>
        <v>51</v>
      </c>
    </row>
    <row r="231" spans="1:9" x14ac:dyDescent="0.25">
      <c r="A231" s="2">
        <f>RANK(I231,$I$6:$I$475,0)</f>
        <v>209</v>
      </c>
      <c r="B231" s="1" t="s">
        <v>256</v>
      </c>
      <c r="C231" s="18">
        <v>44906</v>
      </c>
      <c r="D231" s="1" t="s">
        <v>71</v>
      </c>
      <c r="E231" s="1" t="s">
        <v>17</v>
      </c>
      <c r="F231" s="1">
        <v>27</v>
      </c>
      <c r="G231" s="1">
        <v>19</v>
      </c>
      <c r="H231" s="1">
        <v>5</v>
      </c>
      <c r="I231" s="3">
        <f>SUM(F231:H231)</f>
        <v>51</v>
      </c>
    </row>
    <row r="232" spans="1:9" x14ac:dyDescent="0.25">
      <c r="A232" s="2">
        <f>RANK(I232,$I$6:$I$475,0)</f>
        <v>209</v>
      </c>
      <c r="B232" s="1" t="s">
        <v>250</v>
      </c>
      <c r="C232" s="18">
        <v>44871</v>
      </c>
      <c r="D232" s="1" t="s">
        <v>236</v>
      </c>
      <c r="E232" s="1" t="s">
        <v>17</v>
      </c>
      <c r="F232" s="1">
        <v>27</v>
      </c>
      <c r="G232" s="1">
        <v>18</v>
      </c>
      <c r="H232" s="1">
        <v>6</v>
      </c>
      <c r="I232" s="3">
        <f>SUM(F232:H232)</f>
        <v>51</v>
      </c>
    </row>
    <row r="233" spans="1:9" x14ac:dyDescent="0.25">
      <c r="A233" s="2">
        <f>RANK(I233,$I$6:$I$475,0)</f>
        <v>209</v>
      </c>
      <c r="B233" s="1" t="s">
        <v>269</v>
      </c>
      <c r="C233" s="18">
        <v>44962</v>
      </c>
      <c r="D233" s="1" t="s">
        <v>154</v>
      </c>
      <c r="E233" s="1" t="s">
        <v>22</v>
      </c>
      <c r="F233" s="1">
        <v>28</v>
      </c>
      <c r="G233" s="1">
        <v>17</v>
      </c>
      <c r="H233" s="1">
        <v>6</v>
      </c>
      <c r="I233" s="3">
        <f>SUM(F233:H233)</f>
        <v>51</v>
      </c>
    </row>
    <row r="234" spans="1:9" x14ac:dyDescent="0.25">
      <c r="A234" s="2">
        <f>RANK(I234,$I$6:$I$475,0)</f>
        <v>209</v>
      </c>
      <c r="B234" s="29" t="s">
        <v>316</v>
      </c>
      <c r="C234" s="18">
        <v>45256</v>
      </c>
      <c r="D234" s="1" t="s">
        <v>307</v>
      </c>
      <c r="E234" s="1" t="s">
        <v>20</v>
      </c>
      <c r="F234" s="1">
        <v>26</v>
      </c>
      <c r="G234" s="1">
        <v>18</v>
      </c>
      <c r="H234" s="1">
        <v>7</v>
      </c>
      <c r="I234" s="3">
        <f>SUM(F234:H234)</f>
        <v>51</v>
      </c>
    </row>
    <row r="235" spans="1:9" x14ac:dyDescent="0.25">
      <c r="A235" s="2">
        <f>RANK(I235,$I$6:$I$475,0)</f>
        <v>209</v>
      </c>
      <c r="B235" s="1" t="s">
        <v>103</v>
      </c>
      <c r="C235" s="18">
        <v>45011</v>
      </c>
      <c r="D235" s="1" t="s">
        <v>66</v>
      </c>
      <c r="E235" s="1" t="s">
        <v>40</v>
      </c>
      <c r="F235" s="1">
        <v>24</v>
      </c>
      <c r="G235" s="1">
        <v>22</v>
      </c>
      <c r="H235" s="1">
        <v>5</v>
      </c>
      <c r="I235" s="3">
        <f>SUM(F235:H235)</f>
        <v>51</v>
      </c>
    </row>
    <row r="236" spans="1:9" x14ac:dyDescent="0.25">
      <c r="A236" s="2">
        <f>RANK(I236,$I$6:$I$475,0)</f>
        <v>209</v>
      </c>
      <c r="B236" s="1" t="s">
        <v>186</v>
      </c>
      <c r="C236" s="18">
        <v>44577</v>
      </c>
      <c r="D236" s="1" t="s">
        <v>70</v>
      </c>
      <c r="E236" s="1" t="s">
        <v>22</v>
      </c>
      <c r="F236" s="1">
        <v>27</v>
      </c>
      <c r="G236" s="1">
        <v>18</v>
      </c>
      <c r="H236" s="1">
        <v>6</v>
      </c>
      <c r="I236" s="3">
        <f>SUM(F236:H236)</f>
        <v>51</v>
      </c>
    </row>
    <row r="237" spans="1:9" x14ac:dyDescent="0.25">
      <c r="A237" s="2">
        <f>RANK(I237,$I$6:$I$475,0)</f>
        <v>209</v>
      </c>
      <c r="B237" s="29" t="s">
        <v>60</v>
      </c>
      <c r="C237" s="18">
        <v>44156</v>
      </c>
      <c r="D237" s="1" t="s">
        <v>71</v>
      </c>
      <c r="E237" s="1" t="s">
        <v>17</v>
      </c>
      <c r="F237" s="1">
        <v>28</v>
      </c>
      <c r="G237" s="1">
        <v>16</v>
      </c>
      <c r="H237" s="1">
        <v>7</v>
      </c>
      <c r="I237" s="3">
        <f>SUM(F237:H237)</f>
        <v>51</v>
      </c>
    </row>
    <row r="238" spans="1:9" x14ac:dyDescent="0.25">
      <c r="A238" s="2">
        <f>RANK(I238,$I$6:$I$475,0)</f>
        <v>209</v>
      </c>
      <c r="B238" s="29" t="s">
        <v>213</v>
      </c>
      <c r="C238" s="18">
        <v>44710</v>
      </c>
      <c r="D238" s="1" t="s">
        <v>68</v>
      </c>
      <c r="E238" s="1" t="s">
        <v>22</v>
      </c>
      <c r="F238" s="1">
        <v>28</v>
      </c>
      <c r="G238" s="1">
        <v>18</v>
      </c>
      <c r="H238" s="1">
        <v>5</v>
      </c>
      <c r="I238" s="3">
        <f>SUM(F238:H238)</f>
        <v>51</v>
      </c>
    </row>
    <row r="239" spans="1:9" x14ac:dyDescent="0.25">
      <c r="A239" s="2">
        <f>RANK(I239,$I$6:$I$475,0)</f>
        <v>209</v>
      </c>
      <c r="B239" s="29" t="s">
        <v>324</v>
      </c>
      <c r="C239" s="18">
        <v>45298</v>
      </c>
      <c r="D239" s="1" t="s">
        <v>67</v>
      </c>
      <c r="E239" s="1" t="s">
        <v>17</v>
      </c>
      <c r="F239" s="1">
        <v>28</v>
      </c>
      <c r="G239" s="1">
        <v>17</v>
      </c>
      <c r="H239" s="1">
        <v>6</v>
      </c>
      <c r="I239" s="3">
        <f>SUM(F239:H239)</f>
        <v>51</v>
      </c>
    </row>
    <row r="240" spans="1:9" x14ac:dyDescent="0.25">
      <c r="A240" s="2">
        <f>RANK(I240,$I$6:$I$475,0)</f>
        <v>209</v>
      </c>
      <c r="B240" s="1" t="s">
        <v>275</v>
      </c>
      <c r="C240" s="18">
        <v>45220</v>
      </c>
      <c r="D240" s="1" t="s">
        <v>309</v>
      </c>
      <c r="E240" s="1" t="s">
        <v>22</v>
      </c>
      <c r="F240" s="1">
        <v>27</v>
      </c>
      <c r="G240" s="1">
        <v>17</v>
      </c>
      <c r="H240" s="1">
        <v>7</v>
      </c>
      <c r="I240" s="3">
        <f>SUM(F240:H240)</f>
        <v>51</v>
      </c>
    </row>
    <row r="241" spans="1:9" x14ac:dyDescent="0.25">
      <c r="A241" s="2">
        <f>RANK(I241,$I$6:$I$475,0)</f>
        <v>209</v>
      </c>
      <c r="B241" s="1" t="s">
        <v>311</v>
      </c>
      <c r="C241" s="18">
        <v>45235</v>
      </c>
      <c r="D241" s="1" t="s">
        <v>307</v>
      </c>
      <c r="E241" s="1" t="s">
        <v>20</v>
      </c>
      <c r="F241" s="1">
        <v>26</v>
      </c>
      <c r="G241" s="1">
        <v>18</v>
      </c>
      <c r="H241" s="1">
        <v>7</v>
      </c>
      <c r="I241" s="3">
        <f>SUM(F241:H241)</f>
        <v>51</v>
      </c>
    </row>
    <row r="242" spans="1:9" x14ac:dyDescent="0.25">
      <c r="A242" s="2">
        <f>RANK(I242,$I$6:$I$475,0)</f>
        <v>209</v>
      </c>
      <c r="B242" s="1" t="s">
        <v>206</v>
      </c>
      <c r="C242" s="18">
        <v>45220</v>
      </c>
      <c r="D242" s="1" t="s">
        <v>308</v>
      </c>
      <c r="E242" s="1" t="s">
        <v>22</v>
      </c>
      <c r="F242" s="1">
        <v>28</v>
      </c>
      <c r="G242" s="1">
        <v>16</v>
      </c>
      <c r="H242" s="1">
        <v>7</v>
      </c>
      <c r="I242" s="3">
        <f>SUM(F242:H242)</f>
        <v>51</v>
      </c>
    </row>
    <row r="243" spans="1:9" x14ac:dyDescent="0.25">
      <c r="A243" s="2">
        <f>RANK(I243,$I$6:$I$475,0)</f>
        <v>209</v>
      </c>
      <c r="B243" s="1" t="s">
        <v>335</v>
      </c>
      <c r="C243" s="18">
        <v>45368</v>
      </c>
      <c r="D243" s="1" t="s">
        <v>68</v>
      </c>
      <c r="E243" s="1" t="s">
        <v>22</v>
      </c>
      <c r="F243" s="1">
        <v>28</v>
      </c>
      <c r="G243" s="1">
        <v>17</v>
      </c>
      <c r="H243" s="1">
        <v>6</v>
      </c>
      <c r="I243" s="3">
        <f>SUM(F243:H243)</f>
        <v>51</v>
      </c>
    </row>
    <row r="244" spans="1:9" x14ac:dyDescent="0.25">
      <c r="A244" s="2">
        <f>RANK(I244,$I$6:$I$475,0)</f>
        <v>209</v>
      </c>
      <c r="B244" s="1" t="s">
        <v>340</v>
      </c>
      <c r="C244" s="18">
        <v>45389</v>
      </c>
      <c r="D244" s="1" t="s">
        <v>69</v>
      </c>
      <c r="E244" s="1" t="s">
        <v>22</v>
      </c>
      <c r="F244" s="1">
        <v>26</v>
      </c>
      <c r="G244" s="1">
        <v>20</v>
      </c>
      <c r="H244" s="1">
        <v>5</v>
      </c>
      <c r="I244" s="3">
        <f>SUM(F244:H244)</f>
        <v>51</v>
      </c>
    </row>
    <row r="245" spans="1:9" x14ac:dyDescent="0.25">
      <c r="A245" s="2">
        <f>RANK(I245,$I$6:$I$475,0)</f>
        <v>209</v>
      </c>
      <c r="B245" s="1" t="s">
        <v>374</v>
      </c>
      <c r="C245" s="18">
        <v>45557</v>
      </c>
      <c r="D245" s="1" t="s">
        <v>266</v>
      </c>
      <c r="E245" s="1" t="s">
        <v>40</v>
      </c>
      <c r="F245" s="1">
        <v>25</v>
      </c>
      <c r="G245" s="1">
        <v>21</v>
      </c>
      <c r="H245" s="1">
        <v>5</v>
      </c>
      <c r="I245" s="3">
        <f>SUM(F245:H245)</f>
        <v>51</v>
      </c>
    </row>
    <row r="246" spans="1:9" x14ac:dyDescent="0.25">
      <c r="A246" s="2">
        <f>RANK(I246,$I$6:$I$475,0)</f>
        <v>209</v>
      </c>
      <c r="B246" s="1" t="s">
        <v>390</v>
      </c>
      <c r="C246" s="18">
        <v>45627</v>
      </c>
      <c r="D246" s="1" t="s">
        <v>66</v>
      </c>
      <c r="E246" s="1" t="s">
        <v>22</v>
      </c>
      <c r="F246" s="1">
        <v>28</v>
      </c>
      <c r="G246" s="1">
        <v>18</v>
      </c>
      <c r="H246" s="1">
        <v>5</v>
      </c>
      <c r="I246" s="3">
        <f>SUM(F246:H246)</f>
        <v>51</v>
      </c>
    </row>
    <row r="247" spans="1:9" x14ac:dyDescent="0.25">
      <c r="A247" s="2">
        <f>RANK(I247,$I$6:$I$475,0)</f>
        <v>209</v>
      </c>
      <c r="B247" s="1" t="s">
        <v>391</v>
      </c>
      <c r="C247" s="18">
        <v>45627</v>
      </c>
      <c r="D247" s="1" t="s">
        <v>74</v>
      </c>
      <c r="E247" s="1" t="s">
        <v>17</v>
      </c>
      <c r="F247" s="1">
        <v>27</v>
      </c>
      <c r="G247" s="1">
        <v>20</v>
      </c>
      <c r="H247" s="1">
        <v>4</v>
      </c>
      <c r="I247" s="3">
        <f>SUM(F247:H247)</f>
        <v>51</v>
      </c>
    </row>
    <row r="248" spans="1:9" x14ac:dyDescent="0.25">
      <c r="A248" s="2">
        <f>RANK(I248,$I$6:$I$475,0)</f>
        <v>209</v>
      </c>
      <c r="B248" s="1" t="s">
        <v>397</v>
      </c>
      <c r="C248" s="18">
        <v>45648</v>
      </c>
      <c r="D248" s="1" t="s">
        <v>149</v>
      </c>
      <c r="E248" s="1" t="s">
        <v>17</v>
      </c>
      <c r="F248" s="1">
        <v>26</v>
      </c>
      <c r="G248" s="1">
        <v>22</v>
      </c>
      <c r="H248" s="1">
        <v>3</v>
      </c>
      <c r="I248" s="3">
        <f>SUM(F248:H248)</f>
        <v>51</v>
      </c>
    </row>
    <row r="249" spans="1:9" x14ac:dyDescent="0.25">
      <c r="A249" s="2">
        <f>RANK(I249,$I$6:$I$475,0)</f>
        <v>209</v>
      </c>
      <c r="B249" s="29" t="s">
        <v>398</v>
      </c>
      <c r="C249" s="18">
        <v>45655</v>
      </c>
      <c r="D249" s="1" t="s">
        <v>149</v>
      </c>
      <c r="E249" s="1" t="s">
        <v>22</v>
      </c>
      <c r="F249" s="1">
        <v>29</v>
      </c>
      <c r="G249" s="1">
        <v>16</v>
      </c>
      <c r="H249" s="1">
        <v>6</v>
      </c>
      <c r="I249" s="3">
        <f>SUM(F249:H249)</f>
        <v>51</v>
      </c>
    </row>
    <row r="250" spans="1:9" x14ac:dyDescent="0.25">
      <c r="A250" s="2">
        <f>RANK(I250,$I$6:$I$475,0)</f>
        <v>209</v>
      </c>
      <c r="B250" s="1" t="s">
        <v>420</v>
      </c>
      <c r="C250" s="18">
        <v>45746</v>
      </c>
      <c r="D250" s="1" t="s">
        <v>74</v>
      </c>
      <c r="E250" s="1" t="s">
        <v>22</v>
      </c>
      <c r="F250" s="1">
        <v>27</v>
      </c>
      <c r="G250" s="1">
        <v>19</v>
      </c>
      <c r="H250" s="1">
        <v>5</v>
      </c>
      <c r="I250" s="3">
        <f>SUM(F250:H250)</f>
        <v>51</v>
      </c>
    </row>
    <row r="251" spans="1:9" x14ac:dyDescent="0.25">
      <c r="A251" s="2">
        <f>RANK(I251,$I$6:$I$475,0)</f>
        <v>209</v>
      </c>
      <c r="B251" s="1" t="s">
        <v>438</v>
      </c>
      <c r="C251" s="18">
        <v>45830</v>
      </c>
      <c r="D251" s="1" t="s">
        <v>69</v>
      </c>
      <c r="E251" s="1" t="s">
        <v>22</v>
      </c>
      <c r="F251" s="1">
        <v>27</v>
      </c>
      <c r="G251" s="1">
        <v>19</v>
      </c>
      <c r="H251" s="1">
        <v>5</v>
      </c>
      <c r="I251" s="3">
        <f>SUM(F251:H251)</f>
        <v>51</v>
      </c>
    </row>
    <row r="252" spans="1:9" x14ac:dyDescent="0.25">
      <c r="A252" s="2">
        <f>RANK(I252,$I$6:$I$475,0)</f>
        <v>209</v>
      </c>
      <c r="B252" s="1" t="s">
        <v>451</v>
      </c>
      <c r="C252" s="18">
        <v>45872</v>
      </c>
      <c r="D252" s="1" t="s">
        <v>73</v>
      </c>
      <c r="E252" s="1" t="s">
        <v>22</v>
      </c>
      <c r="F252" s="1">
        <v>28</v>
      </c>
      <c r="G252" s="1">
        <v>18</v>
      </c>
      <c r="H252" s="1">
        <v>5</v>
      </c>
      <c r="I252" s="3">
        <f>SUM(F252:H252)</f>
        <v>51</v>
      </c>
    </row>
    <row r="253" spans="1:9" x14ac:dyDescent="0.25">
      <c r="A253" s="2">
        <f>RANK(I253,$I$6:$I$475,0)</f>
        <v>209</v>
      </c>
      <c r="B253" s="29" t="s">
        <v>464</v>
      </c>
      <c r="C253" s="18">
        <v>45956</v>
      </c>
      <c r="D253" s="1" t="s">
        <v>266</v>
      </c>
      <c r="E253" s="1" t="s">
        <v>17</v>
      </c>
      <c r="F253" s="1">
        <v>29</v>
      </c>
      <c r="G253" s="1">
        <v>17</v>
      </c>
      <c r="H253" s="1">
        <v>5</v>
      </c>
      <c r="I253" s="3">
        <f>SUM(F253:H253)</f>
        <v>51</v>
      </c>
    </row>
    <row r="254" spans="1:9" x14ac:dyDescent="0.25">
      <c r="A254" s="2">
        <f>RANK(I254,$I$6:$I$475,0)</f>
        <v>209</v>
      </c>
      <c r="B254" s="1" t="s">
        <v>481</v>
      </c>
      <c r="C254" s="18">
        <v>46033</v>
      </c>
      <c r="D254" s="1" t="s">
        <v>378</v>
      </c>
      <c r="E254" s="1" t="s">
        <v>17</v>
      </c>
      <c r="F254" s="1">
        <v>25</v>
      </c>
      <c r="G254" s="1">
        <v>21</v>
      </c>
      <c r="H254" s="1">
        <v>5</v>
      </c>
      <c r="I254" s="3">
        <f>SUM(F254:H254)</f>
        <v>51</v>
      </c>
    </row>
    <row r="255" spans="1:9" x14ac:dyDescent="0.25">
      <c r="A255" s="2">
        <f>RANK(I255,$I$6:$I$475,0)</f>
        <v>209</v>
      </c>
      <c r="B255" s="1" t="s">
        <v>485</v>
      </c>
      <c r="C255" s="18">
        <v>46047</v>
      </c>
      <c r="D255" s="1" t="s">
        <v>68</v>
      </c>
      <c r="E255" s="1" t="s">
        <v>22</v>
      </c>
      <c r="F255" s="1">
        <v>27</v>
      </c>
      <c r="G255" s="1">
        <v>20</v>
      </c>
      <c r="H255" s="1">
        <v>4</v>
      </c>
      <c r="I255" s="3">
        <f>SUM(F255:H255)</f>
        <v>51</v>
      </c>
    </row>
    <row r="256" spans="1:9" x14ac:dyDescent="0.25">
      <c r="A256" s="2">
        <f>RANK(I256,$I$6:$I$475,0)</f>
        <v>209</v>
      </c>
      <c r="B256" s="1" t="s">
        <v>498</v>
      </c>
      <c r="C256" s="18">
        <v>46103</v>
      </c>
      <c r="D256" s="1" t="s">
        <v>74</v>
      </c>
      <c r="E256" s="1" t="s">
        <v>20</v>
      </c>
      <c r="F256" s="1">
        <v>25</v>
      </c>
      <c r="G256" s="1">
        <v>22</v>
      </c>
      <c r="H256" s="1">
        <v>4</v>
      </c>
      <c r="I256" s="3">
        <f>SUM(F256:H256)</f>
        <v>51</v>
      </c>
    </row>
    <row r="257" spans="1:9" x14ac:dyDescent="0.25">
      <c r="A257" s="2">
        <f>RANK(I257,$I$6:$I$475,0)</f>
        <v>209</v>
      </c>
      <c r="B257" s="1" t="s">
        <v>500</v>
      </c>
      <c r="C257" s="18">
        <v>46103</v>
      </c>
      <c r="D257" s="1" t="s">
        <v>74</v>
      </c>
      <c r="E257" s="1" t="s">
        <v>17</v>
      </c>
      <c r="F257" s="1">
        <v>26</v>
      </c>
      <c r="G257" s="1">
        <v>20</v>
      </c>
      <c r="H257" s="1">
        <v>5</v>
      </c>
      <c r="I257" s="3">
        <f>SUM(F257:H257)</f>
        <v>51</v>
      </c>
    </row>
    <row r="258" spans="1:9" x14ac:dyDescent="0.25">
      <c r="A258" s="2">
        <f>RANK(I258,$I$6:$I$475,0)</f>
        <v>209</v>
      </c>
      <c r="B258" s="1" t="s">
        <v>517</v>
      </c>
      <c r="C258" s="18">
        <v>46201</v>
      </c>
      <c r="D258" s="1" t="s">
        <v>266</v>
      </c>
      <c r="E258" s="1" t="s">
        <v>17</v>
      </c>
      <c r="F258" s="1">
        <v>28</v>
      </c>
      <c r="G258" s="1">
        <v>18</v>
      </c>
      <c r="H258" s="1">
        <v>5</v>
      </c>
      <c r="I258" s="3">
        <f>SUM(F258:H258)</f>
        <v>51</v>
      </c>
    </row>
    <row r="259" spans="1:9" x14ac:dyDescent="0.25">
      <c r="A259" s="2">
        <f>RANK(I259,$I$6:$I$475,0)</f>
        <v>209</v>
      </c>
      <c r="B259" s="1" t="s">
        <v>533</v>
      </c>
      <c r="C259" s="18">
        <v>46285</v>
      </c>
      <c r="D259" s="1" t="s">
        <v>483</v>
      </c>
      <c r="E259" s="1" t="s">
        <v>22</v>
      </c>
      <c r="F259" s="1">
        <v>28</v>
      </c>
      <c r="G259" s="1">
        <v>18</v>
      </c>
      <c r="H259" s="1">
        <v>5</v>
      </c>
      <c r="I259" s="3">
        <f>SUM(F259:H259)</f>
        <v>51</v>
      </c>
    </row>
    <row r="260" spans="1:9" x14ac:dyDescent="0.25">
      <c r="A260" s="2">
        <f>RANK(I260,$I$6:$I$475,0)</f>
        <v>255</v>
      </c>
      <c r="B260" s="1" t="s">
        <v>181</v>
      </c>
      <c r="C260" s="18">
        <v>44535</v>
      </c>
      <c r="D260" s="1" t="s">
        <v>71</v>
      </c>
      <c r="E260" s="1" t="s">
        <v>17</v>
      </c>
      <c r="F260" s="1">
        <v>29</v>
      </c>
      <c r="G260" s="1">
        <v>16</v>
      </c>
      <c r="H260" s="1">
        <v>5</v>
      </c>
      <c r="I260" s="3">
        <f>SUM(F260:H260)</f>
        <v>50</v>
      </c>
    </row>
    <row r="261" spans="1:9" x14ac:dyDescent="0.25">
      <c r="A261" s="2">
        <f>RANK(I261,$I$6:$I$475,0)</f>
        <v>255</v>
      </c>
      <c r="B261" s="1" t="s">
        <v>144</v>
      </c>
      <c r="C261" s="18">
        <v>44423</v>
      </c>
      <c r="D261" s="1" t="s">
        <v>69</v>
      </c>
      <c r="E261" s="1" t="s">
        <v>22</v>
      </c>
      <c r="F261" s="1">
        <v>26</v>
      </c>
      <c r="G261" s="1">
        <v>19</v>
      </c>
      <c r="H261" s="1">
        <v>5</v>
      </c>
      <c r="I261" s="3">
        <f>SUM(F261:H261)</f>
        <v>50</v>
      </c>
    </row>
    <row r="262" spans="1:9" x14ac:dyDescent="0.25">
      <c r="A262" s="2">
        <f>RANK(I262,$I$6:$I$475,0)</f>
        <v>255</v>
      </c>
      <c r="B262" s="29" t="s">
        <v>343</v>
      </c>
      <c r="C262" s="18">
        <v>45410</v>
      </c>
      <c r="D262" s="1" t="s">
        <v>71</v>
      </c>
      <c r="E262" s="1" t="s">
        <v>17</v>
      </c>
      <c r="F262" s="1">
        <v>27</v>
      </c>
      <c r="G262" s="1">
        <v>18</v>
      </c>
      <c r="H262" s="1">
        <v>5</v>
      </c>
      <c r="I262" s="3">
        <f>SUM(F262:H262)</f>
        <v>50</v>
      </c>
    </row>
    <row r="263" spans="1:9" x14ac:dyDescent="0.25">
      <c r="A263" s="2">
        <f>RANK(I263,$I$6:$I$475,0)</f>
        <v>255</v>
      </c>
      <c r="B263" s="29" t="s">
        <v>258</v>
      </c>
      <c r="C263" s="18">
        <v>44927</v>
      </c>
      <c r="D263" s="1" t="s">
        <v>68</v>
      </c>
      <c r="E263" s="1" t="s">
        <v>22</v>
      </c>
      <c r="F263" s="1">
        <v>26</v>
      </c>
      <c r="G263" s="1">
        <v>18</v>
      </c>
      <c r="H263" s="1">
        <v>6</v>
      </c>
      <c r="I263" s="3">
        <f>SUM(F263:H263)</f>
        <v>50</v>
      </c>
    </row>
    <row r="264" spans="1:9" x14ac:dyDescent="0.25">
      <c r="A264" s="2">
        <f>RANK(I264,$I$6:$I$475,0)</f>
        <v>255</v>
      </c>
      <c r="B264" s="29" t="s">
        <v>302</v>
      </c>
      <c r="C264" s="18">
        <v>45200</v>
      </c>
      <c r="D264" s="1" t="s">
        <v>149</v>
      </c>
      <c r="E264" s="1" t="s">
        <v>22</v>
      </c>
      <c r="F264" s="1">
        <v>26</v>
      </c>
      <c r="G264" s="1">
        <v>19</v>
      </c>
      <c r="H264" s="1">
        <v>5</v>
      </c>
      <c r="I264" s="3">
        <f>SUM(F264:H264)</f>
        <v>50</v>
      </c>
    </row>
    <row r="265" spans="1:9" x14ac:dyDescent="0.25">
      <c r="A265" s="2">
        <f>RANK(I265,$I$6:$I$475,0)</f>
        <v>255</v>
      </c>
      <c r="B265" s="1" t="s">
        <v>254</v>
      </c>
      <c r="C265" s="18">
        <v>44885</v>
      </c>
      <c r="D265" s="1" t="s">
        <v>74</v>
      </c>
      <c r="E265" s="1" t="s">
        <v>17</v>
      </c>
      <c r="F265" s="1">
        <v>26</v>
      </c>
      <c r="G265" s="1">
        <v>19</v>
      </c>
      <c r="H265" s="1">
        <v>5</v>
      </c>
      <c r="I265" s="3">
        <f>SUM(F265:H265)</f>
        <v>50</v>
      </c>
    </row>
    <row r="266" spans="1:9" x14ac:dyDescent="0.25">
      <c r="A266" s="2">
        <f>RANK(I266,$I$6:$I$475,0)</f>
        <v>255</v>
      </c>
      <c r="B266" s="1" t="s">
        <v>134</v>
      </c>
      <c r="C266" s="18">
        <v>44367</v>
      </c>
      <c r="D266" s="1" t="s">
        <v>74</v>
      </c>
      <c r="E266" s="1" t="s">
        <v>22</v>
      </c>
      <c r="F266" s="1">
        <v>28</v>
      </c>
      <c r="G266" s="1">
        <v>15</v>
      </c>
      <c r="H266" s="1">
        <v>7</v>
      </c>
      <c r="I266" s="3">
        <f>SUM(F266:H266)</f>
        <v>50</v>
      </c>
    </row>
    <row r="267" spans="1:9" x14ac:dyDescent="0.25">
      <c r="A267" s="2">
        <f>RANK(I267,$I$6:$I$475,0)</f>
        <v>255</v>
      </c>
      <c r="B267" s="1" t="s">
        <v>339</v>
      </c>
      <c r="C267" s="18">
        <v>45389</v>
      </c>
      <c r="D267" s="1" t="s">
        <v>266</v>
      </c>
      <c r="E267" s="1" t="s">
        <v>22</v>
      </c>
      <c r="F267" s="1">
        <v>27</v>
      </c>
      <c r="G267" s="1">
        <v>18</v>
      </c>
      <c r="H267" s="1">
        <v>5</v>
      </c>
      <c r="I267" s="3">
        <f>SUM(F267:H267)</f>
        <v>50</v>
      </c>
    </row>
    <row r="268" spans="1:9" x14ac:dyDescent="0.25">
      <c r="A268" s="2">
        <f>RANK(I268,$I$6:$I$475,0)</f>
        <v>255</v>
      </c>
      <c r="B268" s="1" t="s">
        <v>115</v>
      </c>
      <c r="C268" s="18">
        <v>44297</v>
      </c>
      <c r="D268" s="1" t="s">
        <v>71</v>
      </c>
      <c r="E268" s="1" t="s">
        <v>17</v>
      </c>
      <c r="F268" s="1">
        <v>28</v>
      </c>
      <c r="G268" s="1">
        <v>15</v>
      </c>
      <c r="H268" s="1">
        <v>7</v>
      </c>
      <c r="I268" s="3">
        <f>SUM(F268:H268)</f>
        <v>50</v>
      </c>
    </row>
    <row r="269" spans="1:9" x14ac:dyDescent="0.25">
      <c r="A269" s="2">
        <f>RANK(I269,$I$6:$I$475,0)</f>
        <v>255</v>
      </c>
      <c r="B269" s="1" t="s">
        <v>261</v>
      </c>
      <c r="C269" s="18">
        <v>44934</v>
      </c>
      <c r="D269" s="1" t="s">
        <v>72</v>
      </c>
      <c r="E269" s="1" t="s">
        <v>22</v>
      </c>
      <c r="F269" s="1">
        <v>27</v>
      </c>
      <c r="G269" s="1">
        <v>17</v>
      </c>
      <c r="H269" s="1">
        <v>6</v>
      </c>
      <c r="I269" s="3">
        <f>SUM(F269:H269)</f>
        <v>50</v>
      </c>
    </row>
    <row r="270" spans="1:9" x14ac:dyDescent="0.25">
      <c r="A270" s="2">
        <f>RANK(I270,$I$6:$I$475,0)</f>
        <v>255</v>
      </c>
      <c r="B270" s="1" t="s">
        <v>362</v>
      </c>
      <c r="C270" s="18">
        <v>45515</v>
      </c>
      <c r="D270" s="1" t="s">
        <v>266</v>
      </c>
      <c r="E270" s="1" t="s">
        <v>17</v>
      </c>
      <c r="F270" s="1">
        <v>29</v>
      </c>
      <c r="G270" s="1">
        <v>16</v>
      </c>
      <c r="H270" s="1">
        <v>5</v>
      </c>
      <c r="I270" s="3">
        <f>SUM(F270:H270)</f>
        <v>50</v>
      </c>
    </row>
    <row r="271" spans="1:9" x14ac:dyDescent="0.25">
      <c r="A271" s="2">
        <f>RANK(I271,$I$6:$I$475,0)</f>
        <v>255</v>
      </c>
      <c r="B271" s="1" t="s">
        <v>96</v>
      </c>
      <c r="C271" s="18">
        <v>44250</v>
      </c>
      <c r="D271" s="1" t="s">
        <v>266</v>
      </c>
      <c r="E271" s="1" t="s">
        <v>22</v>
      </c>
      <c r="F271" s="1">
        <v>29</v>
      </c>
      <c r="G271" s="1">
        <v>15</v>
      </c>
      <c r="H271" s="1">
        <v>6</v>
      </c>
      <c r="I271" s="3">
        <f>SUM(F271:H271)</f>
        <v>50</v>
      </c>
    </row>
    <row r="272" spans="1:9" x14ac:dyDescent="0.25">
      <c r="A272" s="2">
        <f>RANK(I272,$I$6:$I$475,0)</f>
        <v>255</v>
      </c>
      <c r="B272" s="1" t="s">
        <v>191</v>
      </c>
      <c r="C272" s="18">
        <v>44591</v>
      </c>
      <c r="D272" s="1" t="s">
        <v>69</v>
      </c>
      <c r="E272" s="1" t="s">
        <v>22</v>
      </c>
      <c r="F272" s="1">
        <v>27</v>
      </c>
      <c r="G272" s="1">
        <v>17</v>
      </c>
      <c r="H272" s="1">
        <v>6</v>
      </c>
      <c r="I272" s="3">
        <f>SUM(F272:H272)</f>
        <v>50</v>
      </c>
    </row>
    <row r="273" spans="1:9" x14ac:dyDescent="0.25">
      <c r="A273" s="2">
        <f>RANK(I273,$I$6:$I$475,0)</f>
        <v>255</v>
      </c>
      <c r="B273" s="29" t="s">
        <v>279</v>
      </c>
      <c r="C273" s="18">
        <v>45046</v>
      </c>
      <c r="D273" s="1" t="s">
        <v>71</v>
      </c>
      <c r="E273" s="1" t="s">
        <v>22</v>
      </c>
      <c r="F273" s="1">
        <v>28</v>
      </c>
      <c r="G273" s="1">
        <v>16</v>
      </c>
      <c r="H273" s="1">
        <v>6</v>
      </c>
      <c r="I273" s="3">
        <f>SUM(F273:H273)</f>
        <v>50</v>
      </c>
    </row>
    <row r="274" spans="1:9" x14ac:dyDescent="0.25">
      <c r="A274" s="2">
        <f>RANK(I274,$I$6:$I$475,0)</f>
        <v>255</v>
      </c>
      <c r="B274" s="29" t="s">
        <v>225</v>
      </c>
      <c r="C274" s="18">
        <v>44752</v>
      </c>
      <c r="D274" s="1" t="s">
        <v>71</v>
      </c>
      <c r="E274" s="1" t="s">
        <v>22</v>
      </c>
      <c r="F274" s="1">
        <v>27</v>
      </c>
      <c r="G274" s="1">
        <v>18</v>
      </c>
      <c r="H274" s="1">
        <v>5</v>
      </c>
      <c r="I274" s="3">
        <f>SUM(F274:H274)</f>
        <v>50</v>
      </c>
    </row>
    <row r="275" spans="1:9" x14ac:dyDescent="0.25">
      <c r="A275" s="2">
        <f>RANK(I275,$I$6:$I$475,0)</f>
        <v>255</v>
      </c>
      <c r="B275" s="1" t="s">
        <v>203</v>
      </c>
      <c r="C275" s="18">
        <v>44640</v>
      </c>
      <c r="D275" s="1" t="s">
        <v>149</v>
      </c>
      <c r="E275" s="1" t="s">
        <v>22</v>
      </c>
      <c r="F275" s="1">
        <v>26</v>
      </c>
      <c r="G275" s="1">
        <v>17</v>
      </c>
      <c r="H275" s="1">
        <v>7</v>
      </c>
      <c r="I275" s="3">
        <f>SUM(F275:H275)</f>
        <v>50</v>
      </c>
    </row>
    <row r="276" spans="1:9" x14ac:dyDescent="0.25">
      <c r="A276" s="2">
        <f>RANK(I276,$I$6:$I$475,0)</f>
        <v>255</v>
      </c>
      <c r="B276" s="1" t="s">
        <v>267</v>
      </c>
      <c r="C276" s="18">
        <v>44962</v>
      </c>
      <c r="D276" s="1" t="s">
        <v>266</v>
      </c>
      <c r="E276" s="1" t="s">
        <v>17</v>
      </c>
      <c r="F276" s="1">
        <v>27</v>
      </c>
      <c r="G276" s="1">
        <v>18</v>
      </c>
      <c r="H276" s="1">
        <v>5</v>
      </c>
      <c r="I276" s="3">
        <f>SUM(F276:H276)</f>
        <v>50</v>
      </c>
    </row>
    <row r="277" spans="1:9" x14ac:dyDescent="0.25">
      <c r="A277" s="2">
        <f>RANK(I277,$I$6:$I$475,0)</f>
        <v>255</v>
      </c>
      <c r="B277" s="1" t="s">
        <v>18</v>
      </c>
      <c r="C277" s="18">
        <v>44409</v>
      </c>
      <c r="D277" s="1" t="s">
        <v>69</v>
      </c>
      <c r="E277" s="1" t="s">
        <v>17</v>
      </c>
      <c r="F277" s="1">
        <v>27</v>
      </c>
      <c r="G277" s="1">
        <v>16</v>
      </c>
      <c r="H277" s="1">
        <v>7</v>
      </c>
      <c r="I277" s="3">
        <f>SUM(F277:H277)</f>
        <v>50</v>
      </c>
    </row>
    <row r="278" spans="1:9" x14ac:dyDescent="0.25">
      <c r="A278" s="2">
        <f>RANK(I278,$I$6:$I$475,0)</f>
        <v>255</v>
      </c>
      <c r="B278" s="29" t="s">
        <v>364</v>
      </c>
      <c r="C278" s="18">
        <v>45522</v>
      </c>
      <c r="D278" s="1" t="s">
        <v>71</v>
      </c>
      <c r="E278" s="1" t="s">
        <v>22</v>
      </c>
      <c r="F278" s="1">
        <v>29</v>
      </c>
      <c r="G278" s="1">
        <v>15</v>
      </c>
      <c r="H278" s="1">
        <v>6</v>
      </c>
      <c r="I278" s="3">
        <f>SUM(F278:H278)</f>
        <v>50</v>
      </c>
    </row>
    <row r="279" spans="1:9" x14ac:dyDescent="0.25">
      <c r="A279" s="2">
        <f>RANK(I279,$I$6:$I$475,0)</f>
        <v>255</v>
      </c>
      <c r="B279" s="29" t="s">
        <v>312</v>
      </c>
      <c r="C279" s="18">
        <v>45242</v>
      </c>
      <c r="D279" s="1" t="s">
        <v>266</v>
      </c>
      <c r="E279" s="1" t="s">
        <v>22</v>
      </c>
      <c r="F279" s="1">
        <v>27</v>
      </c>
      <c r="G279" s="1">
        <v>17</v>
      </c>
      <c r="H279" s="1">
        <v>6</v>
      </c>
      <c r="I279" s="3">
        <f>SUM(F279:H279)</f>
        <v>50</v>
      </c>
    </row>
    <row r="280" spans="1:9" x14ac:dyDescent="0.25">
      <c r="A280" s="2">
        <f>RANK(I280,$I$6:$I$475,0)</f>
        <v>255</v>
      </c>
      <c r="B280" s="1" t="s">
        <v>195</v>
      </c>
      <c r="C280" s="18">
        <v>45220</v>
      </c>
      <c r="D280" s="1" t="s">
        <v>308</v>
      </c>
      <c r="E280" s="1" t="s">
        <v>17</v>
      </c>
      <c r="F280" s="1">
        <v>25</v>
      </c>
      <c r="G280" s="1">
        <v>22</v>
      </c>
      <c r="H280" s="1">
        <v>3</v>
      </c>
      <c r="I280" s="3">
        <f>SUM(F280:H280)</f>
        <v>50</v>
      </c>
    </row>
    <row r="281" spans="1:9" x14ac:dyDescent="0.25">
      <c r="A281" s="2">
        <f>RANK(I281,$I$6:$I$475,0)</f>
        <v>255</v>
      </c>
      <c r="B281" s="1" t="s">
        <v>369</v>
      </c>
      <c r="C281" s="18">
        <v>45543</v>
      </c>
      <c r="D281" s="1" t="s">
        <v>71</v>
      </c>
      <c r="E281" s="1" t="s">
        <v>22</v>
      </c>
      <c r="F281" s="1">
        <v>28</v>
      </c>
      <c r="G281" s="1">
        <v>17</v>
      </c>
      <c r="H281" s="1">
        <v>5</v>
      </c>
      <c r="I281" s="3">
        <f>SUM(F281:H281)</f>
        <v>50</v>
      </c>
    </row>
    <row r="282" spans="1:9" x14ac:dyDescent="0.25">
      <c r="A282" s="2">
        <f>RANK(I282,$I$6:$I$475,0)</f>
        <v>255</v>
      </c>
      <c r="B282" s="1" t="s">
        <v>373</v>
      </c>
      <c r="C282" s="18">
        <v>45557</v>
      </c>
      <c r="D282" s="1" t="s">
        <v>73</v>
      </c>
      <c r="E282" s="1" t="s">
        <v>20</v>
      </c>
      <c r="F282" s="1">
        <v>27</v>
      </c>
      <c r="G282" s="1">
        <v>17</v>
      </c>
      <c r="H282" s="1">
        <v>6</v>
      </c>
      <c r="I282" s="3">
        <f>SUM(F282:H282)</f>
        <v>50</v>
      </c>
    </row>
    <row r="283" spans="1:9" x14ac:dyDescent="0.25">
      <c r="A283" s="2">
        <f>RANK(I283,$I$6:$I$475,0)</f>
        <v>255</v>
      </c>
      <c r="B283" s="1" t="s">
        <v>406</v>
      </c>
      <c r="C283" s="18">
        <v>45676</v>
      </c>
      <c r="D283" s="1" t="s">
        <v>68</v>
      </c>
      <c r="E283" s="1" t="s">
        <v>22</v>
      </c>
      <c r="F283" s="1">
        <v>28</v>
      </c>
      <c r="G283" s="1">
        <v>16</v>
      </c>
      <c r="H283" s="1">
        <v>6</v>
      </c>
      <c r="I283" s="3">
        <f>SUM(F283:H283)</f>
        <v>50</v>
      </c>
    </row>
    <row r="284" spans="1:9" x14ac:dyDescent="0.25">
      <c r="A284" s="2">
        <f>RANK(I284,$I$6:$I$475,0)</f>
        <v>255</v>
      </c>
      <c r="B284" s="1" t="s">
        <v>408</v>
      </c>
      <c r="C284" s="18">
        <v>45690</v>
      </c>
      <c r="D284" s="1" t="s">
        <v>309</v>
      </c>
      <c r="E284" s="1" t="s">
        <v>33</v>
      </c>
      <c r="F284" s="1">
        <v>28</v>
      </c>
      <c r="G284" s="1">
        <v>16</v>
      </c>
      <c r="H284" s="1">
        <v>6</v>
      </c>
      <c r="I284" s="3">
        <f>SUM(F284:H284)</f>
        <v>50</v>
      </c>
    </row>
    <row r="285" spans="1:9" x14ac:dyDescent="0.25">
      <c r="A285" s="2">
        <f>RANK(I285,$I$6:$I$475,0)</f>
        <v>255</v>
      </c>
      <c r="B285" s="1" t="s">
        <v>423</v>
      </c>
      <c r="C285" s="18">
        <v>45753</v>
      </c>
      <c r="D285" s="1" t="s">
        <v>66</v>
      </c>
      <c r="E285" s="1" t="s">
        <v>40</v>
      </c>
      <c r="F285" s="1">
        <v>25</v>
      </c>
      <c r="G285" s="1">
        <v>21</v>
      </c>
      <c r="H285" s="1">
        <v>4</v>
      </c>
      <c r="I285" s="3">
        <f>SUM(F285:H285)</f>
        <v>50</v>
      </c>
    </row>
    <row r="286" spans="1:9" x14ac:dyDescent="0.25">
      <c r="A286" s="2">
        <f>RANK(I286,$I$6:$I$475,0)</f>
        <v>255</v>
      </c>
      <c r="B286" s="1" t="s">
        <v>431</v>
      </c>
      <c r="C286" s="18">
        <v>45781</v>
      </c>
      <c r="D286" s="1" t="s">
        <v>71</v>
      </c>
      <c r="E286" s="1" t="s">
        <v>33</v>
      </c>
      <c r="F286" s="1">
        <v>27</v>
      </c>
      <c r="G286" s="1">
        <v>21</v>
      </c>
      <c r="H286" s="1">
        <v>2</v>
      </c>
      <c r="I286" s="3">
        <f>SUM(F286:H286)</f>
        <v>50</v>
      </c>
    </row>
    <row r="287" spans="1:9" x14ac:dyDescent="0.25">
      <c r="A287" s="2">
        <f>RANK(I287,$I$6:$I$475,0)</f>
        <v>255</v>
      </c>
      <c r="B287" s="1" t="s">
        <v>434</v>
      </c>
      <c r="C287" s="18">
        <v>45802</v>
      </c>
      <c r="D287" s="1" t="s">
        <v>149</v>
      </c>
      <c r="E287" s="1" t="s">
        <v>17</v>
      </c>
      <c r="F287" s="1">
        <v>27</v>
      </c>
      <c r="G287" s="1">
        <v>18</v>
      </c>
      <c r="H287" s="1">
        <v>5</v>
      </c>
      <c r="I287" s="3">
        <f>SUM(F287:H287)</f>
        <v>50</v>
      </c>
    </row>
    <row r="288" spans="1:9" x14ac:dyDescent="0.25">
      <c r="A288" s="2">
        <f>RANK(I288,$I$6:$I$475,0)</f>
        <v>255</v>
      </c>
      <c r="B288" s="1" t="s">
        <v>439</v>
      </c>
      <c r="C288" s="18">
        <v>45830</v>
      </c>
      <c r="D288" s="1" t="s">
        <v>69</v>
      </c>
      <c r="E288" s="1" t="s">
        <v>17</v>
      </c>
      <c r="F288" s="1">
        <v>26</v>
      </c>
      <c r="G288" s="1">
        <v>19</v>
      </c>
      <c r="H288" s="1">
        <v>5</v>
      </c>
      <c r="I288" s="3">
        <f>SUM(F288:H288)</f>
        <v>50</v>
      </c>
    </row>
    <row r="289" spans="1:9" x14ac:dyDescent="0.25">
      <c r="A289" s="2">
        <f>RANK(I289,$I$6:$I$475,0)</f>
        <v>255</v>
      </c>
      <c r="B289" s="1" t="s">
        <v>440</v>
      </c>
      <c r="C289" s="18">
        <v>45830</v>
      </c>
      <c r="D289" s="1" t="s">
        <v>72</v>
      </c>
      <c r="E289" s="1" t="s">
        <v>17</v>
      </c>
      <c r="F289" s="1">
        <v>28</v>
      </c>
      <c r="G289" s="1">
        <v>17</v>
      </c>
      <c r="H289" s="1">
        <v>5</v>
      </c>
      <c r="I289" s="3">
        <f>SUM(F289:H289)</f>
        <v>50</v>
      </c>
    </row>
    <row r="290" spans="1:9" x14ac:dyDescent="0.25">
      <c r="A290" s="2">
        <f>RANK(I290,$I$6:$I$475,0)</f>
        <v>255</v>
      </c>
      <c r="B290" s="29" t="s">
        <v>441</v>
      </c>
      <c r="C290" s="18">
        <v>45836</v>
      </c>
      <c r="D290" s="1" t="s">
        <v>71</v>
      </c>
      <c r="E290" s="1" t="s">
        <v>22</v>
      </c>
      <c r="F290" s="1">
        <v>28</v>
      </c>
      <c r="G290" s="1">
        <v>17</v>
      </c>
      <c r="H290" s="1">
        <v>5</v>
      </c>
      <c r="I290" s="3">
        <f>SUM(F290:H290)</f>
        <v>50</v>
      </c>
    </row>
    <row r="291" spans="1:9" x14ac:dyDescent="0.25">
      <c r="A291" s="2">
        <f>RANK(I291,$I$6:$I$475,0)</f>
        <v>255</v>
      </c>
      <c r="B291" s="29" t="s">
        <v>471</v>
      </c>
      <c r="C291" s="18">
        <v>45983</v>
      </c>
      <c r="D291" s="1" t="s">
        <v>378</v>
      </c>
      <c r="E291" s="1" t="s">
        <v>22</v>
      </c>
      <c r="F291" s="1">
        <v>28</v>
      </c>
      <c r="G291" s="1">
        <v>16</v>
      </c>
      <c r="H291" s="1">
        <v>6</v>
      </c>
      <c r="I291" s="3">
        <f>SUM(F291:H291)</f>
        <v>50</v>
      </c>
    </row>
    <row r="292" spans="1:9" x14ac:dyDescent="0.25">
      <c r="A292" s="2">
        <f>RANK(I292,$I$6:$I$475,0)</f>
        <v>255</v>
      </c>
      <c r="B292" s="1" t="s">
        <v>473</v>
      </c>
      <c r="C292" s="18">
        <v>45991</v>
      </c>
      <c r="D292" s="1" t="s">
        <v>71</v>
      </c>
      <c r="E292" s="1" t="s">
        <v>17</v>
      </c>
      <c r="F292" s="1">
        <v>27</v>
      </c>
      <c r="G292" s="1">
        <v>19</v>
      </c>
      <c r="H292" s="1">
        <v>4</v>
      </c>
      <c r="I292" s="3">
        <f>SUM(F292:H292)</f>
        <v>50</v>
      </c>
    </row>
    <row r="293" spans="1:9" x14ac:dyDescent="0.25">
      <c r="A293" s="2">
        <f>RANK(I293,$I$6:$I$475,0)</f>
        <v>255</v>
      </c>
      <c r="B293" s="29" t="s">
        <v>479</v>
      </c>
      <c r="C293" s="18">
        <v>46026</v>
      </c>
      <c r="D293" s="1" t="s">
        <v>67</v>
      </c>
      <c r="E293" s="1" t="s">
        <v>22</v>
      </c>
      <c r="F293" s="1">
        <v>28</v>
      </c>
      <c r="G293" s="1">
        <v>17</v>
      </c>
      <c r="H293" s="1">
        <v>5</v>
      </c>
      <c r="I293" s="3">
        <f>SUM(F293:H293)</f>
        <v>50</v>
      </c>
    </row>
    <row r="294" spans="1:9" x14ac:dyDescent="0.25">
      <c r="A294" s="2">
        <f>RANK(I294,$I$6:$I$475,0)</f>
        <v>255</v>
      </c>
      <c r="B294" s="1" t="s">
        <v>492</v>
      </c>
      <c r="C294" s="18">
        <v>46061</v>
      </c>
      <c r="D294" s="1" t="s">
        <v>71</v>
      </c>
      <c r="E294" s="1" t="s">
        <v>22</v>
      </c>
      <c r="F294" s="1">
        <v>28</v>
      </c>
      <c r="G294" s="1">
        <v>16</v>
      </c>
      <c r="H294" s="1">
        <v>6</v>
      </c>
      <c r="I294" s="3">
        <f>SUM(F294:H294)</f>
        <v>50</v>
      </c>
    </row>
    <row r="295" spans="1:9" x14ac:dyDescent="0.25">
      <c r="A295" s="2">
        <f>RANK(I295,$I$6:$I$475,0)</f>
        <v>255</v>
      </c>
      <c r="B295" s="29" t="s">
        <v>493</v>
      </c>
      <c r="C295" s="18">
        <v>46068</v>
      </c>
      <c r="D295" s="1" t="s">
        <v>377</v>
      </c>
      <c r="E295" s="1" t="s">
        <v>22</v>
      </c>
      <c r="F295" s="1">
        <v>26</v>
      </c>
      <c r="G295" s="1">
        <v>18</v>
      </c>
      <c r="H295" s="1">
        <v>6</v>
      </c>
      <c r="I295" s="3">
        <f>SUM(F295:H295)</f>
        <v>50</v>
      </c>
    </row>
    <row r="296" spans="1:9" x14ac:dyDescent="0.25">
      <c r="A296" s="2">
        <f>RANK(I296,$I$6:$I$475,0)</f>
        <v>255</v>
      </c>
      <c r="B296" s="29" t="s">
        <v>515</v>
      </c>
      <c r="C296" s="18">
        <v>46194</v>
      </c>
      <c r="D296" s="1" t="s">
        <v>71</v>
      </c>
      <c r="E296" s="1" t="s">
        <v>20</v>
      </c>
      <c r="F296" s="1">
        <v>26</v>
      </c>
      <c r="G296" s="1">
        <v>20</v>
      </c>
      <c r="H296" s="1">
        <v>4</v>
      </c>
      <c r="I296" s="3">
        <f>SUM(F296:H296)</f>
        <v>50</v>
      </c>
    </row>
    <row r="297" spans="1:9" x14ac:dyDescent="0.25">
      <c r="A297" s="2">
        <f>RANK(I297,$I$6:$I$475,0)</f>
        <v>255</v>
      </c>
      <c r="B297" s="1" t="s">
        <v>528</v>
      </c>
      <c r="C297" s="18">
        <v>46271</v>
      </c>
      <c r="D297" s="1" t="s">
        <v>483</v>
      </c>
      <c r="E297" s="1" t="s">
        <v>17</v>
      </c>
      <c r="F297" s="1">
        <v>27</v>
      </c>
      <c r="G297" s="1">
        <v>18</v>
      </c>
      <c r="H297" s="1">
        <v>5</v>
      </c>
      <c r="I297" s="3">
        <f>SUM(F297:H297)</f>
        <v>50</v>
      </c>
    </row>
    <row r="298" spans="1:9" x14ac:dyDescent="0.25">
      <c r="A298" s="2">
        <f>RANK(I298,$I$6:$I$475,0)</f>
        <v>255</v>
      </c>
      <c r="B298" s="1" t="s">
        <v>530</v>
      </c>
      <c r="C298" s="18">
        <v>46271</v>
      </c>
      <c r="D298" s="1" t="s">
        <v>236</v>
      </c>
      <c r="E298" s="1" t="s">
        <v>20</v>
      </c>
      <c r="F298" s="1">
        <v>27</v>
      </c>
      <c r="G298" s="1">
        <v>17</v>
      </c>
      <c r="H298" s="1">
        <v>6</v>
      </c>
      <c r="I298" s="3">
        <f>SUM(F298:H298)</f>
        <v>50</v>
      </c>
    </row>
    <row r="299" spans="1:9" x14ac:dyDescent="0.25">
      <c r="A299" s="2">
        <f>RANK(I299,$I$6:$I$475,0)</f>
        <v>294</v>
      </c>
      <c r="B299" s="1" t="s">
        <v>353</v>
      </c>
      <c r="C299" s="18">
        <v>45053</v>
      </c>
      <c r="D299" s="1" t="s">
        <v>67</v>
      </c>
      <c r="E299" s="1" t="s">
        <v>17</v>
      </c>
      <c r="F299" s="1">
        <v>28</v>
      </c>
      <c r="G299" s="1">
        <v>16</v>
      </c>
      <c r="H299" s="1">
        <v>5</v>
      </c>
      <c r="I299" s="3">
        <f>SUM(F299:H299)</f>
        <v>49</v>
      </c>
    </row>
    <row r="300" spans="1:9" x14ac:dyDescent="0.25">
      <c r="A300" s="2">
        <f>RANK(I300,$I$6:$I$475,0)</f>
        <v>294</v>
      </c>
      <c r="B300" s="1" t="s">
        <v>253</v>
      </c>
      <c r="C300" s="18">
        <v>44885</v>
      </c>
      <c r="D300" s="1" t="s">
        <v>74</v>
      </c>
      <c r="E300" s="1" t="s">
        <v>22</v>
      </c>
      <c r="F300" s="1">
        <v>27</v>
      </c>
      <c r="G300" s="1">
        <v>16</v>
      </c>
      <c r="H300" s="1">
        <v>6</v>
      </c>
      <c r="I300" s="3">
        <f>SUM(F300:H300)</f>
        <v>49</v>
      </c>
    </row>
    <row r="301" spans="1:9" x14ac:dyDescent="0.25">
      <c r="A301" s="2">
        <f>RANK(I301,$I$6:$I$475,0)</f>
        <v>294</v>
      </c>
      <c r="B301" s="1" t="s">
        <v>91</v>
      </c>
      <c r="C301" s="18">
        <v>45011</v>
      </c>
      <c r="D301" s="1" t="s">
        <v>73</v>
      </c>
      <c r="E301" s="1" t="s">
        <v>17</v>
      </c>
      <c r="F301" s="1">
        <v>28</v>
      </c>
      <c r="G301" s="1">
        <v>15</v>
      </c>
      <c r="H301" s="1">
        <v>6</v>
      </c>
      <c r="I301" s="3">
        <f>SUM(F301:H301)</f>
        <v>49</v>
      </c>
    </row>
    <row r="302" spans="1:9" x14ac:dyDescent="0.25">
      <c r="A302" s="2">
        <f>RANK(I302,$I$6:$I$475,0)</f>
        <v>294</v>
      </c>
      <c r="B302" s="1" t="s">
        <v>234</v>
      </c>
      <c r="C302" s="18">
        <v>44815</v>
      </c>
      <c r="D302" s="1" t="s">
        <v>184</v>
      </c>
      <c r="E302" s="1" t="s">
        <v>22</v>
      </c>
      <c r="F302" s="1">
        <v>27</v>
      </c>
      <c r="G302" s="1">
        <v>17</v>
      </c>
      <c r="H302" s="1">
        <v>5</v>
      </c>
      <c r="I302" s="3">
        <f>SUM(F302:H302)</f>
        <v>49</v>
      </c>
    </row>
    <row r="303" spans="1:9" x14ac:dyDescent="0.25">
      <c r="A303" s="2">
        <f>RANK(I303,$I$6:$I$475,0)</f>
        <v>294</v>
      </c>
      <c r="B303" s="29" t="s">
        <v>105</v>
      </c>
      <c r="C303" s="18">
        <v>43874</v>
      </c>
      <c r="D303" s="1" t="s">
        <v>69</v>
      </c>
      <c r="E303" s="1" t="s">
        <v>22</v>
      </c>
      <c r="F303" s="1">
        <v>28</v>
      </c>
      <c r="G303" s="1">
        <v>15</v>
      </c>
      <c r="H303" s="1">
        <v>6</v>
      </c>
      <c r="I303" s="3">
        <f>SUM(F303:H303)</f>
        <v>49</v>
      </c>
    </row>
    <row r="304" spans="1:9" x14ac:dyDescent="0.25">
      <c r="A304" s="2">
        <f>RANK(I304,$I$6:$I$475,0)</f>
        <v>294</v>
      </c>
      <c r="B304" s="1" t="s">
        <v>296</v>
      </c>
      <c r="C304" s="18">
        <v>45144</v>
      </c>
      <c r="D304" s="1" t="s">
        <v>154</v>
      </c>
      <c r="E304" s="1" t="s">
        <v>22</v>
      </c>
      <c r="F304" s="1">
        <v>26</v>
      </c>
      <c r="G304" s="1">
        <v>18</v>
      </c>
      <c r="H304" s="1">
        <v>5</v>
      </c>
      <c r="I304" s="3">
        <f>SUM(F304:H304)</f>
        <v>49</v>
      </c>
    </row>
    <row r="305" spans="1:9" x14ac:dyDescent="0.25">
      <c r="A305" s="2">
        <f>RANK(I305,$I$6:$I$475,0)</f>
        <v>294</v>
      </c>
      <c r="B305" s="29" t="s">
        <v>183</v>
      </c>
      <c r="C305" s="18">
        <v>44556</v>
      </c>
      <c r="D305" s="1" t="s">
        <v>70</v>
      </c>
      <c r="E305" s="1" t="s">
        <v>22</v>
      </c>
      <c r="F305" s="1">
        <v>26</v>
      </c>
      <c r="G305" s="1">
        <v>17</v>
      </c>
      <c r="H305" s="1">
        <v>6</v>
      </c>
      <c r="I305" s="3">
        <f>SUM(F305:H305)</f>
        <v>49</v>
      </c>
    </row>
    <row r="306" spans="1:9" x14ac:dyDescent="0.25">
      <c r="A306" s="2">
        <f>RANK(I306,$I$6:$I$475,0)</f>
        <v>294</v>
      </c>
      <c r="B306" s="1" t="s">
        <v>289</v>
      </c>
      <c r="C306" s="18">
        <v>45102</v>
      </c>
      <c r="D306" s="1" t="s">
        <v>68</v>
      </c>
      <c r="E306" s="1" t="s">
        <v>20</v>
      </c>
      <c r="F306" s="1">
        <v>27</v>
      </c>
      <c r="G306" s="1">
        <v>17</v>
      </c>
      <c r="H306" s="1">
        <v>5</v>
      </c>
      <c r="I306" s="3">
        <f>SUM(F306:H306)</f>
        <v>49</v>
      </c>
    </row>
    <row r="307" spans="1:9" x14ac:dyDescent="0.25">
      <c r="A307" s="2">
        <f>RANK(I307,$I$6:$I$475,0)</f>
        <v>294</v>
      </c>
      <c r="B307" s="1" t="s">
        <v>329</v>
      </c>
      <c r="C307" s="18">
        <v>45319</v>
      </c>
      <c r="D307" s="1" t="s">
        <v>66</v>
      </c>
      <c r="E307" s="1" t="s">
        <v>17</v>
      </c>
      <c r="F307" s="1">
        <v>26</v>
      </c>
      <c r="G307" s="1">
        <v>18</v>
      </c>
      <c r="H307" s="1">
        <v>5</v>
      </c>
      <c r="I307" s="3">
        <f>SUM(F307:H307)</f>
        <v>49</v>
      </c>
    </row>
    <row r="308" spans="1:9" x14ac:dyDescent="0.25">
      <c r="A308" s="2">
        <f>RANK(I308,$I$6:$I$475,0)</f>
        <v>294</v>
      </c>
      <c r="B308" s="29" t="s">
        <v>229</v>
      </c>
      <c r="C308" s="18">
        <v>44780</v>
      </c>
      <c r="D308" s="1" t="s">
        <v>72</v>
      </c>
      <c r="E308" s="1" t="s">
        <v>22</v>
      </c>
      <c r="F308" s="1">
        <v>27</v>
      </c>
      <c r="G308" s="1">
        <v>16</v>
      </c>
      <c r="H308" s="1">
        <v>6</v>
      </c>
      <c r="I308" s="3">
        <f>SUM(F308:H308)</f>
        <v>49</v>
      </c>
    </row>
    <row r="309" spans="1:9" x14ac:dyDescent="0.25">
      <c r="A309" s="2">
        <f>RANK(I309,$I$6:$I$475,0)</f>
        <v>294</v>
      </c>
      <c r="B309" s="1" t="s">
        <v>167</v>
      </c>
      <c r="C309" s="18">
        <v>44479</v>
      </c>
      <c r="D309" s="1" t="s">
        <v>72</v>
      </c>
      <c r="E309" s="1" t="s">
        <v>22</v>
      </c>
      <c r="F309" s="1">
        <v>25</v>
      </c>
      <c r="G309" s="1">
        <v>18</v>
      </c>
      <c r="H309" s="1">
        <v>6</v>
      </c>
      <c r="I309" s="3">
        <f>SUM(F309:H309)</f>
        <v>49</v>
      </c>
    </row>
    <row r="310" spans="1:9" x14ac:dyDescent="0.25">
      <c r="A310" s="2">
        <f>RANK(I310,$I$6:$I$475,0)</f>
        <v>294</v>
      </c>
      <c r="B310" s="29" t="s">
        <v>220</v>
      </c>
      <c r="C310" s="18">
        <v>44738</v>
      </c>
      <c r="D310" s="1" t="s">
        <v>69</v>
      </c>
      <c r="E310" s="1" t="s">
        <v>22</v>
      </c>
      <c r="F310" s="1">
        <v>27</v>
      </c>
      <c r="G310" s="1">
        <v>16</v>
      </c>
      <c r="H310" s="1">
        <v>6</v>
      </c>
      <c r="I310" s="3">
        <f>SUM(F310:H310)</f>
        <v>49</v>
      </c>
    </row>
    <row r="311" spans="1:9" x14ac:dyDescent="0.25">
      <c r="A311" s="2">
        <f>RANK(I311,$I$6:$I$475,0)</f>
        <v>294</v>
      </c>
      <c r="B311" s="19" t="s">
        <v>142</v>
      </c>
      <c r="C311" s="20">
        <v>44353</v>
      </c>
      <c r="D311" s="1" t="s">
        <v>72</v>
      </c>
      <c r="E311" s="1" t="s">
        <v>17</v>
      </c>
      <c r="F311" s="1">
        <v>26</v>
      </c>
      <c r="G311" s="1">
        <v>18</v>
      </c>
      <c r="H311" s="1">
        <v>5</v>
      </c>
      <c r="I311" s="3">
        <f>SUM(F311:H311)</f>
        <v>49</v>
      </c>
    </row>
    <row r="312" spans="1:9" x14ac:dyDescent="0.25">
      <c r="A312" s="2">
        <f>RANK(I312,$I$6:$I$475,0)</f>
        <v>294</v>
      </c>
      <c r="B312" s="29" t="s">
        <v>348</v>
      </c>
      <c r="C312" s="18">
        <v>45452</v>
      </c>
      <c r="D312" s="1" t="s">
        <v>71</v>
      </c>
      <c r="E312" s="1" t="s">
        <v>22</v>
      </c>
      <c r="F312" s="1">
        <v>27</v>
      </c>
      <c r="G312" s="1">
        <v>18</v>
      </c>
      <c r="H312" s="1">
        <v>4</v>
      </c>
      <c r="I312" s="3">
        <f>SUM(F312:H312)</f>
        <v>49</v>
      </c>
    </row>
    <row r="313" spans="1:9" x14ac:dyDescent="0.25">
      <c r="A313" s="2">
        <f>RANK(I313,$I$6:$I$475,0)</f>
        <v>294</v>
      </c>
      <c r="B313" s="1" t="s">
        <v>147</v>
      </c>
      <c r="C313" s="18">
        <v>44423</v>
      </c>
      <c r="D313" s="1" t="s">
        <v>72</v>
      </c>
      <c r="E313" s="1" t="s">
        <v>17</v>
      </c>
      <c r="F313" s="1">
        <v>28</v>
      </c>
      <c r="G313" s="1">
        <v>14</v>
      </c>
      <c r="H313" s="1">
        <v>7</v>
      </c>
      <c r="I313" s="3">
        <f>SUM(F313:H313)</f>
        <v>49</v>
      </c>
    </row>
    <row r="314" spans="1:9" x14ac:dyDescent="0.25">
      <c r="A314" s="2">
        <f>RANK(I314,$I$6:$I$475,0)</f>
        <v>294</v>
      </c>
      <c r="B314" s="1" t="s">
        <v>59</v>
      </c>
      <c r="C314" s="18">
        <v>45011</v>
      </c>
      <c r="D314" s="1" t="s">
        <v>68</v>
      </c>
      <c r="E314" s="1" t="s">
        <v>40</v>
      </c>
      <c r="F314" s="1">
        <v>27</v>
      </c>
      <c r="G314" s="1">
        <v>15</v>
      </c>
      <c r="H314" s="1">
        <v>7</v>
      </c>
      <c r="I314" s="3">
        <f>SUM(F314:H314)</f>
        <v>49</v>
      </c>
    </row>
    <row r="315" spans="1:9" x14ac:dyDescent="0.25">
      <c r="A315" s="2">
        <f>RANK(I315,$I$6:$I$475,0)</f>
        <v>294</v>
      </c>
      <c r="B315" s="29" t="s">
        <v>16</v>
      </c>
      <c r="C315" s="18">
        <v>44409</v>
      </c>
      <c r="D315" s="1" t="s">
        <v>69</v>
      </c>
      <c r="E315" s="1" t="s">
        <v>17</v>
      </c>
      <c r="F315" s="1">
        <v>27</v>
      </c>
      <c r="G315" s="1">
        <v>17</v>
      </c>
      <c r="H315" s="1">
        <v>5</v>
      </c>
      <c r="I315" s="3">
        <f>SUM(F315:H315)</f>
        <v>49</v>
      </c>
    </row>
    <row r="316" spans="1:9" x14ac:dyDescent="0.25">
      <c r="A316" s="2">
        <f>RANK(I316,$I$6:$I$475,0)</f>
        <v>294</v>
      </c>
      <c r="B316" s="1" t="s">
        <v>214</v>
      </c>
      <c r="C316" s="18">
        <v>44717</v>
      </c>
      <c r="D316" s="1" t="s">
        <v>154</v>
      </c>
      <c r="E316" s="1" t="s">
        <v>22</v>
      </c>
      <c r="F316" s="1">
        <v>24</v>
      </c>
      <c r="G316" s="1">
        <v>21</v>
      </c>
      <c r="H316" s="1">
        <v>4</v>
      </c>
      <c r="I316" s="3">
        <f>SUM(F316:H316)</f>
        <v>49</v>
      </c>
    </row>
    <row r="317" spans="1:9" x14ac:dyDescent="0.25">
      <c r="A317" s="2">
        <f>RANK(I317,$I$6:$I$475,0)</f>
        <v>294</v>
      </c>
      <c r="B317" s="1" t="s">
        <v>98</v>
      </c>
      <c r="C317" s="18">
        <v>44092</v>
      </c>
      <c r="D317" s="1" t="s">
        <v>69</v>
      </c>
      <c r="E317" s="1" t="s">
        <v>22</v>
      </c>
      <c r="F317" s="1">
        <v>28</v>
      </c>
      <c r="G317" s="1">
        <v>17</v>
      </c>
      <c r="H317" s="1">
        <v>4</v>
      </c>
      <c r="I317" s="3">
        <f>SUM(F317:H317)</f>
        <v>49</v>
      </c>
    </row>
    <row r="318" spans="1:9" x14ac:dyDescent="0.25">
      <c r="A318" s="2">
        <f>RANK(I318,$I$6:$I$475,0)</f>
        <v>294</v>
      </c>
      <c r="B318" s="1" t="s">
        <v>315</v>
      </c>
      <c r="C318" s="18">
        <v>45249</v>
      </c>
      <c r="D318" s="1" t="s">
        <v>308</v>
      </c>
      <c r="E318" s="1" t="s">
        <v>40</v>
      </c>
      <c r="F318" s="1">
        <v>23</v>
      </c>
      <c r="G318" s="1">
        <v>23</v>
      </c>
      <c r="H318" s="1">
        <v>3</v>
      </c>
      <c r="I318" s="3">
        <f>SUM(F318:H318)</f>
        <v>49</v>
      </c>
    </row>
    <row r="319" spans="1:9" x14ac:dyDescent="0.25">
      <c r="A319" s="2">
        <f>RANK(I319,$I$6:$I$475,0)</f>
        <v>294</v>
      </c>
      <c r="B319" s="1" t="s">
        <v>314</v>
      </c>
      <c r="C319" s="18">
        <v>45249</v>
      </c>
      <c r="D319" s="1" t="s">
        <v>68</v>
      </c>
      <c r="E319" s="1" t="s">
        <v>22</v>
      </c>
      <c r="F319" s="1">
        <v>27</v>
      </c>
      <c r="G319" s="1">
        <v>18</v>
      </c>
      <c r="H319" s="1">
        <v>4</v>
      </c>
      <c r="I319" s="3">
        <f>SUM(F319:H319)</f>
        <v>49</v>
      </c>
    </row>
    <row r="320" spans="1:9" x14ac:dyDescent="0.25">
      <c r="A320" s="2">
        <f>RANK(I320,$I$6:$I$475,0)</f>
        <v>294</v>
      </c>
      <c r="B320" s="1" t="s">
        <v>387</v>
      </c>
      <c r="C320" s="18">
        <v>45613</v>
      </c>
      <c r="D320" s="1" t="s">
        <v>154</v>
      </c>
      <c r="E320" s="1" t="s">
        <v>22</v>
      </c>
      <c r="F320" s="1">
        <v>27</v>
      </c>
      <c r="G320" s="1">
        <v>16</v>
      </c>
      <c r="H320" s="1">
        <v>6</v>
      </c>
      <c r="I320" s="3">
        <f>SUM(F320:H320)</f>
        <v>49</v>
      </c>
    </row>
    <row r="321" spans="1:9" x14ac:dyDescent="0.25">
      <c r="A321" s="2">
        <f>RANK(I321,$I$6:$I$475,0)</f>
        <v>294</v>
      </c>
      <c r="B321" s="1" t="s">
        <v>388</v>
      </c>
      <c r="C321" s="18">
        <v>45613</v>
      </c>
      <c r="D321" s="1" t="s">
        <v>66</v>
      </c>
      <c r="E321" s="1" t="s">
        <v>20</v>
      </c>
      <c r="F321" s="1">
        <v>26</v>
      </c>
      <c r="G321" s="1">
        <v>17</v>
      </c>
      <c r="H321" s="1">
        <v>6</v>
      </c>
      <c r="I321" s="3">
        <f>SUM(F321:H321)</f>
        <v>49</v>
      </c>
    </row>
    <row r="322" spans="1:9" x14ac:dyDescent="0.25">
      <c r="A322" s="2">
        <f>RANK(I322,$I$6:$I$475,0)</f>
        <v>294</v>
      </c>
      <c r="B322" s="1" t="s">
        <v>396</v>
      </c>
      <c r="C322" s="18">
        <v>45648</v>
      </c>
      <c r="D322" s="1" t="s">
        <v>68</v>
      </c>
      <c r="E322" s="1" t="s">
        <v>22</v>
      </c>
      <c r="F322" s="1">
        <v>27</v>
      </c>
      <c r="G322" s="1">
        <v>17</v>
      </c>
      <c r="H322" s="1">
        <v>5</v>
      </c>
      <c r="I322" s="3">
        <f>SUM(F322:H322)</f>
        <v>49</v>
      </c>
    </row>
    <row r="323" spans="1:9" x14ac:dyDescent="0.25">
      <c r="A323" s="2">
        <f>RANK(I323,$I$6:$I$475,0)</f>
        <v>294</v>
      </c>
      <c r="B323" s="1" t="s">
        <v>402</v>
      </c>
      <c r="C323" s="18">
        <v>45662</v>
      </c>
      <c r="D323" s="1" t="s">
        <v>74</v>
      </c>
      <c r="E323" s="1" t="s">
        <v>33</v>
      </c>
      <c r="F323" s="1">
        <v>26</v>
      </c>
      <c r="G323" s="1">
        <v>18</v>
      </c>
      <c r="H323" s="1">
        <v>5</v>
      </c>
      <c r="I323" s="3">
        <f>SUM(F323:H323)</f>
        <v>49</v>
      </c>
    </row>
    <row r="324" spans="1:9" x14ac:dyDescent="0.25">
      <c r="A324" s="2">
        <f>RANK(I324,$I$6:$I$475,0)</f>
        <v>294</v>
      </c>
      <c r="B324" s="29" t="s">
        <v>407</v>
      </c>
      <c r="C324" s="18">
        <v>45683</v>
      </c>
      <c r="D324" s="1" t="s">
        <v>71</v>
      </c>
      <c r="E324" s="1" t="s">
        <v>17</v>
      </c>
      <c r="F324" s="1">
        <v>28</v>
      </c>
      <c r="G324" s="1">
        <v>15</v>
      </c>
      <c r="H324" s="1">
        <v>6</v>
      </c>
      <c r="I324" s="3">
        <f>SUM(F324:H324)</f>
        <v>49</v>
      </c>
    </row>
    <row r="325" spans="1:9" x14ac:dyDescent="0.25">
      <c r="A325" s="2">
        <f>RANK(I325,$I$6:$I$475,0)</f>
        <v>294</v>
      </c>
      <c r="B325" s="1" t="s">
        <v>435</v>
      </c>
      <c r="C325" s="18">
        <v>45802</v>
      </c>
      <c r="D325" s="1" t="s">
        <v>307</v>
      </c>
      <c r="E325" s="1" t="s">
        <v>17</v>
      </c>
      <c r="F325" s="1">
        <v>26</v>
      </c>
      <c r="G325" s="1">
        <v>19</v>
      </c>
      <c r="H325" s="1">
        <v>4</v>
      </c>
      <c r="I325" s="3">
        <f>SUM(F325:H325)</f>
        <v>49</v>
      </c>
    </row>
    <row r="326" spans="1:9" x14ac:dyDescent="0.25">
      <c r="A326" s="2">
        <f>RANK(I326,$I$6:$I$475,0)</f>
        <v>294</v>
      </c>
      <c r="B326" s="1" t="s">
        <v>458</v>
      </c>
      <c r="C326" s="18">
        <v>45921</v>
      </c>
      <c r="D326" s="1" t="s">
        <v>266</v>
      </c>
      <c r="E326" s="1" t="s">
        <v>17</v>
      </c>
      <c r="F326" s="1">
        <v>27</v>
      </c>
      <c r="G326" s="1">
        <v>17</v>
      </c>
      <c r="H326" s="1">
        <v>5</v>
      </c>
      <c r="I326" s="3">
        <f>SUM(F326:H326)</f>
        <v>49</v>
      </c>
    </row>
    <row r="327" spans="1:9" x14ac:dyDescent="0.25">
      <c r="A327" s="2">
        <f>RANK(I327,$I$6:$I$475,0)</f>
        <v>294</v>
      </c>
      <c r="B327" s="1" t="s">
        <v>499</v>
      </c>
      <c r="C327" s="18">
        <v>46103</v>
      </c>
      <c r="D327" s="1" t="s">
        <v>74</v>
      </c>
      <c r="E327" s="1" t="s">
        <v>33</v>
      </c>
      <c r="F327" s="1">
        <v>26</v>
      </c>
      <c r="G327" s="1">
        <v>18</v>
      </c>
      <c r="H327" s="1">
        <v>5</v>
      </c>
      <c r="I327" s="3">
        <f>SUM(F327:H327)</f>
        <v>49</v>
      </c>
    </row>
    <row r="328" spans="1:9" x14ac:dyDescent="0.25">
      <c r="A328" s="2">
        <f>RANK(I328,$I$6:$I$475,0)</f>
        <v>294</v>
      </c>
      <c r="B328" s="29" t="s">
        <v>501</v>
      </c>
      <c r="C328" s="18">
        <v>46110</v>
      </c>
      <c r="D328" s="1" t="s">
        <v>73</v>
      </c>
      <c r="E328" s="1" t="s">
        <v>22</v>
      </c>
      <c r="F328" s="1">
        <v>27</v>
      </c>
      <c r="G328" s="1">
        <v>18</v>
      </c>
      <c r="H328" s="1">
        <v>4</v>
      </c>
      <c r="I328" s="3">
        <f>SUM(F328:H328)</f>
        <v>49</v>
      </c>
    </row>
    <row r="329" spans="1:9" x14ac:dyDescent="0.25">
      <c r="A329" s="2">
        <f>RANK(I329,$I$6:$I$475,0)</f>
        <v>324</v>
      </c>
      <c r="B329" s="29" t="s">
        <v>21</v>
      </c>
      <c r="C329" s="18">
        <v>44409</v>
      </c>
      <c r="D329" s="1" t="s">
        <v>71</v>
      </c>
      <c r="E329" s="1" t="s">
        <v>22</v>
      </c>
      <c r="F329" s="1">
        <v>27</v>
      </c>
      <c r="G329" s="1">
        <v>15</v>
      </c>
      <c r="H329" s="1">
        <v>6</v>
      </c>
      <c r="I329" s="3">
        <f>SUM(F329:H329)</f>
        <v>48</v>
      </c>
    </row>
    <row r="330" spans="1:9" x14ac:dyDescent="0.25">
      <c r="A330" s="2">
        <f>RANK(I330,$I$6:$I$475,0)</f>
        <v>324</v>
      </c>
      <c r="B330" s="29" t="s">
        <v>356</v>
      </c>
      <c r="C330" s="18">
        <v>45165</v>
      </c>
      <c r="D330" s="1" t="s">
        <v>67</v>
      </c>
      <c r="E330" s="1" t="s">
        <v>22</v>
      </c>
      <c r="F330" s="1">
        <v>26</v>
      </c>
      <c r="G330" s="1">
        <v>17</v>
      </c>
      <c r="H330" s="1">
        <v>5</v>
      </c>
      <c r="I330" s="3">
        <f>SUM(F330:H330)</f>
        <v>48</v>
      </c>
    </row>
    <row r="331" spans="1:9" x14ac:dyDescent="0.25">
      <c r="A331" s="2">
        <f>RANK(I331,$I$6:$I$475,0)</f>
        <v>324</v>
      </c>
      <c r="B331" s="1" t="s">
        <v>106</v>
      </c>
      <c r="C331" s="18">
        <v>44703</v>
      </c>
      <c r="D331" s="1" t="s">
        <v>69</v>
      </c>
      <c r="E331" s="1" t="s">
        <v>17</v>
      </c>
      <c r="F331" s="1">
        <v>28</v>
      </c>
      <c r="G331" s="1">
        <v>16</v>
      </c>
      <c r="H331" s="1">
        <v>4</v>
      </c>
      <c r="I331" s="3">
        <f>SUM(F331:H331)</f>
        <v>48</v>
      </c>
    </row>
    <row r="332" spans="1:9" x14ac:dyDescent="0.25">
      <c r="A332" s="2">
        <f>RANK(I332,$I$6:$I$475,0)</f>
        <v>324</v>
      </c>
      <c r="B332" s="29" t="s">
        <v>205</v>
      </c>
      <c r="C332" s="18">
        <v>44654</v>
      </c>
      <c r="D332" s="1" t="s">
        <v>71</v>
      </c>
      <c r="E332" s="1" t="s">
        <v>22</v>
      </c>
      <c r="F332" s="1">
        <v>27</v>
      </c>
      <c r="G332" s="1">
        <v>15</v>
      </c>
      <c r="H332" s="1">
        <v>6</v>
      </c>
      <c r="I332" s="3">
        <f>SUM(F332:H332)</f>
        <v>48</v>
      </c>
    </row>
    <row r="333" spans="1:9" x14ac:dyDescent="0.25">
      <c r="A333" s="2">
        <f>RANK(I333,$I$6:$I$475,0)</f>
        <v>324</v>
      </c>
      <c r="B333" s="1" t="s">
        <v>45</v>
      </c>
      <c r="C333" s="18">
        <v>44409</v>
      </c>
      <c r="D333" s="1" t="s">
        <v>73</v>
      </c>
      <c r="E333" s="1" t="s">
        <v>22</v>
      </c>
      <c r="F333" s="1">
        <v>27</v>
      </c>
      <c r="G333" s="1">
        <v>15</v>
      </c>
      <c r="H333" s="1">
        <v>6</v>
      </c>
      <c r="I333" s="3">
        <f>SUM(F333:H333)</f>
        <v>48</v>
      </c>
    </row>
    <row r="334" spans="1:9" x14ac:dyDescent="0.25">
      <c r="A334" s="2">
        <f>RANK(I334,$I$6:$I$475,0)</f>
        <v>324</v>
      </c>
      <c r="B334" s="1" t="s">
        <v>332</v>
      </c>
      <c r="C334" s="18">
        <v>45347</v>
      </c>
      <c r="D334" s="1" t="s">
        <v>67</v>
      </c>
      <c r="E334" s="1" t="s">
        <v>22</v>
      </c>
      <c r="F334" s="1">
        <v>27</v>
      </c>
      <c r="G334" s="1">
        <v>16</v>
      </c>
      <c r="H334" s="1">
        <v>5</v>
      </c>
      <c r="I334" s="3">
        <f>SUM(F334:H334)</f>
        <v>48</v>
      </c>
    </row>
    <row r="335" spans="1:9" x14ac:dyDescent="0.25">
      <c r="A335" s="2">
        <f>RANK(I335,$I$6:$I$475,0)</f>
        <v>324</v>
      </c>
      <c r="B335" s="1" t="s">
        <v>174</v>
      </c>
      <c r="C335" s="18">
        <v>44507</v>
      </c>
      <c r="D335" s="1" t="s">
        <v>71</v>
      </c>
      <c r="E335" s="1" t="s">
        <v>22</v>
      </c>
      <c r="F335" s="1">
        <v>27</v>
      </c>
      <c r="G335" s="1">
        <v>16</v>
      </c>
      <c r="H335" s="1">
        <v>5</v>
      </c>
      <c r="I335" s="3">
        <f>SUM(F335:H335)</f>
        <v>48</v>
      </c>
    </row>
    <row r="336" spans="1:9" x14ac:dyDescent="0.25">
      <c r="A336" s="2">
        <f>RANK(I336,$I$6:$I$475,0)</f>
        <v>324</v>
      </c>
      <c r="B336" s="1" t="s">
        <v>55</v>
      </c>
      <c r="C336" s="18">
        <v>44451</v>
      </c>
      <c r="D336" s="1" t="s">
        <v>74</v>
      </c>
      <c r="E336" s="1" t="s">
        <v>22</v>
      </c>
      <c r="F336" s="1">
        <v>27</v>
      </c>
      <c r="G336" s="1">
        <v>14</v>
      </c>
      <c r="H336" s="1">
        <v>7</v>
      </c>
      <c r="I336" s="3">
        <f>SUM(F336:H336)</f>
        <v>48</v>
      </c>
    </row>
    <row r="337" spans="1:9" x14ac:dyDescent="0.25">
      <c r="A337" s="2">
        <f>RANK(I337,$I$6:$I$475,0)</f>
        <v>324</v>
      </c>
      <c r="B337" s="1" t="s">
        <v>133</v>
      </c>
      <c r="C337" s="18">
        <v>44367</v>
      </c>
      <c r="D337" s="1" t="s">
        <v>74</v>
      </c>
      <c r="E337" s="1" t="s">
        <v>22</v>
      </c>
      <c r="F337" s="1">
        <v>27</v>
      </c>
      <c r="G337" s="1">
        <v>14</v>
      </c>
      <c r="H337" s="1">
        <v>7</v>
      </c>
      <c r="I337" s="3">
        <f>SUM(F337:H337)</f>
        <v>48</v>
      </c>
    </row>
    <row r="338" spans="1:9" x14ac:dyDescent="0.25">
      <c r="A338" s="2">
        <f>RANK(I338,$I$6:$I$475,0)</f>
        <v>324</v>
      </c>
      <c r="B338" s="1" t="s">
        <v>219</v>
      </c>
      <c r="C338" s="18">
        <v>44731</v>
      </c>
      <c r="D338" s="1" t="s">
        <v>69</v>
      </c>
      <c r="E338" s="1" t="s">
        <v>17</v>
      </c>
      <c r="F338" s="1">
        <v>27</v>
      </c>
      <c r="G338" s="1">
        <v>16</v>
      </c>
      <c r="H338" s="1">
        <v>5</v>
      </c>
      <c r="I338" s="3">
        <f>SUM(F338:H338)</f>
        <v>48</v>
      </c>
    </row>
    <row r="339" spans="1:9" x14ac:dyDescent="0.25">
      <c r="A339" s="2">
        <f>RANK(I339,$I$6:$I$475,0)</f>
        <v>324</v>
      </c>
      <c r="B339" s="1" t="s">
        <v>212</v>
      </c>
      <c r="C339" s="18">
        <v>44703</v>
      </c>
      <c r="D339" s="1" t="s">
        <v>69</v>
      </c>
      <c r="E339" s="1" t="s">
        <v>17</v>
      </c>
      <c r="F339" s="1">
        <v>25</v>
      </c>
      <c r="G339" s="1">
        <v>19</v>
      </c>
      <c r="H339" s="1">
        <v>4</v>
      </c>
      <c r="I339" s="3">
        <f>SUM(F339:H339)</f>
        <v>48</v>
      </c>
    </row>
    <row r="340" spans="1:9" x14ac:dyDescent="0.25">
      <c r="A340" s="2">
        <f>RANK(I340,$I$6:$I$475,0)</f>
        <v>324</v>
      </c>
      <c r="B340" s="1" t="s">
        <v>287</v>
      </c>
      <c r="C340" s="18">
        <v>45081</v>
      </c>
      <c r="D340" s="1" t="s">
        <v>236</v>
      </c>
      <c r="E340" s="1" t="s">
        <v>33</v>
      </c>
      <c r="F340" s="1">
        <v>26</v>
      </c>
      <c r="G340" s="1">
        <v>16</v>
      </c>
      <c r="H340" s="1">
        <v>6</v>
      </c>
      <c r="I340" s="3">
        <f>SUM(F340:H340)</f>
        <v>48</v>
      </c>
    </row>
    <row r="341" spans="1:9" x14ac:dyDescent="0.25">
      <c r="A341" s="2">
        <f>RANK(I341,$I$6:$I$475,0)</f>
        <v>324</v>
      </c>
      <c r="B341" s="29" t="s">
        <v>288</v>
      </c>
      <c r="C341" s="18">
        <v>45088</v>
      </c>
      <c r="D341" s="1" t="s">
        <v>74</v>
      </c>
      <c r="E341" s="1" t="s">
        <v>40</v>
      </c>
      <c r="F341" s="1">
        <v>27</v>
      </c>
      <c r="G341" s="1">
        <v>16</v>
      </c>
      <c r="H341" s="1">
        <v>5</v>
      </c>
      <c r="I341" s="3">
        <f>SUM(F341:H341)</f>
        <v>48</v>
      </c>
    </row>
    <row r="342" spans="1:9" x14ac:dyDescent="0.25">
      <c r="A342" s="2">
        <f>RANK(I342,$I$6:$I$475,0)</f>
        <v>324</v>
      </c>
      <c r="B342" s="1" t="s">
        <v>97</v>
      </c>
      <c r="C342" s="18">
        <v>44230</v>
      </c>
      <c r="D342" s="1" t="s">
        <v>69</v>
      </c>
      <c r="E342" s="1" t="s">
        <v>22</v>
      </c>
      <c r="F342" s="1">
        <v>27</v>
      </c>
      <c r="G342" s="1">
        <v>18</v>
      </c>
      <c r="H342" s="1">
        <v>3</v>
      </c>
      <c r="I342" s="3">
        <f>SUM(F342:H342)</f>
        <v>48</v>
      </c>
    </row>
    <row r="343" spans="1:9" x14ac:dyDescent="0.25">
      <c r="A343" s="2">
        <f>RANK(I343,$I$6:$I$475,0)</f>
        <v>324</v>
      </c>
      <c r="B343" s="1" t="s">
        <v>58</v>
      </c>
      <c r="C343" s="18">
        <v>45011</v>
      </c>
      <c r="D343" s="1" t="s">
        <v>68</v>
      </c>
      <c r="E343" s="1" t="s">
        <v>22</v>
      </c>
      <c r="F343" s="1">
        <v>26</v>
      </c>
      <c r="G343" s="1">
        <v>15</v>
      </c>
      <c r="H343" s="1">
        <v>7</v>
      </c>
      <c r="I343" s="3">
        <f>SUM(F343:H343)</f>
        <v>48</v>
      </c>
    </row>
    <row r="344" spans="1:9" x14ac:dyDescent="0.25">
      <c r="A344" s="2">
        <f>RANK(I344,$I$6:$I$475,0)</f>
        <v>324</v>
      </c>
      <c r="B344" s="1" t="s">
        <v>268</v>
      </c>
      <c r="C344" s="18">
        <v>44962</v>
      </c>
      <c r="D344" s="1" t="s">
        <v>266</v>
      </c>
      <c r="E344" s="1" t="s">
        <v>22</v>
      </c>
      <c r="F344" s="1">
        <v>27</v>
      </c>
      <c r="G344" s="1">
        <v>16</v>
      </c>
      <c r="H344" s="1">
        <v>5</v>
      </c>
      <c r="I344" s="3">
        <f>SUM(F344:H344)</f>
        <v>48</v>
      </c>
    </row>
    <row r="345" spans="1:9" x14ac:dyDescent="0.25">
      <c r="A345" s="2">
        <f>RANK(I345,$I$6:$I$475,0)</f>
        <v>324</v>
      </c>
      <c r="B345" s="1" t="s">
        <v>286</v>
      </c>
      <c r="C345" s="18">
        <v>45081</v>
      </c>
      <c r="D345" s="1" t="s">
        <v>71</v>
      </c>
      <c r="E345" s="1" t="s">
        <v>22</v>
      </c>
      <c r="F345" s="1">
        <v>26</v>
      </c>
      <c r="G345" s="1">
        <v>18</v>
      </c>
      <c r="H345" s="1">
        <v>4</v>
      </c>
      <c r="I345" s="3">
        <f>SUM(F345:H345)</f>
        <v>48</v>
      </c>
    </row>
    <row r="346" spans="1:9" x14ac:dyDescent="0.25">
      <c r="A346" s="2">
        <f>RANK(I346,$I$6:$I$475,0)</f>
        <v>324</v>
      </c>
      <c r="B346" s="1" t="s">
        <v>189</v>
      </c>
      <c r="C346" s="18">
        <v>44591</v>
      </c>
      <c r="D346" s="1" t="s">
        <v>70</v>
      </c>
      <c r="E346" s="1" t="s">
        <v>22</v>
      </c>
      <c r="F346" s="1">
        <v>26</v>
      </c>
      <c r="G346" s="1">
        <v>16</v>
      </c>
      <c r="H346" s="1">
        <v>6</v>
      </c>
      <c r="I346" s="3">
        <f>SUM(F346:H346)</f>
        <v>48</v>
      </c>
    </row>
    <row r="347" spans="1:9" x14ac:dyDescent="0.25">
      <c r="A347" s="2">
        <f>RANK(I347,$I$6:$I$475,0)</f>
        <v>324</v>
      </c>
      <c r="B347" s="1" t="s">
        <v>130</v>
      </c>
      <c r="C347" s="18">
        <v>44353</v>
      </c>
      <c r="D347" s="1" t="s">
        <v>72</v>
      </c>
      <c r="E347" s="1" t="s">
        <v>22</v>
      </c>
      <c r="F347" s="1">
        <v>24</v>
      </c>
      <c r="G347" s="1">
        <v>18</v>
      </c>
      <c r="H347" s="1">
        <v>6</v>
      </c>
      <c r="I347" s="3">
        <f>SUM(F347:H347)</f>
        <v>48</v>
      </c>
    </row>
    <row r="348" spans="1:9" x14ac:dyDescent="0.25">
      <c r="A348" s="2">
        <f>RANK(I348,$I$6:$I$475,0)</f>
        <v>324</v>
      </c>
      <c r="B348" s="1" t="s">
        <v>127</v>
      </c>
      <c r="C348" s="18">
        <v>44344</v>
      </c>
      <c r="D348" s="1" t="s">
        <v>69</v>
      </c>
      <c r="E348" s="1" t="s">
        <v>17</v>
      </c>
      <c r="F348" s="1">
        <v>26</v>
      </c>
      <c r="G348" s="1">
        <v>19</v>
      </c>
      <c r="H348" s="1">
        <v>3</v>
      </c>
      <c r="I348" s="3">
        <f>SUM(F348:H348)</f>
        <v>48</v>
      </c>
    </row>
    <row r="349" spans="1:9" x14ac:dyDescent="0.25">
      <c r="A349" s="2">
        <f>RANK(I349,$I$6:$I$475,0)</f>
        <v>324</v>
      </c>
      <c r="B349" s="1" t="s">
        <v>43</v>
      </c>
      <c r="C349" s="18">
        <v>44423</v>
      </c>
      <c r="D349" s="1" t="s">
        <v>71</v>
      </c>
      <c r="E349" s="1" t="s">
        <v>33</v>
      </c>
      <c r="F349" s="1">
        <v>26</v>
      </c>
      <c r="G349" s="1">
        <v>16</v>
      </c>
      <c r="H349" s="1">
        <v>6</v>
      </c>
      <c r="I349" s="3">
        <f>SUM(F349:H349)</f>
        <v>48</v>
      </c>
    </row>
    <row r="350" spans="1:9" x14ac:dyDescent="0.25">
      <c r="A350" s="2">
        <f>RANK(I350,$I$6:$I$475,0)</f>
        <v>324</v>
      </c>
      <c r="B350" s="1" t="s">
        <v>208</v>
      </c>
      <c r="C350" s="18">
        <v>45220</v>
      </c>
      <c r="D350" s="1" t="s">
        <v>308</v>
      </c>
      <c r="E350" s="1" t="s">
        <v>22</v>
      </c>
      <c r="F350" s="1">
        <v>26</v>
      </c>
      <c r="G350" s="1">
        <v>17</v>
      </c>
      <c r="H350" s="1">
        <v>5</v>
      </c>
      <c r="I350" s="3">
        <f>SUM(F350:H350)</f>
        <v>48</v>
      </c>
    </row>
    <row r="351" spans="1:9" x14ac:dyDescent="0.25">
      <c r="A351" s="2">
        <f>RANK(I351,$I$6:$I$475,0)</f>
        <v>324</v>
      </c>
      <c r="B351" s="29" t="s">
        <v>148</v>
      </c>
      <c r="C351" s="18">
        <v>44430</v>
      </c>
      <c r="D351" s="1" t="s">
        <v>149</v>
      </c>
      <c r="E351" s="1" t="s">
        <v>22</v>
      </c>
      <c r="F351" s="1">
        <v>20</v>
      </c>
      <c r="G351" s="1">
        <v>22</v>
      </c>
      <c r="H351" s="1">
        <v>6</v>
      </c>
      <c r="I351" s="3">
        <f>SUM(F351:H351)</f>
        <v>48</v>
      </c>
    </row>
    <row r="352" spans="1:9" x14ac:dyDescent="0.25">
      <c r="A352" s="2">
        <f>RANK(I352,$I$6:$I$475,0)</f>
        <v>324</v>
      </c>
      <c r="B352" s="1" t="s">
        <v>382</v>
      </c>
      <c r="C352" s="18">
        <v>45648</v>
      </c>
      <c r="D352" s="1" t="s">
        <v>307</v>
      </c>
      <c r="E352" s="1" t="s">
        <v>40</v>
      </c>
      <c r="F352" s="1">
        <v>27</v>
      </c>
      <c r="G352" s="1">
        <v>16</v>
      </c>
      <c r="H352" s="1">
        <v>5</v>
      </c>
      <c r="I352" s="3">
        <f>SUM(F352:H352)</f>
        <v>48</v>
      </c>
    </row>
    <row r="353" spans="1:9" x14ac:dyDescent="0.25">
      <c r="A353" s="2">
        <f>RANK(I353,$I$6:$I$475,0)</f>
        <v>324</v>
      </c>
      <c r="B353" s="29" t="s">
        <v>412</v>
      </c>
      <c r="C353" s="18">
        <v>45711</v>
      </c>
      <c r="D353" s="1" t="s">
        <v>236</v>
      </c>
      <c r="E353" s="1" t="s">
        <v>20</v>
      </c>
      <c r="F353" s="1">
        <v>27</v>
      </c>
      <c r="G353" s="1">
        <v>16</v>
      </c>
      <c r="H353" s="1">
        <v>5</v>
      </c>
      <c r="I353" s="3">
        <f>SUM(F353:H353)</f>
        <v>48</v>
      </c>
    </row>
    <row r="354" spans="1:9" x14ac:dyDescent="0.25">
      <c r="A354" s="2">
        <f>RANK(I354,$I$6:$I$475,0)</f>
        <v>324</v>
      </c>
      <c r="B354" s="1" t="s">
        <v>421</v>
      </c>
      <c r="C354" s="18">
        <v>45753</v>
      </c>
      <c r="D354" s="1" t="s">
        <v>72</v>
      </c>
      <c r="E354" s="1" t="s">
        <v>22</v>
      </c>
      <c r="F354" s="1">
        <v>27</v>
      </c>
      <c r="G354" s="1">
        <v>15</v>
      </c>
      <c r="H354" s="1">
        <v>6</v>
      </c>
      <c r="I354" s="3">
        <f>SUM(F354:H354)</f>
        <v>48</v>
      </c>
    </row>
    <row r="355" spans="1:9" x14ac:dyDescent="0.25">
      <c r="A355" s="2">
        <f>RANK(I355,$I$6:$I$475,0)</f>
        <v>324</v>
      </c>
      <c r="B355" s="29" t="s">
        <v>467</v>
      </c>
      <c r="C355" s="18">
        <v>45969</v>
      </c>
      <c r="D355" s="1" t="s">
        <v>67</v>
      </c>
      <c r="E355" s="1" t="s">
        <v>17</v>
      </c>
      <c r="F355" s="1">
        <v>27</v>
      </c>
      <c r="G355" s="1">
        <v>16</v>
      </c>
      <c r="H355" s="1">
        <v>5</v>
      </c>
      <c r="I355" s="3">
        <f>SUM(F355:H355)</f>
        <v>48</v>
      </c>
    </row>
    <row r="356" spans="1:9" x14ac:dyDescent="0.25">
      <c r="A356" s="2">
        <f>RANK(I356,$I$6:$I$475,0)</f>
        <v>351</v>
      </c>
      <c r="B356" s="29" t="s">
        <v>192</v>
      </c>
      <c r="C356" s="18">
        <v>44598</v>
      </c>
      <c r="D356" s="1" t="s">
        <v>68</v>
      </c>
      <c r="E356" s="1" t="s">
        <v>40</v>
      </c>
      <c r="F356" s="1">
        <v>26</v>
      </c>
      <c r="G356" s="1">
        <v>17</v>
      </c>
      <c r="H356" s="1">
        <v>4</v>
      </c>
      <c r="I356" s="3">
        <f>SUM(F356:H356)</f>
        <v>47</v>
      </c>
    </row>
    <row r="357" spans="1:9" x14ac:dyDescent="0.25">
      <c r="A357" s="2">
        <f>RANK(I357,$I$6:$I$475,0)</f>
        <v>351</v>
      </c>
      <c r="B357" s="1" t="s">
        <v>107</v>
      </c>
      <c r="C357" s="18">
        <v>44703</v>
      </c>
      <c r="D357" s="1" t="s">
        <v>69</v>
      </c>
      <c r="E357" s="1" t="s">
        <v>22</v>
      </c>
      <c r="F357" s="1">
        <v>27</v>
      </c>
      <c r="G357" s="1">
        <v>16</v>
      </c>
      <c r="H357" s="1">
        <v>4</v>
      </c>
      <c r="I357" s="3">
        <f>SUM(F357:H357)</f>
        <v>47</v>
      </c>
    </row>
    <row r="358" spans="1:9" x14ac:dyDescent="0.25">
      <c r="A358" s="2">
        <f>RANK(I358,$I$6:$I$475,0)</f>
        <v>351</v>
      </c>
      <c r="B358" s="29" t="s">
        <v>357</v>
      </c>
      <c r="C358" s="18">
        <v>45494</v>
      </c>
      <c r="D358" s="1" t="s">
        <v>67</v>
      </c>
      <c r="E358" s="1" t="s">
        <v>22</v>
      </c>
      <c r="F358" s="1">
        <v>25</v>
      </c>
      <c r="G358" s="1">
        <v>17</v>
      </c>
      <c r="H358" s="1">
        <v>5</v>
      </c>
      <c r="I358" s="3">
        <f>SUM(F358:H358)</f>
        <v>47</v>
      </c>
    </row>
    <row r="359" spans="1:9" x14ac:dyDescent="0.25">
      <c r="A359" s="2">
        <f>RANK(I359,$I$6:$I$475,0)</f>
        <v>351</v>
      </c>
      <c r="B359" s="1" t="s">
        <v>30</v>
      </c>
      <c r="C359" s="18">
        <v>44423</v>
      </c>
      <c r="D359" s="1" t="s">
        <v>68</v>
      </c>
      <c r="E359" s="1" t="s">
        <v>20</v>
      </c>
      <c r="F359" s="1">
        <v>24</v>
      </c>
      <c r="G359" s="1">
        <v>17</v>
      </c>
      <c r="H359" s="1">
        <v>6</v>
      </c>
      <c r="I359" s="3">
        <f>SUM(F359:H359)</f>
        <v>47</v>
      </c>
    </row>
    <row r="360" spans="1:9" x14ac:dyDescent="0.25">
      <c r="A360" s="2">
        <f>RANK(I360,$I$6:$I$475,0)</f>
        <v>351</v>
      </c>
      <c r="B360" s="1" t="s">
        <v>295</v>
      </c>
      <c r="C360" s="18">
        <v>45130</v>
      </c>
      <c r="D360" s="1" t="s">
        <v>69</v>
      </c>
      <c r="E360" s="1" t="s">
        <v>22</v>
      </c>
      <c r="F360" s="1">
        <v>25</v>
      </c>
      <c r="G360" s="1">
        <v>17</v>
      </c>
      <c r="H360" s="1">
        <v>5</v>
      </c>
      <c r="I360" s="3">
        <f>SUM(F360:H360)</f>
        <v>47</v>
      </c>
    </row>
    <row r="361" spans="1:9" x14ac:dyDescent="0.25">
      <c r="A361" s="2">
        <f>RANK(I361,$I$6:$I$475,0)</f>
        <v>351</v>
      </c>
      <c r="B361" s="1" t="s">
        <v>334</v>
      </c>
      <c r="C361" s="18">
        <v>45347</v>
      </c>
      <c r="D361" s="1" t="s">
        <v>73</v>
      </c>
      <c r="E361" s="1" t="s">
        <v>40</v>
      </c>
      <c r="F361" s="1">
        <v>24</v>
      </c>
      <c r="G361" s="1">
        <v>18</v>
      </c>
      <c r="H361" s="1">
        <v>5</v>
      </c>
      <c r="I361" s="3">
        <f>SUM(F361:H361)</f>
        <v>47</v>
      </c>
    </row>
    <row r="362" spans="1:9" x14ac:dyDescent="0.25">
      <c r="A362" s="2">
        <f>RANK(I362,$I$6:$I$475,0)</f>
        <v>351</v>
      </c>
      <c r="B362" s="1" t="s">
        <v>129</v>
      </c>
      <c r="C362" s="18">
        <v>44353</v>
      </c>
      <c r="D362" s="1" t="s">
        <v>69</v>
      </c>
      <c r="E362" s="1" t="s">
        <v>22</v>
      </c>
      <c r="F362" s="1">
        <v>26</v>
      </c>
      <c r="G362" s="1">
        <v>17</v>
      </c>
      <c r="H362" s="1">
        <v>4</v>
      </c>
      <c r="I362" s="3">
        <f>SUM(F362:H362)</f>
        <v>47</v>
      </c>
    </row>
    <row r="363" spans="1:9" x14ac:dyDescent="0.25">
      <c r="A363" s="2">
        <f>RANK(I363,$I$6:$I$475,0)</f>
        <v>351</v>
      </c>
      <c r="B363" s="1" t="s">
        <v>160</v>
      </c>
      <c r="C363" s="18">
        <v>44465</v>
      </c>
      <c r="D363" s="1" t="s">
        <v>68</v>
      </c>
      <c r="E363" s="1" t="s">
        <v>40</v>
      </c>
      <c r="F363" s="1">
        <v>25</v>
      </c>
      <c r="G363" s="1">
        <v>17</v>
      </c>
      <c r="H363" s="1">
        <v>5</v>
      </c>
      <c r="I363" s="3">
        <f>SUM(F363:H363)</f>
        <v>47</v>
      </c>
    </row>
    <row r="364" spans="1:9" x14ac:dyDescent="0.25">
      <c r="A364" s="2">
        <f>RANK(I364,$I$6:$I$475,0)</f>
        <v>351</v>
      </c>
      <c r="B364" s="1" t="s">
        <v>162</v>
      </c>
      <c r="C364" s="18">
        <v>44465</v>
      </c>
      <c r="D364" s="1" t="s">
        <v>68</v>
      </c>
      <c r="E364" s="1" t="s">
        <v>22</v>
      </c>
      <c r="F364" s="1">
        <v>25</v>
      </c>
      <c r="G364" s="1">
        <v>17</v>
      </c>
      <c r="H364" s="1">
        <v>5</v>
      </c>
      <c r="I364" s="3">
        <f>SUM(F364:H364)</f>
        <v>47</v>
      </c>
    </row>
    <row r="365" spans="1:9" x14ac:dyDescent="0.25">
      <c r="A365" s="2">
        <f>RANK(I365,$I$6:$I$475,0)</f>
        <v>351</v>
      </c>
      <c r="B365" s="1" t="s">
        <v>215</v>
      </c>
      <c r="C365" s="18">
        <v>44717</v>
      </c>
      <c r="D365" s="1" t="s">
        <v>74</v>
      </c>
      <c r="E365" s="1" t="s">
        <v>22</v>
      </c>
      <c r="F365" s="1">
        <v>27</v>
      </c>
      <c r="G365" s="1">
        <v>15</v>
      </c>
      <c r="H365" s="1">
        <v>5</v>
      </c>
      <c r="I365" s="3">
        <f>SUM(F365:H365)</f>
        <v>47</v>
      </c>
    </row>
    <row r="366" spans="1:9" x14ac:dyDescent="0.25">
      <c r="A366" s="2">
        <f>RANK(I366,$I$6:$I$475,0)</f>
        <v>351</v>
      </c>
      <c r="B366" s="1" t="s">
        <v>323</v>
      </c>
      <c r="C366" s="18">
        <v>45291</v>
      </c>
      <c r="D366" s="1" t="s">
        <v>266</v>
      </c>
      <c r="E366" s="1" t="s">
        <v>17</v>
      </c>
      <c r="F366" s="1">
        <v>26</v>
      </c>
      <c r="G366" s="1">
        <v>17</v>
      </c>
      <c r="H366" s="1">
        <v>4</v>
      </c>
      <c r="I366" s="3">
        <f>SUM(F366:H366)</f>
        <v>47</v>
      </c>
    </row>
    <row r="367" spans="1:9" x14ac:dyDescent="0.25">
      <c r="A367" s="2">
        <f>RANK(I367,$I$6:$I$475,0)</f>
        <v>351</v>
      </c>
      <c r="B367" s="1" t="s">
        <v>90</v>
      </c>
      <c r="C367" s="18">
        <v>44703</v>
      </c>
      <c r="D367" s="1" t="s">
        <v>69</v>
      </c>
      <c r="E367" s="1" t="s">
        <v>22</v>
      </c>
      <c r="F367" s="1">
        <v>26</v>
      </c>
      <c r="G367" s="1">
        <v>16</v>
      </c>
      <c r="H367" s="1">
        <v>5</v>
      </c>
      <c r="I367" s="3">
        <f>SUM(F367:H367)</f>
        <v>47</v>
      </c>
    </row>
    <row r="368" spans="1:9" x14ac:dyDescent="0.25">
      <c r="A368" s="2">
        <f>RANK(I368,$I$6:$I$475,0)</f>
        <v>351</v>
      </c>
      <c r="B368" s="1" t="s">
        <v>393</v>
      </c>
      <c r="C368" s="18">
        <v>45641</v>
      </c>
      <c r="D368" s="1" t="s">
        <v>236</v>
      </c>
      <c r="E368" s="1" t="s">
        <v>17</v>
      </c>
      <c r="F368" s="1">
        <v>26</v>
      </c>
      <c r="G368" s="1">
        <v>16</v>
      </c>
      <c r="H368" s="1">
        <v>5</v>
      </c>
      <c r="I368" s="3">
        <f>SUM(F368:H368)</f>
        <v>47</v>
      </c>
    </row>
    <row r="369" spans="1:9" x14ac:dyDescent="0.25">
      <c r="A369" s="2">
        <f>RANK(I369,$I$6:$I$475,0)</f>
        <v>351</v>
      </c>
      <c r="B369" s="1" t="s">
        <v>401</v>
      </c>
      <c r="C369" s="18">
        <v>45662</v>
      </c>
      <c r="D369" s="1" t="s">
        <v>68</v>
      </c>
      <c r="E369" s="1" t="s">
        <v>17</v>
      </c>
      <c r="F369" s="1">
        <v>26</v>
      </c>
      <c r="G369" s="1">
        <v>15</v>
      </c>
      <c r="H369" s="1">
        <v>6</v>
      </c>
      <c r="I369" s="3">
        <f>SUM(F369:H369)</f>
        <v>47</v>
      </c>
    </row>
    <row r="370" spans="1:9" x14ac:dyDescent="0.25">
      <c r="A370" s="2">
        <f>RANK(I370,$I$6:$I$475,0)</f>
        <v>365</v>
      </c>
      <c r="B370" s="1" t="s">
        <v>202</v>
      </c>
      <c r="C370" s="18">
        <v>44640</v>
      </c>
      <c r="D370" s="1" t="s">
        <v>71</v>
      </c>
      <c r="E370" s="1" t="s">
        <v>17</v>
      </c>
      <c r="F370" s="1">
        <v>23</v>
      </c>
      <c r="G370" s="1">
        <v>19</v>
      </c>
      <c r="H370" s="1">
        <v>4</v>
      </c>
      <c r="I370" s="3">
        <f>SUM(F370:H370)</f>
        <v>46</v>
      </c>
    </row>
    <row r="371" spans="1:9" x14ac:dyDescent="0.25">
      <c r="A371" s="2">
        <f>RANK(I371,$I$6:$I$475,0)</f>
        <v>365</v>
      </c>
      <c r="B371" s="1" t="s">
        <v>122</v>
      </c>
      <c r="C371" s="18">
        <v>44325</v>
      </c>
      <c r="D371" s="1" t="s">
        <v>68</v>
      </c>
      <c r="E371" s="1" t="s">
        <v>22</v>
      </c>
      <c r="F371" s="1">
        <v>25</v>
      </c>
      <c r="G371" s="1">
        <v>16</v>
      </c>
      <c r="H371" s="1">
        <v>5</v>
      </c>
      <c r="I371" s="3">
        <f>SUM(F371:H371)</f>
        <v>46</v>
      </c>
    </row>
    <row r="372" spans="1:9" x14ac:dyDescent="0.25">
      <c r="A372" s="2">
        <f>RANK(I372,$I$6:$I$475,0)</f>
        <v>365</v>
      </c>
      <c r="B372" s="1" t="s">
        <v>120</v>
      </c>
      <c r="C372" s="18">
        <v>44311</v>
      </c>
      <c r="D372" s="1" t="s">
        <v>69</v>
      </c>
      <c r="E372" s="1" t="s">
        <v>17</v>
      </c>
      <c r="F372" s="1">
        <v>26</v>
      </c>
      <c r="G372" s="1">
        <v>14</v>
      </c>
      <c r="H372" s="1">
        <v>6</v>
      </c>
      <c r="I372" s="3">
        <f>SUM(F372:H372)</f>
        <v>46</v>
      </c>
    </row>
    <row r="373" spans="1:9" x14ac:dyDescent="0.25">
      <c r="A373" s="2">
        <f>RANK(I373,$I$6:$I$475,0)</f>
        <v>365</v>
      </c>
      <c r="B373" s="1" t="s">
        <v>110</v>
      </c>
      <c r="C373" s="18">
        <v>44276</v>
      </c>
      <c r="D373" s="1" t="s">
        <v>74</v>
      </c>
      <c r="E373" s="1" t="s">
        <v>17</v>
      </c>
      <c r="F373" s="1">
        <v>23</v>
      </c>
      <c r="G373" s="1">
        <v>19</v>
      </c>
      <c r="H373" s="1">
        <v>4</v>
      </c>
      <c r="I373" s="3">
        <f>SUM(F373:H373)</f>
        <v>46</v>
      </c>
    </row>
    <row r="374" spans="1:9" x14ac:dyDescent="0.25">
      <c r="A374" s="2">
        <f>RANK(I374,$I$6:$I$475,0)</f>
        <v>365</v>
      </c>
      <c r="B374" s="1" t="s">
        <v>216</v>
      </c>
      <c r="C374" s="18">
        <v>44717</v>
      </c>
      <c r="D374" s="1" t="s">
        <v>184</v>
      </c>
      <c r="E374" s="1" t="s">
        <v>17</v>
      </c>
      <c r="F374" s="1">
        <v>26</v>
      </c>
      <c r="G374" s="1">
        <v>15</v>
      </c>
      <c r="H374" s="1">
        <v>5</v>
      </c>
      <c r="I374" s="3">
        <f>SUM(F374:H374)</f>
        <v>46</v>
      </c>
    </row>
    <row r="375" spans="1:9" x14ac:dyDescent="0.25">
      <c r="A375" s="2">
        <f>RANK(I375,$I$6:$I$475,0)</f>
        <v>365</v>
      </c>
      <c r="B375" s="1" t="s">
        <v>282</v>
      </c>
      <c r="C375" s="18">
        <v>45067</v>
      </c>
      <c r="D375" s="1" t="s">
        <v>69</v>
      </c>
      <c r="E375" s="1" t="s">
        <v>22</v>
      </c>
      <c r="F375" s="1">
        <v>25</v>
      </c>
      <c r="G375" s="1">
        <v>17</v>
      </c>
      <c r="H375" s="1">
        <v>4</v>
      </c>
      <c r="I375" s="3">
        <f>SUM(F375:H375)</f>
        <v>46</v>
      </c>
    </row>
    <row r="376" spans="1:9" x14ac:dyDescent="0.25">
      <c r="A376" s="2">
        <f>RANK(I376,$I$6:$I$475,0)</f>
        <v>365</v>
      </c>
      <c r="B376" s="1" t="s">
        <v>143</v>
      </c>
      <c r="C376" s="18">
        <v>44423</v>
      </c>
      <c r="D376" s="1" t="s">
        <v>68</v>
      </c>
      <c r="E376" s="1" t="s">
        <v>17</v>
      </c>
      <c r="F376" s="1">
        <v>25</v>
      </c>
      <c r="G376" s="1">
        <v>16</v>
      </c>
      <c r="H376" s="1">
        <v>5</v>
      </c>
      <c r="I376" s="3">
        <f>SUM(F376:H376)</f>
        <v>46</v>
      </c>
    </row>
    <row r="377" spans="1:9" x14ac:dyDescent="0.25">
      <c r="A377" s="2">
        <f>RANK(I377,$I$6:$I$475,0)</f>
        <v>365</v>
      </c>
      <c r="B377" s="1" t="s">
        <v>341</v>
      </c>
      <c r="C377" s="18">
        <v>45389</v>
      </c>
      <c r="D377" s="1" t="s">
        <v>149</v>
      </c>
      <c r="E377" s="1" t="s">
        <v>17</v>
      </c>
      <c r="F377" s="1">
        <v>27</v>
      </c>
      <c r="G377" s="1">
        <v>14</v>
      </c>
      <c r="H377" s="1">
        <v>5</v>
      </c>
      <c r="I377" s="3">
        <f>SUM(F377:H377)</f>
        <v>46</v>
      </c>
    </row>
    <row r="378" spans="1:9" x14ac:dyDescent="0.25">
      <c r="A378" s="2">
        <f>RANK(I378,$I$6:$I$475,0)</f>
        <v>365</v>
      </c>
      <c r="B378" s="1" t="s">
        <v>102</v>
      </c>
      <c r="C378" s="18">
        <v>44703</v>
      </c>
      <c r="D378" s="1" t="s">
        <v>69</v>
      </c>
      <c r="E378" s="1" t="s">
        <v>17</v>
      </c>
      <c r="F378" s="1">
        <v>27</v>
      </c>
      <c r="G378" s="1">
        <v>14</v>
      </c>
      <c r="H378" s="1">
        <v>5</v>
      </c>
      <c r="I378" s="3">
        <f>SUM(F378:H378)</f>
        <v>46</v>
      </c>
    </row>
    <row r="379" spans="1:9" x14ac:dyDescent="0.25">
      <c r="A379" s="2">
        <f>RANK(I379,$I$6:$I$475,0)</f>
        <v>365</v>
      </c>
      <c r="B379" s="29" t="s">
        <v>293</v>
      </c>
      <c r="C379" s="18">
        <v>45220</v>
      </c>
      <c r="D379" s="1" t="s">
        <v>309</v>
      </c>
      <c r="E379" s="1" t="s">
        <v>40</v>
      </c>
      <c r="F379" s="1">
        <v>25</v>
      </c>
      <c r="G379" s="1">
        <v>16</v>
      </c>
      <c r="H379" s="1">
        <v>5</v>
      </c>
      <c r="I379" s="3">
        <f>SUM(F379:H379)</f>
        <v>46</v>
      </c>
    </row>
    <row r="380" spans="1:9" x14ac:dyDescent="0.25">
      <c r="A380" s="2">
        <f>RANK(I380,$I$6:$I$475,0)</f>
        <v>365</v>
      </c>
      <c r="B380" s="1" t="s">
        <v>54</v>
      </c>
      <c r="C380" s="18">
        <v>44451</v>
      </c>
      <c r="D380" s="1" t="s">
        <v>74</v>
      </c>
      <c r="E380" s="1" t="s">
        <v>22</v>
      </c>
      <c r="F380" s="1">
        <v>26</v>
      </c>
      <c r="G380" s="1">
        <v>14</v>
      </c>
      <c r="H380" s="1">
        <v>6</v>
      </c>
      <c r="I380" s="3">
        <f>SUM(F380:H380)</f>
        <v>46</v>
      </c>
    </row>
    <row r="381" spans="1:9" x14ac:dyDescent="0.25">
      <c r="A381" s="2">
        <f>RANK(I381,$I$6:$I$475,0)</f>
        <v>365</v>
      </c>
      <c r="B381" s="29" t="s">
        <v>92</v>
      </c>
      <c r="C381" s="18">
        <v>44213</v>
      </c>
      <c r="D381" s="1" t="s">
        <v>68</v>
      </c>
      <c r="E381" s="1" t="s">
        <v>17</v>
      </c>
      <c r="F381" s="1">
        <v>26</v>
      </c>
      <c r="G381" s="1">
        <v>16</v>
      </c>
      <c r="H381" s="1">
        <v>4</v>
      </c>
      <c r="I381" s="3">
        <f>SUM(F381:H381)</f>
        <v>46</v>
      </c>
    </row>
    <row r="382" spans="1:9" x14ac:dyDescent="0.25">
      <c r="A382" s="2">
        <f>RANK(I382,$I$6:$I$475,0)</f>
        <v>365</v>
      </c>
      <c r="B382" s="1" t="s">
        <v>190</v>
      </c>
      <c r="C382" s="18">
        <v>44591</v>
      </c>
      <c r="D382" s="1" t="s">
        <v>69</v>
      </c>
      <c r="E382" s="1" t="s">
        <v>22</v>
      </c>
      <c r="F382" s="1">
        <v>24</v>
      </c>
      <c r="G382" s="1">
        <v>18</v>
      </c>
      <c r="H382" s="1">
        <v>4</v>
      </c>
      <c r="I382" s="3">
        <f>SUM(F382:H382)</f>
        <v>46</v>
      </c>
    </row>
    <row r="383" spans="1:9" x14ac:dyDescent="0.25">
      <c r="A383" s="2">
        <f>RANK(I383,$I$6:$I$475,0)</f>
        <v>365</v>
      </c>
      <c r="B383" s="1" t="s">
        <v>326</v>
      </c>
      <c r="C383" s="18">
        <v>45305</v>
      </c>
      <c r="D383" s="1" t="s">
        <v>308</v>
      </c>
      <c r="E383" s="1" t="s">
        <v>17</v>
      </c>
      <c r="F383" s="1">
        <v>26</v>
      </c>
      <c r="G383" s="1">
        <v>16</v>
      </c>
      <c r="H383" s="1">
        <v>4</v>
      </c>
      <c r="I383" s="3">
        <f>SUM(F383:H383)</f>
        <v>46</v>
      </c>
    </row>
    <row r="384" spans="1:9" x14ac:dyDescent="0.25">
      <c r="A384" s="2">
        <f>RANK(I384,$I$6:$I$475,0)</f>
        <v>365</v>
      </c>
      <c r="B384" s="29" t="s">
        <v>306</v>
      </c>
      <c r="C384" s="18">
        <v>45214</v>
      </c>
      <c r="D384" s="1" t="s">
        <v>72</v>
      </c>
      <c r="E384" s="1" t="s">
        <v>17</v>
      </c>
      <c r="F384" s="1">
        <v>26</v>
      </c>
      <c r="G384" s="1">
        <v>16</v>
      </c>
      <c r="H384" s="1">
        <v>4</v>
      </c>
      <c r="I384" s="3">
        <f>SUM(F384:H384)</f>
        <v>46</v>
      </c>
    </row>
    <row r="385" spans="1:9" x14ac:dyDescent="0.25">
      <c r="A385" s="2">
        <f>RANK(I385,$I$6:$I$475,0)</f>
        <v>365</v>
      </c>
      <c r="B385" s="1" t="s">
        <v>382</v>
      </c>
      <c r="C385" s="18">
        <v>45578</v>
      </c>
      <c r="D385" s="1" t="s">
        <v>307</v>
      </c>
      <c r="E385" s="1" t="s">
        <v>40</v>
      </c>
      <c r="F385" s="1">
        <v>25</v>
      </c>
      <c r="G385" s="1">
        <v>17</v>
      </c>
      <c r="H385" s="1">
        <v>4</v>
      </c>
      <c r="I385" s="3">
        <f>SUM(F385:H385)</f>
        <v>46</v>
      </c>
    </row>
    <row r="386" spans="1:9" x14ac:dyDescent="0.25">
      <c r="A386" s="2">
        <f>RANK(I386,$I$6:$I$475,0)</f>
        <v>365</v>
      </c>
      <c r="B386" s="1" t="s">
        <v>395</v>
      </c>
      <c r="C386" s="18">
        <v>45641</v>
      </c>
      <c r="D386" s="1" t="s">
        <v>309</v>
      </c>
      <c r="E386" s="1" t="s">
        <v>40</v>
      </c>
      <c r="F386" s="1">
        <v>26</v>
      </c>
      <c r="G386" s="1">
        <v>16</v>
      </c>
      <c r="H386" s="1">
        <v>4</v>
      </c>
      <c r="I386" s="3">
        <f>SUM(F386:H386)</f>
        <v>46</v>
      </c>
    </row>
    <row r="387" spans="1:9" x14ac:dyDescent="0.25">
      <c r="A387" s="2">
        <f>RANK(I387,$I$6:$I$475,0)</f>
        <v>365</v>
      </c>
      <c r="B387" s="1" t="s">
        <v>409</v>
      </c>
      <c r="C387" s="18">
        <v>45690</v>
      </c>
      <c r="D387" s="1" t="s">
        <v>149</v>
      </c>
      <c r="E387" s="1" t="s">
        <v>22</v>
      </c>
      <c r="F387" s="1">
        <v>26</v>
      </c>
      <c r="G387" s="1">
        <v>15</v>
      </c>
      <c r="H387" s="1">
        <v>5</v>
      </c>
      <c r="I387" s="3">
        <f>SUM(F387:H387)</f>
        <v>46</v>
      </c>
    </row>
    <row r="388" spans="1:9" x14ac:dyDescent="0.25">
      <c r="A388" s="2">
        <f>RANK(I388,$I$6:$I$475,0)</f>
        <v>365</v>
      </c>
      <c r="B388" s="1" t="s">
        <v>447</v>
      </c>
      <c r="C388" s="18">
        <v>45858</v>
      </c>
      <c r="D388" s="1" t="s">
        <v>368</v>
      </c>
      <c r="E388" s="1" t="s">
        <v>22</v>
      </c>
      <c r="F388" s="1">
        <v>26</v>
      </c>
      <c r="G388" s="1">
        <v>17</v>
      </c>
      <c r="H388" s="1">
        <v>3</v>
      </c>
      <c r="I388" s="3">
        <f>SUM(F388:H388)</f>
        <v>46</v>
      </c>
    </row>
    <row r="389" spans="1:9" x14ac:dyDescent="0.25">
      <c r="A389" s="2">
        <f>RANK(I389,$I$6:$I$475,0)</f>
        <v>365</v>
      </c>
      <c r="B389" s="1" t="s">
        <v>449</v>
      </c>
      <c r="C389" s="18">
        <v>45858</v>
      </c>
      <c r="D389" s="1" t="s">
        <v>68</v>
      </c>
      <c r="E389" s="1" t="s">
        <v>22</v>
      </c>
      <c r="F389" s="1">
        <v>25</v>
      </c>
      <c r="G389" s="1">
        <v>18</v>
      </c>
      <c r="H389" s="1">
        <v>3</v>
      </c>
      <c r="I389" s="3">
        <f>SUM(F389:H389)</f>
        <v>46</v>
      </c>
    </row>
    <row r="390" spans="1:9" x14ac:dyDescent="0.25">
      <c r="A390" s="2">
        <f>RANK(I390,$I$6:$I$475,0)</f>
        <v>365</v>
      </c>
      <c r="B390" s="29" t="s">
        <v>461</v>
      </c>
      <c r="C390" s="18">
        <v>45925</v>
      </c>
      <c r="D390" s="1" t="s">
        <v>67</v>
      </c>
      <c r="E390" s="1" t="s">
        <v>20</v>
      </c>
      <c r="F390" s="1">
        <v>25</v>
      </c>
      <c r="G390" s="1">
        <v>18</v>
      </c>
      <c r="H390" s="1">
        <v>3</v>
      </c>
      <c r="I390" s="3">
        <f>SUM(F390:H390)</f>
        <v>46</v>
      </c>
    </row>
    <row r="391" spans="1:9" x14ac:dyDescent="0.25">
      <c r="A391" s="2">
        <f>RANK(I391,$I$6:$I$475,0)</f>
        <v>386</v>
      </c>
      <c r="B391" s="1" t="s">
        <v>251</v>
      </c>
      <c r="C391" s="18">
        <v>44871</v>
      </c>
      <c r="D391" s="1" t="s">
        <v>236</v>
      </c>
      <c r="E391" s="1" t="s">
        <v>17</v>
      </c>
      <c r="F391" s="1">
        <v>25</v>
      </c>
      <c r="G391" s="1">
        <v>16</v>
      </c>
      <c r="H391" s="1">
        <v>4</v>
      </c>
      <c r="I391" s="3">
        <f>SUM(F391:H391)</f>
        <v>45</v>
      </c>
    </row>
    <row r="392" spans="1:9" x14ac:dyDescent="0.25">
      <c r="A392" s="2">
        <f>RANK(I392,$I$6:$I$475,0)</f>
        <v>386</v>
      </c>
      <c r="B392" s="1" t="s">
        <v>171</v>
      </c>
      <c r="C392" s="18">
        <v>44493</v>
      </c>
      <c r="D392" s="1" t="s">
        <v>149</v>
      </c>
      <c r="E392" s="1" t="s">
        <v>22</v>
      </c>
      <c r="F392" s="1">
        <v>24</v>
      </c>
      <c r="G392" s="1">
        <v>15</v>
      </c>
      <c r="H392" s="1">
        <v>6</v>
      </c>
      <c r="I392" s="3">
        <f>SUM(F392:H392)</f>
        <v>45</v>
      </c>
    </row>
    <row r="393" spans="1:9" x14ac:dyDescent="0.25">
      <c r="A393" s="2">
        <f>RANK(I393,$I$6:$I$475,0)</f>
        <v>386</v>
      </c>
      <c r="B393" s="1" t="s">
        <v>235</v>
      </c>
      <c r="C393" s="18">
        <v>44815</v>
      </c>
      <c r="D393" s="1" t="s">
        <v>236</v>
      </c>
      <c r="E393" s="1" t="s">
        <v>20</v>
      </c>
      <c r="F393" s="1">
        <v>27</v>
      </c>
      <c r="G393" s="1">
        <v>14</v>
      </c>
      <c r="H393" s="1">
        <v>4</v>
      </c>
      <c r="I393" s="3">
        <f>SUM(F393:H393)</f>
        <v>45</v>
      </c>
    </row>
    <row r="394" spans="1:9" x14ac:dyDescent="0.25">
      <c r="A394" s="2">
        <f>RANK(I394,$I$6:$I$475,0)</f>
        <v>386</v>
      </c>
      <c r="B394" s="1" t="s">
        <v>118</v>
      </c>
      <c r="C394" s="18">
        <v>44703</v>
      </c>
      <c r="D394" s="1" t="s">
        <v>71</v>
      </c>
      <c r="E394" s="1" t="s">
        <v>22</v>
      </c>
      <c r="F394" s="1">
        <v>26</v>
      </c>
      <c r="G394" s="1">
        <v>15</v>
      </c>
      <c r="H394" s="1">
        <v>4</v>
      </c>
      <c r="I394" s="3">
        <f>SUM(F394:H394)</f>
        <v>45</v>
      </c>
    </row>
    <row r="395" spans="1:9" x14ac:dyDescent="0.25">
      <c r="A395" s="2">
        <f>RANK(I395,$I$6:$I$475,0)</f>
        <v>386</v>
      </c>
      <c r="B395" s="1" t="s">
        <v>52</v>
      </c>
      <c r="C395" s="18">
        <v>44451</v>
      </c>
      <c r="D395" s="1" t="s">
        <v>71</v>
      </c>
      <c r="E395" s="1" t="s">
        <v>22</v>
      </c>
      <c r="F395" s="1">
        <v>25</v>
      </c>
      <c r="G395" s="1">
        <v>16</v>
      </c>
      <c r="H395" s="1">
        <v>4</v>
      </c>
      <c r="I395" s="3">
        <f>SUM(F395:H395)</f>
        <v>45</v>
      </c>
    </row>
    <row r="396" spans="1:9" x14ac:dyDescent="0.25">
      <c r="A396" s="2">
        <f>RANK(I396,$I$6:$I$475,0)</f>
        <v>386</v>
      </c>
      <c r="B396" s="1" t="s">
        <v>114</v>
      </c>
      <c r="C396" s="18">
        <v>44703</v>
      </c>
      <c r="D396" s="1" t="s">
        <v>72</v>
      </c>
      <c r="E396" s="1" t="s">
        <v>17</v>
      </c>
      <c r="F396" s="1">
        <v>23</v>
      </c>
      <c r="G396" s="1">
        <v>18</v>
      </c>
      <c r="H396" s="1">
        <v>4</v>
      </c>
      <c r="I396" s="3">
        <f>SUM(F396:H396)</f>
        <v>45</v>
      </c>
    </row>
    <row r="397" spans="1:9" x14ac:dyDescent="0.25">
      <c r="A397" s="2">
        <f>RANK(I397,$I$6:$I$475,0)</f>
        <v>386</v>
      </c>
      <c r="B397" s="1" t="s">
        <v>100</v>
      </c>
      <c r="C397" s="18">
        <v>44703</v>
      </c>
      <c r="D397" s="1" t="s">
        <v>69</v>
      </c>
      <c r="E397" s="1" t="s">
        <v>22</v>
      </c>
      <c r="F397" s="1">
        <v>26</v>
      </c>
      <c r="G397" s="1">
        <v>14</v>
      </c>
      <c r="H397" s="1">
        <v>5</v>
      </c>
      <c r="I397" s="3">
        <f>SUM(F397:H397)</f>
        <v>45</v>
      </c>
    </row>
    <row r="398" spans="1:9" x14ac:dyDescent="0.25">
      <c r="A398" s="2">
        <f>RANK(I398,$I$6:$I$475,0)</f>
        <v>386</v>
      </c>
      <c r="B398" s="1" t="s">
        <v>367</v>
      </c>
      <c r="C398" s="18">
        <v>45543</v>
      </c>
      <c r="D398" s="1" t="s">
        <v>368</v>
      </c>
      <c r="E398" s="1" t="s">
        <v>17</v>
      </c>
      <c r="F398" s="1">
        <v>26</v>
      </c>
      <c r="G398" s="1">
        <v>14</v>
      </c>
      <c r="H398" s="1">
        <v>5</v>
      </c>
      <c r="I398" s="3">
        <f>SUM(F398:H398)</f>
        <v>45</v>
      </c>
    </row>
    <row r="399" spans="1:9" x14ac:dyDescent="0.25">
      <c r="A399" s="2">
        <f>RANK(I399,$I$6:$I$475,0)</f>
        <v>394</v>
      </c>
      <c r="B399" s="1" t="s">
        <v>175</v>
      </c>
      <c r="C399" s="18">
        <v>44507</v>
      </c>
      <c r="D399" s="1" t="s">
        <v>71</v>
      </c>
      <c r="E399" s="1" t="s">
        <v>22</v>
      </c>
      <c r="F399" s="1">
        <v>24</v>
      </c>
      <c r="G399" s="1">
        <v>15</v>
      </c>
      <c r="H399" s="1">
        <v>5</v>
      </c>
      <c r="I399" s="3">
        <f>SUM(F399:H399)</f>
        <v>44</v>
      </c>
    </row>
    <row r="400" spans="1:9" x14ac:dyDescent="0.25">
      <c r="A400" s="2">
        <f>RANK(I400,$I$6:$I$475,0)</f>
        <v>394</v>
      </c>
      <c r="B400" s="1" t="s">
        <v>83</v>
      </c>
      <c r="C400" s="18">
        <v>44577</v>
      </c>
      <c r="D400" s="1" t="s">
        <v>68</v>
      </c>
      <c r="E400" s="1" t="s">
        <v>17</v>
      </c>
      <c r="F400" s="1">
        <v>24</v>
      </c>
      <c r="G400" s="1">
        <v>14</v>
      </c>
      <c r="H400" s="1">
        <v>6</v>
      </c>
      <c r="I400" s="3">
        <f>SUM(F400:H400)</f>
        <v>44</v>
      </c>
    </row>
    <row r="401" spans="1:9" x14ac:dyDescent="0.25">
      <c r="A401" s="2">
        <f>RANK(I401,$I$6:$I$475,0)</f>
        <v>394</v>
      </c>
      <c r="B401" s="1" t="s">
        <v>82</v>
      </c>
      <c r="C401" s="18">
        <v>44577</v>
      </c>
      <c r="D401" s="1" t="s">
        <v>68</v>
      </c>
      <c r="E401" s="1" t="s">
        <v>22</v>
      </c>
      <c r="F401" s="1">
        <v>25</v>
      </c>
      <c r="G401" s="1">
        <v>14</v>
      </c>
      <c r="H401" s="1">
        <v>5</v>
      </c>
      <c r="I401" s="3">
        <f>SUM(F401:H401)</f>
        <v>44</v>
      </c>
    </row>
    <row r="402" spans="1:9" x14ac:dyDescent="0.25">
      <c r="A402" s="2">
        <f>RANK(I402,$I$6:$I$475,0)</f>
        <v>394</v>
      </c>
      <c r="B402" s="29" t="s">
        <v>172</v>
      </c>
      <c r="C402" s="18">
        <v>44500</v>
      </c>
      <c r="D402" s="1" t="s">
        <v>68</v>
      </c>
      <c r="E402" s="1" t="s">
        <v>17</v>
      </c>
      <c r="F402" s="1">
        <v>25</v>
      </c>
      <c r="G402" s="1">
        <v>15</v>
      </c>
      <c r="H402" s="1">
        <v>4</v>
      </c>
      <c r="I402" s="3">
        <f>SUM(F402:H402)</f>
        <v>44</v>
      </c>
    </row>
    <row r="403" spans="1:9" x14ac:dyDescent="0.25">
      <c r="A403" s="2">
        <f>RANK(I403,$I$6:$I$475,0)</f>
        <v>394</v>
      </c>
      <c r="B403" s="1" t="s">
        <v>112</v>
      </c>
      <c r="C403" s="18">
        <v>44703</v>
      </c>
      <c r="D403" s="1" t="s">
        <v>74</v>
      </c>
      <c r="E403" s="1" t="s">
        <v>40</v>
      </c>
      <c r="F403" s="1">
        <v>24</v>
      </c>
      <c r="G403" s="1">
        <v>14</v>
      </c>
      <c r="H403" s="1">
        <v>6</v>
      </c>
      <c r="I403" s="3">
        <f>SUM(F403:H403)</f>
        <v>44</v>
      </c>
    </row>
    <row r="404" spans="1:9" x14ac:dyDescent="0.25">
      <c r="A404" s="2">
        <f>RANK(I404,$I$6:$I$475,0)</f>
        <v>394</v>
      </c>
      <c r="B404" s="1" t="s">
        <v>161</v>
      </c>
      <c r="C404" s="18">
        <v>44465</v>
      </c>
      <c r="D404" s="1" t="s">
        <v>68</v>
      </c>
      <c r="E404" s="1" t="s">
        <v>17</v>
      </c>
      <c r="F404" s="1">
        <v>23</v>
      </c>
      <c r="G404" s="1">
        <v>17</v>
      </c>
      <c r="H404" s="1">
        <v>4</v>
      </c>
      <c r="I404" s="3">
        <f>SUM(F404:H404)</f>
        <v>44</v>
      </c>
    </row>
    <row r="405" spans="1:9" x14ac:dyDescent="0.25">
      <c r="A405" s="2">
        <f>RANK(I405,$I$6:$I$475,0)</f>
        <v>394</v>
      </c>
      <c r="B405" s="29" t="s">
        <v>49</v>
      </c>
      <c r="C405" s="18">
        <v>45220</v>
      </c>
      <c r="D405" s="1" t="s">
        <v>149</v>
      </c>
      <c r="E405" s="1" t="s">
        <v>22</v>
      </c>
      <c r="F405" s="1">
        <v>25</v>
      </c>
      <c r="G405" s="1">
        <v>15</v>
      </c>
      <c r="H405" s="1">
        <v>4</v>
      </c>
      <c r="I405" s="3">
        <f>SUM(F405:H405)</f>
        <v>44</v>
      </c>
    </row>
    <row r="406" spans="1:9" x14ac:dyDescent="0.25">
      <c r="A406" s="2">
        <f>RANK(I406,$I$6:$I$475,0)</f>
        <v>394</v>
      </c>
      <c r="B406" s="1" t="s">
        <v>182</v>
      </c>
      <c r="C406" s="18">
        <v>44535</v>
      </c>
      <c r="D406" s="1" t="s">
        <v>69</v>
      </c>
      <c r="E406" s="1" t="s">
        <v>22</v>
      </c>
      <c r="F406" s="1">
        <v>26</v>
      </c>
      <c r="G406" s="1">
        <v>16</v>
      </c>
      <c r="H406" s="1">
        <v>2</v>
      </c>
      <c r="I406" s="3">
        <f>SUM(F406:H406)</f>
        <v>44</v>
      </c>
    </row>
    <row r="407" spans="1:9" x14ac:dyDescent="0.25">
      <c r="A407" s="2">
        <f>RANK(I407,$I$6:$I$475,0)</f>
        <v>394</v>
      </c>
      <c r="B407" s="1" t="s">
        <v>322</v>
      </c>
      <c r="C407" s="18">
        <v>45291</v>
      </c>
      <c r="D407" s="1" t="s">
        <v>71</v>
      </c>
      <c r="E407" s="1" t="s">
        <v>17</v>
      </c>
      <c r="F407" s="1">
        <v>25</v>
      </c>
      <c r="G407" s="1">
        <v>15</v>
      </c>
      <c r="H407" s="1">
        <v>4</v>
      </c>
      <c r="I407" s="3">
        <f>SUM(F407:H407)</f>
        <v>44</v>
      </c>
    </row>
    <row r="408" spans="1:9" x14ac:dyDescent="0.25">
      <c r="A408" s="2">
        <f>RANK(I408,$I$6:$I$475,0)</f>
        <v>394</v>
      </c>
      <c r="B408" s="1" t="s">
        <v>46</v>
      </c>
      <c r="C408" s="18">
        <v>44451</v>
      </c>
      <c r="D408" s="1" t="s">
        <v>69</v>
      </c>
      <c r="E408" s="1" t="s">
        <v>22</v>
      </c>
      <c r="F408" s="1">
        <v>26</v>
      </c>
      <c r="G408" s="1">
        <v>14</v>
      </c>
      <c r="H408" s="1">
        <v>4</v>
      </c>
      <c r="I408" s="3">
        <f>SUM(F408:H408)</f>
        <v>44</v>
      </c>
    </row>
    <row r="409" spans="1:9" x14ac:dyDescent="0.25">
      <c r="A409" s="2">
        <f>RANK(I409,$I$6:$I$475,0)</f>
        <v>394</v>
      </c>
      <c r="B409" s="29" t="s">
        <v>138</v>
      </c>
      <c r="C409" s="18">
        <v>44402</v>
      </c>
      <c r="D409" s="1" t="s">
        <v>69</v>
      </c>
      <c r="E409" s="1" t="s">
        <v>22</v>
      </c>
      <c r="F409" s="1">
        <v>24</v>
      </c>
      <c r="G409" s="1">
        <v>16</v>
      </c>
      <c r="H409" s="1">
        <v>4</v>
      </c>
      <c r="I409" s="3">
        <f>SUM(F409:H409)</f>
        <v>44</v>
      </c>
    </row>
    <row r="410" spans="1:9" x14ac:dyDescent="0.25">
      <c r="A410" s="2">
        <f>RANK(I410,$I$6:$I$475,0)</f>
        <v>394</v>
      </c>
      <c r="B410" s="1" t="s">
        <v>201</v>
      </c>
      <c r="C410" s="18">
        <v>44640</v>
      </c>
      <c r="D410" s="1" t="s">
        <v>66</v>
      </c>
      <c r="E410" s="1" t="s">
        <v>33</v>
      </c>
      <c r="F410" s="1">
        <v>24</v>
      </c>
      <c r="G410" s="1">
        <v>15</v>
      </c>
      <c r="H410" s="1">
        <v>5</v>
      </c>
      <c r="I410" s="3">
        <f>SUM(F410:H410)</f>
        <v>44</v>
      </c>
    </row>
    <row r="411" spans="1:9" x14ac:dyDescent="0.25">
      <c r="A411" s="2">
        <f>RANK(I411,$I$6:$I$475,0)</f>
        <v>394</v>
      </c>
      <c r="B411" s="29" t="s">
        <v>342</v>
      </c>
      <c r="C411" s="18">
        <v>45396</v>
      </c>
      <c r="D411" s="1" t="s">
        <v>75</v>
      </c>
      <c r="E411" s="1" t="s">
        <v>22</v>
      </c>
      <c r="F411" s="1">
        <v>26</v>
      </c>
      <c r="G411" s="1">
        <v>14</v>
      </c>
      <c r="H411" s="1">
        <v>4</v>
      </c>
      <c r="I411" s="3">
        <f>SUM(F411:H411)</f>
        <v>44</v>
      </c>
    </row>
    <row r="412" spans="1:9" x14ac:dyDescent="0.25">
      <c r="A412" s="2">
        <f>RANK(I412,$I$6:$I$475,0)</f>
        <v>394</v>
      </c>
      <c r="B412" s="1" t="s">
        <v>404</v>
      </c>
      <c r="C412" s="18">
        <v>45676</v>
      </c>
      <c r="D412" s="1" t="s">
        <v>149</v>
      </c>
      <c r="E412" s="1" t="s">
        <v>17</v>
      </c>
      <c r="F412" s="1">
        <v>24</v>
      </c>
      <c r="G412" s="1">
        <v>16</v>
      </c>
      <c r="H412" s="1">
        <v>4</v>
      </c>
      <c r="I412" s="3">
        <f>SUM(F412:H412)</f>
        <v>44</v>
      </c>
    </row>
    <row r="413" spans="1:9" x14ac:dyDescent="0.25">
      <c r="A413" s="2">
        <f>RANK(I413,$I$6:$I$475,0)</f>
        <v>394</v>
      </c>
      <c r="B413" s="1" t="s">
        <v>418</v>
      </c>
      <c r="C413" s="18">
        <v>45732</v>
      </c>
      <c r="D413" s="1" t="s">
        <v>72</v>
      </c>
      <c r="E413" s="1" t="s">
        <v>17</v>
      </c>
      <c r="F413" s="1">
        <v>25</v>
      </c>
      <c r="G413" s="1">
        <v>18</v>
      </c>
      <c r="H413" s="1">
        <v>1</v>
      </c>
      <c r="I413" s="3">
        <f>SUM(F413:H413)</f>
        <v>44</v>
      </c>
    </row>
    <row r="414" spans="1:9" x14ac:dyDescent="0.25">
      <c r="A414" s="2">
        <f>RANK(I414,$I$6:$I$475,0)</f>
        <v>394</v>
      </c>
      <c r="B414" s="1" t="s">
        <v>428</v>
      </c>
      <c r="C414" s="18">
        <v>45781</v>
      </c>
      <c r="D414" s="1" t="s">
        <v>308</v>
      </c>
      <c r="E414" s="1" t="s">
        <v>40</v>
      </c>
      <c r="F414" s="1">
        <v>23</v>
      </c>
      <c r="G414" s="1">
        <v>18</v>
      </c>
      <c r="H414" s="1">
        <v>3</v>
      </c>
      <c r="I414" s="3">
        <f>SUM(F414:H414)</f>
        <v>44</v>
      </c>
    </row>
    <row r="415" spans="1:9" x14ac:dyDescent="0.25">
      <c r="A415" s="2">
        <f>RANK(I415,$I$6:$I$475,0)</f>
        <v>394</v>
      </c>
      <c r="B415" s="1" t="s">
        <v>468</v>
      </c>
      <c r="C415" s="18">
        <v>45816</v>
      </c>
      <c r="D415" s="1" t="s">
        <v>469</v>
      </c>
      <c r="E415" s="1" t="s">
        <v>22</v>
      </c>
      <c r="F415" s="1">
        <v>25</v>
      </c>
      <c r="G415" s="1">
        <v>15</v>
      </c>
      <c r="H415" s="1">
        <v>4</v>
      </c>
      <c r="I415" s="3">
        <f>SUM(F415:H415)</f>
        <v>44</v>
      </c>
    </row>
    <row r="416" spans="1:9" x14ac:dyDescent="0.25">
      <c r="A416" s="2">
        <f>RANK(I416,$I$6:$I$475,0)</f>
        <v>394</v>
      </c>
      <c r="B416" s="1" t="s">
        <v>450</v>
      </c>
      <c r="C416" s="18">
        <v>45872</v>
      </c>
      <c r="D416" s="1" t="s">
        <v>149</v>
      </c>
      <c r="E416" s="1" t="s">
        <v>22</v>
      </c>
      <c r="F416" s="1">
        <v>26</v>
      </c>
      <c r="G416" s="1">
        <v>14</v>
      </c>
      <c r="H416" s="1">
        <v>4</v>
      </c>
      <c r="I416" s="3">
        <f>SUM(F416:H416)</f>
        <v>44</v>
      </c>
    </row>
    <row r="417" spans="1:9" x14ac:dyDescent="0.25">
      <c r="A417" s="2">
        <f>RANK(I417,$I$6:$I$475,0)</f>
        <v>412</v>
      </c>
      <c r="B417" s="1" t="s">
        <v>355</v>
      </c>
      <c r="C417" s="18">
        <v>45172</v>
      </c>
      <c r="D417" s="1" t="s">
        <v>67</v>
      </c>
      <c r="E417" s="1" t="s">
        <v>40</v>
      </c>
      <c r="F417" s="1">
        <v>22</v>
      </c>
      <c r="G417" s="1">
        <v>17</v>
      </c>
      <c r="H417" s="1">
        <v>4</v>
      </c>
      <c r="I417" s="3">
        <f>SUM(F417:H417)</f>
        <v>43</v>
      </c>
    </row>
    <row r="418" spans="1:9" x14ac:dyDescent="0.25">
      <c r="A418" s="2">
        <f>RANK(I418,$I$6:$I$475,0)</f>
        <v>412</v>
      </c>
      <c r="B418" s="1" t="s">
        <v>23</v>
      </c>
      <c r="C418" s="18">
        <v>44409</v>
      </c>
      <c r="D418" s="1" t="s">
        <v>69</v>
      </c>
      <c r="E418" s="1" t="s">
        <v>22</v>
      </c>
      <c r="F418" s="1">
        <v>26</v>
      </c>
      <c r="G418" s="1">
        <v>12</v>
      </c>
      <c r="H418" s="1">
        <v>5</v>
      </c>
      <c r="I418" s="3">
        <f>SUM(F418:H418)</f>
        <v>43</v>
      </c>
    </row>
    <row r="419" spans="1:9" x14ac:dyDescent="0.25">
      <c r="A419" s="2">
        <f>RANK(I419,$I$6:$I$475,0)</f>
        <v>412</v>
      </c>
      <c r="B419" s="1" t="s">
        <v>336</v>
      </c>
      <c r="C419" s="18">
        <v>45368</v>
      </c>
      <c r="D419" s="1" t="s">
        <v>72</v>
      </c>
      <c r="E419" s="1" t="s">
        <v>22</v>
      </c>
      <c r="F419" s="1">
        <v>26</v>
      </c>
      <c r="G419" s="1">
        <v>12</v>
      </c>
      <c r="H419" s="1">
        <v>5</v>
      </c>
      <c r="I419" s="3">
        <f>SUM(F419:H419)</f>
        <v>43</v>
      </c>
    </row>
    <row r="420" spans="1:9" x14ac:dyDescent="0.25">
      <c r="A420" s="2">
        <f>RANK(I420,$I$6:$I$475,0)</f>
        <v>412</v>
      </c>
      <c r="B420" s="1" t="s">
        <v>157</v>
      </c>
      <c r="C420" s="18">
        <v>44451</v>
      </c>
      <c r="D420" s="1" t="s">
        <v>71</v>
      </c>
      <c r="E420" s="1" t="s">
        <v>22</v>
      </c>
      <c r="F420" s="1">
        <v>23</v>
      </c>
      <c r="G420" s="1">
        <v>16</v>
      </c>
      <c r="H420" s="1">
        <v>4</v>
      </c>
      <c r="I420" s="3">
        <f>SUM(F420:H420)</f>
        <v>43</v>
      </c>
    </row>
    <row r="421" spans="1:9" x14ac:dyDescent="0.25">
      <c r="A421" s="2">
        <f>RANK(I421,$I$6:$I$475,0)</f>
        <v>412</v>
      </c>
      <c r="B421" s="1" t="s">
        <v>32</v>
      </c>
      <c r="C421" s="18">
        <v>44423</v>
      </c>
      <c r="D421" s="1" t="s">
        <v>68</v>
      </c>
      <c r="E421" s="1" t="s">
        <v>33</v>
      </c>
      <c r="F421" s="1">
        <v>21</v>
      </c>
      <c r="G421" s="1">
        <v>16</v>
      </c>
      <c r="H421" s="1">
        <v>6</v>
      </c>
      <c r="I421" s="3">
        <f>SUM(F421:H421)</f>
        <v>43</v>
      </c>
    </row>
    <row r="422" spans="1:9" x14ac:dyDescent="0.25">
      <c r="A422" s="2">
        <f>RANK(I422,$I$6:$I$475,0)</f>
        <v>412</v>
      </c>
      <c r="B422" s="1" t="s">
        <v>104</v>
      </c>
      <c r="C422" s="18">
        <v>45011</v>
      </c>
      <c r="D422" s="1" t="s">
        <v>73</v>
      </c>
      <c r="E422" s="1" t="s">
        <v>40</v>
      </c>
      <c r="F422" s="1">
        <v>23</v>
      </c>
      <c r="G422" s="1">
        <v>15</v>
      </c>
      <c r="H422" s="1">
        <v>5</v>
      </c>
      <c r="I422" s="3">
        <f>SUM(F422:H422)</f>
        <v>43</v>
      </c>
    </row>
    <row r="423" spans="1:9" x14ac:dyDescent="0.25">
      <c r="A423" s="2">
        <f>RANK(I423,$I$6:$I$475,0)</f>
        <v>412</v>
      </c>
      <c r="B423" s="1" t="s">
        <v>246</v>
      </c>
      <c r="C423" s="18">
        <v>44843</v>
      </c>
      <c r="D423" s="1" t="s">
        <v>67</v>
      </c>
      <c r="E423" s="1" t="s">
        <v>17</v>
      </c>
      <c r="F423" s="1">
        <v>24</v>
      </c>
      <c r="G423" s="1">
        <v>14</v>
      </c>
      <c r="H423" s="1">
        <v>5</v>
      </c>
      <c r="I423" s="3">
        <f>SUM(F423:H423)</f>
        <v>43</v>
      </c>
    </row>
    <row r="424" spans="1:9" x14ac:dyDescent="0.25">
      <c r="A424" s="2">
        <f>RANK(I424,$I$6:$I$475,0)</f>
        <v>412</v>
      </c>
      <c r="B424" s="1" t="s">
        <v>199</v>
      </c>
      <c r="C424" s="18">
        <v>44626</v>
      </c>
      <c r="D424" s="1" t="s">
        <v>69</v>
      </c>
      <c r="E424" s="1" t="s">
        <v>17</v>
      </c>
      <c r="F424" s="1">
        <v>24</v>
      </c>
      <c r="G424" s="1">
        <v>14</v>
      </c>
      <c r="H424" s="1">
        <v>5</v>
      </c>
      <c r="I424" s="3">
        <f>SUM(F424:H424)</f>
        <v>43</v>
      </c>
    </row>
    <row r="425" spans="1:9" x14ac:dyDescent="0.25">
      <c r="A425" s="2">
        <f>RANK(I425,$I$6:$I$475,0)</f>
        <v>412</v>
      </c>
      <c r="B425" s="1" t="s">
        <v>57</v>
      </c>
      <c r="C425" s="18">
        <v>45011</v>
      </c>
      <c r="D425" s="1" t="s">
        <v>68</v>
      </c>
      <c r="E425" s="1" t="s">
        <v>17</v>
      </c>
      <c r="F425" s="1">
        <v>24</v>
      </c>
      <c r="G425" s="1">
        <v>15</v>
      </c>
      <c r="H425" s="1">
        <v>4</v>
      </c>
      <c r="I425" s="3">
        <f>SUM(F425:H425)</f>
        <v>43</v>
      </c>
    </row>
    <row r="426" spans="1:9" x14ac:dyDescent="0.25">
      <c r="A426" s="2">
        <f>RANK(I426,$I$6:$I$475,0)</f>
        <v>412</v>
      </c>
      <c r="B426" s="1" t="s">
        <v>344</v>
      </c>
      <c r="C426" s="18">
        <v>45417</v>
      </c>
      <c r="D426" s="1" t="s">
        <v>74</v>
      </c>
      <c r="E426" s="1" t="s">
        <v>40</v>
      </c>
      <c r="F426" s="1">
        <v>22</v>
      </c>
      <c r="G426" s="1">
        <v>17</v>
      </c>
      <c r="H426" s="1">
        <v>4</v>
      </c>
      <c r="I426" s="3">
        <f>SUM(F426:H426)</f>
        <v>43</v>
      </c>
    </row>
    <row r="427" spans="1:9" x14ac:dyDescent="0.25">
      <c r="A427" s="2">
        <f>RANK(I427,$I$6:$I$475,0)</f>
        <v>412</v>
      </c>
      <c r="B427" s="1" t="s">
        <v>244</v>
      </c>
      <c r="C427" s="18">
        <v>44843</v>
      </c>
      <c r="D427" s="1" t="s">
        <v>66</v>
      </c>
      <c r="E427" s="1" t="s">
        <v>40</v>
      </c>
      <c r="F427" s="1">
        <v>22</v>
      </c>
      <c r="G427" s="1">
        <v>17</v>
      </c>
      <c r="H427" s="1">
        <v>4</v>
      </c>
      <c r="I427" s="3">
        <f>SUM(F427:H427)</f>
        <v>43</v>
      </c>
    </row>
    <row r="428" spans="1:9" x14ac:dyDescent="0.25">
      <c r="A428" s="2">
        <f>RANK(I428,$I$6:$I$475,0)</f>
        <v>412</v>
      </c>
      <c r="B428" s="1" t="s">
        <v>34</v>
      </c>
      <c r="C428" s="18">
        <v>44423</v>
      </c>
      <c r="D428" s="1" t="s">
        <v>71</v>
      </c>
      <c r="E428" s="1" t="s">
        <v>22</v>
      </c>
      <c r="F428" s="1">
        <v>24</v>
      </c>
      <c r="G428" s="1">
        <v>14</v>
      </c>
      <c r="H428" s="1">
        <v>5</v>
      </c>
      <c r="I428" s="3">
        <f>SUM(F428:H428)</f>
        <v>43</v>
      </c>
    </row>
    <row r="429" spans="1:9" x14ac:dyDescent="0.25">
      <c r="A429" s="2">
        <f>RANK(I429,$I$6:$I$475,0)</f>
        <v>412</v>
      </c>
      <c r="B429" s="1" t="s">
        <v>405</v>
      </c>
      <c r="C429" s="18">
        <v>45676</v>
      </c>
      <c r="D429" s="1" t="s">
        <v>149</v>
      </c>
      <c r="E429" s="1" t="s">
        <v>22</v>
      </c>
      <c r="F429" s="1">
        <v>25</v>
      </c>
      <c r="G429" s="1">
        <v>15</v>
      </c>
      <c r="H429" s="1">
        <v>3</v>
      </c>
      <c r="I429" s="3">
        <f>SUM(F429:H429)</f>
        <v>43</v>
      </c>
    </row>
    <row r="430" spans="1:9" x14ac:dyDescent="0.25">
      <c r="A430" s="2">
        <f>RANK(I430,$I$6:$I$475,0)</f>
        <v>412</v>
      </c>
      <c r="B430" s="1" t="s">
        <v>442</v>
      </c>
      <c r="C430" s="18">
        <v>45844</v>
      </c>
      <c r="D430" s="1" t="s">
        <v>74</v>
      </c>
      <c r="E430" s="1" t="s">
        <v>40</v>
      </c>
      <c r="F430" s="1">
        <v>25</v>
      </c>
      <c r="G430" s="1">
        <v>15</v>
      </c>
      <c r="H430" s="1">
        <v>3</v>
      </c>
      <c r="I430" s="3">
        <f>SUM(F430:H430)</f>
        <v>43</v>
      </c>
    </row>
    <row r="431" spans="1:9" x14ac:dyDescent="0.25">
      <c r="A431" s="2">
        <f>RANK(I431,$I$6:$I$475,0)</f>
        <v>412</v>
      </c>
      <c r="B431" s="29" t="s">
        <v>521</v>
      </c>
      <c r="C431" s="18">
        <v>46222</v>
      </c>
      <c r="D431" s="1" t="s">
        <v>67</v>
      </c>
      <c r="E431" s="1" t="s">
        <v>17</v>
      </c>
      <c r="F431" s="1">
        <v>25</v>
      </c>
      <c r="G431" s="1">
        <v>15</v>
      </c>
      <c r="H431" s="1">
        <v>3</v>
      </c>
      <c r="I431" s="3">
        <f>SUM(F431:H431)</f>
        <v>43</v>
      </c>
    </row>
    <row r="432" spans="1:9" x14ac:dyDescent="0.25">
      <c r="A432" s="2">
        <f>RANK(I432,$I$6:$I$475,0)</f>
        <v>427</v>
      </c>
      <c r="B432" s="29" t="s">
        <v>51</v>
      </c>
      <c r="C432" s="18">
        <v>45220</v>
      </c>
      <c r="D432" s="1" t="s">
        <v>149</v>
      </c>
      <c r="E432" s="1" t="s">
        <v>22</v>
      </c>
      <c r="F432" s="1">
        <v>25</v>
      </c>
      <c r="G432" s="1">
        <v>13</v>
      </c>
      <c r="H432" s="1">
        <v>4</v>
      </c>
      <c r="I432" s="3">
        <f>SUM(F432:H432)</f>
        <v>42</v>
      </c>
    </row>
    <row r="433" spans="1:9" x14ac:dyDescent="0.25">
      <c r="A433" s="2">
        <f>RANK(I433,$I$6:$I$475,0)</f>
        <v>427</v>
      </c>
      <c r="B433" s="1" t="s">
        <v>48</v>
      </c>
      <c r="C433" s="18">
        <v>44451</v>
      </c>
      <c r="D433" s="1" t="s">
        <v>71</v>
      </c>
      <c r="E433" s="1" t="s">
        <v>20</v>
      </c>
      <c r="F433" s="1">
        <v>24</v>
      </c>
      <c r="G433" s="1">
        <v>14</v>
      </c>
      <c r="H433" s="1">
        <v>4</v>
      </c>
      <c r="I433" s="3">
        <f>SUM(F433:H433)</f>
        <v>42</v>
      </c>
    </row>
    <row r="434" spans="1:9" x14ac:dyDescent="0.25">
      <c r="A434" s="2">
        <f>RANK(I434,$I$6:$I$475,0)</f>
        <v>427</v>
      </c>
      <c r="B434" s="29" t="s">
        <v>50</v>
      </c>
      <c r="C434" s="18">
        <v>45220</v>
      </c>
      <c r="D434" s="1" t="s">
        <v>149</v>
      </c>
      <c r="E434" s="1" t="s">
        <v>22</v>
      </c>
      <c r="F434" s="1">
        <v>25</v>
      </c>
      <c r="G434" s="1">
        <v>13</v>
      </c>
      <c r="H434" s="1">
        <v>4</v>
      </c>
      <c r="I434" s="3">
        <f>SUM(F434:H434)</f>
        <v>42</v>
      </c>
    </row>
    <row r="435" spans="1:9" x14ac:dyDescent="0.25">
      <c r="A435" s="2">
        <f>RANK(I435,$I$6:$I$475,0)</f>
        <v>427</v>
      </c>
      <c r="B435" s="1" t="s">
        <v>53</v>
      </c>
      <c r="C435" s="18">
        <v>44451</v>
      </c>
      <c r="D435" s="1" t="s">
        <v>69</v>
      </c>
      <c r="E435" s="1" t="s">
        <v>17</v>
      </c>
      <c r="F435" s="1">
        <v>23</v>
      </c>
      <c r="G435" s="1">
        <v>16</v>
      </c>
      <c r="H435" s="1">
        <v>3</v>
      </c>
      <c r="I435" s="3">
        <f>SUM(F435:H435)</f>
        <v>42</v>
      </c>
    </row>
    <row r="436" spans="1:9" x14ac:dyDescent="0.25">
      <c r="A436" s="2">
        <f>RANK(I436,$I$6:$I$475,0)</f>
        <v>427</v>
      </c>
      <c r="B436" s="1" t="s">
        <v>291</v>
      </c>
      <c r="C436" s="18">
        <v>45102</v>
      </c>
      <c r="D436" s="1" t="s">
        <v>236</v>
      </c>
      <c r="E436" s="1" t="s">
        <v>22</v>
      </c>
      <c r="F436" s="1">
        <v>22</v>
      </c>
      <c r="G436" s="1">
        <v>17</v>
      </c>
      <c r="H436" s="1">
        <v>3</v>
      </c>
      <c r="I436" s="3">
        <f>SUM(F436:H436)</f>
        <v>42</v>
      </c>
    </row>
    <row r="437" spans="1:9" x14ac:dyDescent="0.25">
      <c r="A437" s="2">
        <f>RANK(I437,$I$6:$I$475,0)</f>
        <v>427</v>
      </c>
      <c r="B437" s="1" t="s">
        <v>123</v>
      </c>
      <c r="C437" s="18">
        <v>45011</v>
      </c>
      <c r="D437" s="1" t="s">
        <v>69</v>
      </c>
      <c r="E437" s="1" t="s">
        <v>17</v>
      </c>
      <c r="F437" s="1">
        <v>25</v>
      </c>
      <c r="G437" s="1">
        <v>13</v>
      </c>
      <c r="H437" s="1">
        <v>4</v>
      </c>
      <c r="I437" s="3">
        <f>SUM(F437:H437)</f>
        <v>42</v>
      </c>
    </row>
    <row r="438" spans="1:9" x14ac:dyDescent="0.25">
      <c r="A438" s="2">
        <f>RANK(I438,$I$6:$I$475,0)</f>
        <v>427</v>
      </c>
      <c r="B438" s="1" t="s">
        <v>263</v>
      </c>
      <c r="C438" s="18">
        <v>44934</v>
      </c>
      <c r="D438" s="1" t="s">
        <v>262</v>
      </c>
      <c r="E438" s="1" t="s">
        <v>22</v>
      </c>
      <c r="F438" s="1">
        <v>21</v>
      </c>
      <c r="G438" s="1">
        <v>18</v>
      </c>
      <c r="H438" s="1">
        <v>3</v>
      </c>
      <c r="I438" s="3">
        <f>SUM(F438:H438)</f>
        <v>42</v>
      </c>
    </row>
    <row r="439" spans="1:9" x14ac:dyDescent="0.25">
      <c r="A439" s="2">
        <f>RANK(I439,$I$6:$I$475,0)</f>
        <v>434</v>
      </c>
      <c r="B439" s="1" t="s">
        <v>94</v>
      </c>
      <c r="C439" s="18">
        <v>44577</v>
      </c>
      <c r="D439" s="1" t="s">
        <v>71</v>
      </c>
      <c r="E439" s="1" t="s">
        <v>22</v>
      </c>
      <c r="F439" s="1">
        <v>23</v>
      </c>
      <c r="G439" s="1">
        <v>13</v>
      </c>
      <c r="H439" s="1">
        <v>5</v>
      </c>
      <c r="I439" s="3">
        <f>SUM(F439:H439)</f>
        <v>41</v>
      </c>
    </row>
    <row r="440" spans="1:9" x14ac:dyDescent="0.25">
      <c r="A440" s="2">
        <f>RANK(I440,$I$6:$I$475,0)</f>
        <v>434</v>
      </c>
      <c r="B440" s="1" t="s">
        <v>166</v>
      </c>
      <c r="C440" s="18">
        <v>44479</v>
      </c>
      <c r="D440" s="1" t="s">
        <v>68</v>
      </c>
      <c r="E440" s="1" t="s">
        <v>22</v>
      </c>
      <c r="F440" s="1">
        <v>26</v>
      </c>
      <c r="G440" s="1">
        <v>13</v>
      </c>
      <c r="H440" s="1">
        <v>2</v>
      </c>
      <c r="I440" s="3">
        <f>SUM(F440:H440)</f>
        <v>41</v>
      </c>
    </row>
    <row r="441" spans="1:9" x14ac:dyDescent="0.25">
      <c r="A441" s="2">
        <f>RANK(I441,$I$6:$I$475,0)</f>
        <v>434</v>
      </c>
      <c r="B441" s="1" t="s">
        <v>93</v>
      </c>
      <c r="C441" s="18">
        <v>44217</v>
      </c>
      <c r="D441" s="1" t="s">
        <v>71</v>
      </c>
      <c r="E441" s="1" t="s">
        <v>22</v>
      </c>
      <c r="F441" s="1">
        <v>24</v>
      </c>
      <c r="G441" s="1">
        <v>13</v>
      </c>
      <c r="H441" s="1">
        <v>4</v>
      </c>
      <c r="I441" s="3">
        <f>SUM(F441:H441)</f>
        <v>41</v>
      </c>
    </row>
    <row r="442" spans="1:9" x14ac:dyDescent="0.25">
      <c r="A442" s="2">
        <f>RANK(I442,$I$6:$I$475,0)</f>
        <v>434</v>
      </c>
      <c r="B442" s="1" t="s">
        <v>25</v>
      </c>
      <c r="C442" s="18">
        <v>44409</v>
      </c>
      <c r="D442" s="1" t="s">
        <v>69</v>
      </c>
      <c r="E442" s="1" t="s">
        <v>22</v>
      </c>
      <c r="F442" s="1">
        <v>24</v>
      </c>
      <c r="G442" s="1">
        <v>12</v>
      </c>
      <c r="H442" s="1">
        <v>5</v>
      </c>
      <c r="I442" s="3">
        <f>SUM(F442:H442)</f>
        <v>41</v>
      </c>
    </row>
    <row r="443" spans="1:9" x14ac:dyDescent="0.25">
      <c r="A443" s="2">
        <f>RANK(I443,$I$6:$I$475,0)</f>
        <v>434</v>
      </c>
      <c r="B443" s="1" t="s">
        <v>135</v>
      </c>
      <c r="C443" s="18">
        <v>44367</v>
      </c>
      <c r="D443" s="1" t="s">
        <v>68</v>
      </c>
      <c r="E443" s="1" t="s">
        <v>22</v>
      </c>
      <c r="F443" s="1">
        <v>24</v>
      </c>
      <c r="G443" s="1">
        <v>14</v>
      </c>
      <c r="H443" s="1">
        <v>3</v>
      </c>
      <c r="I443" s="3">
        <f>SUM(F443:H443)</f>
        <v>41</v>
      </c>
    </row>
    <row r="444" spans="1:9" x14ac:dyDescent="0.25">
      <c r="A444" s="2">
        <f>RANK(I444,$I$6:$I$475,0)</f>
        <v>434</v>
      </c>
      <c r="B444" s="29" t="s">
        <v>331</v>
      </c>
      <c r="C444" s="18">
        <v>45340</v>
      </c>
      <c r="D444" s="1" t="s">
        <v>72</v>
      </c>
      <c r="E444" s="1" t="s">
        <v>22</v>
      </c>
      <c r="F444" s="1">
        <v>22</v>
      </c>
      <c r="G444" s="1">
        <v>17</v>
      </c>
      <c r="H444" s="1">
        <v>2</v>
      </c>
      <c r="I444" s="3">
        <f>SUM(F444:H444)</f>
        <v>41</v>
      </c>
    </row>
    <row r="445" spans="1:9" x14ac:dyDescent="0.25">
      <c r="A445" s="2">
        <f>RANK(I445,$I$6:$I$475,0)</f>
        <v>434</v>
      </c>
      <c r="B445" s="1" t="s">
        <v>207</v>
      </c>
      <c r="C445" s="18">
        <v>45220</v>
      </c>
      <c r="D445" s="1" t="s">
        <v>308</v>
      </c>
      <c r="E445" s="1" t="s">
        <v>17</v>
      </c>
      <c r="F445" s="1">
        <v>23</v>
      </c>
      <c r="G445" s="1">
        <v>17</v>
      </c>
      <c r="H445" s="1">
        <v>1</v>
      </c>
      <c r="I445" s="3">
        <f>SUM(F445:H445)</f>
        <v>41</v>
      </c>
    </row>
    <row r="446" spans="1:9" x14ac:dyDescent="0.25">
      <c r="A446" s="2">
        <f>RANK(I446,$I$6:$I$475,0)</f>
        <v>434</v>
      </c>
      <c r="B446" s="1" t="s">
        <v>150</v>
      </c>
      <c r="C446" s="18">
        <v>44437</v>
      </c>
      <c r="D446" s="1" t="s">
        <v>72</v>
      </c>
      <c r="E446" s="1" t="s">
        <v>22</v>
      </c>
      <c r="F446" s="1">
        <v>23</v>
      </c>
      <c r="G446" s="1">
        <v>14</v>
      </c>
      <c r="H446" s="1">
        <v>4</v>
      </c>
      <c r="I446" s="3">
        <f>SUM(F446:H446)</f>
        <v>41</v>
      </c>
    </row>
    <row r="447" spans="1:9" x14ac:dyDescent="0.25">
      <c r="A447" s="2">
        <f>RANK(I447,$I$6:$I$475,0)</f>
        <v>434</v>
      </c>
      <c r="B447" s="1" t="s">
        <v>305</v>
      </c>
      <c r="C447" s="18">
        <v>45207</v>
      </c>
      <c r="D447" s="1" t="s">
        <v>154</v>
      </c>
      <c r="E447" s="1" t="s">
        <v>40</v>
      </c>
      <c r="F447" s="1">
        <v>22</v>
      </c>
      <c r="G447" s="1">
        <v>15</v>
      </c>
      <c r="H447" s="1">
        <v>4</v>
      </c>
      <c r="I447" s="3">
        <f>SUM(F447:H447)</f>
        <v>41</v>
      </c>
    </row>
    <row r="448" spans="1:9" x14ac:dyDescent="0.25">
      <c r="A448" s="2">
        <f>RANK(I448,$I$6:$I$475,0)</f>
        <v>434</v>
      </c>
      <c r="B448" s="1" t="s">
        <v>62</v>
      </c>
      <c r="C448" s="18">
        <v>44577</v>
      </c>
      <c r="D448" s="1" t="s">
        <v>75</v>
      </c>
      <c r="E448" s="1" t="s">
        <v>22</v>
      </c>
      <c r="F448" s="1">
        <v>23</v>
      </c>
      <c r="G448" s="1">
        <v>13</v>
      </c>
      <c r="H448" s="1">
        <v>5</v>
      </c>
      <c r="I448" s="3">
        <f>SUM(F448:H448)</f>
        <v>41</v>
      </c>
    </row>
    <row r="449" spans="1:9" x14ac:dyDescent="0.25">
      <c r="A449" s="2">
        <f>RANK(I449,$I$6:$I$475,0)</f>
        <v>444</v>
      </c>
      <c r="B449" s="1" t="s">
        <v>84</v>
      </c>
      <c r="C449" s="18">
        <v>44577</v>
      </c>
      <c r="D449" s="1" t="s">
        <v>68</v>
      </c>
      <c r="E449" s="1" t="s">
        <v>40</v>
      </c>
      <c r="F449" s="1">
        <v>22</v>
      </c>
      <c r="G449" s="1">
        <v>14</v>
      </c>
      <c r="H449" s="1">
        <v>4</v>
      </c>
      <c r="I449" s="3">
        <f>SUM(F449:H449)</f>
        <v>40</v>
      </c>
    </row>
    <row r="450" spans="1:9" x14ac:dyDescent="0.25">
      <c r="A450" s="2">
        <f>RANK(I450,$I$6:$I$475,0)</f>
        <v>444</v>
      </c>
      <c r="B450" s="1" t="s">
        <v>274</v>
      </c>
      <c r="C450" s="18">
        <v>45025</v>
      </c>
      <c r="D450" s="1" t="s">
        <v>149</v>
      </c>
      <c r="E450" s="1" t="s">
        <v>40</v>
      </c>
      <c r="F450" s="1">
        <v>22</v>
      </c>
      <c r="G450" s="1">
        <v>14</v>
      </c>
      <c r="H450" s="1">
        <v>4</v>
      </c>
      <c r="I450" s="3">
        <f>SUM(F450:H450)</f>
        <v>40</v>
      </c>
    </row>
    <row r="451" spans="1:9" x14ac:dyDescent="0.25">
      <c r="A451" s="2">
        <f>RANK(I451,$I$6:$I$475,0)</f>
        <v>444</v>
      </c>
      <c r="B451" s="1" t="s">
        <v>198</v>
      </c>
      <c r="C451" s="18">
        <v>44626</v>
      </c>
      <c r="D451" s="1" t="s">
        <v>71</v>
      </c>
      <c r="E451" s="1" t="s">
        <v>22</v>
      </c>
      <c r="F451" s="1">
        <v>23</v>
      </c>
      <c r="G451" s="1">
        <v>13</v>
      </c>
      <c r="H451" s="1">
        <v>4</v>
      </c>
      <c r="I451" s="3">
        <f>SUM(F451:H451)</f>
        <v>40</v>
      </c>
    </row>
    <row r="452" spans="1:9" x14ac:dyDescent="0.25">
      <c r="A452" s="2">
        <f>RANK(I452,$I$6:$I$475,0)</f>
        <v>444</v>
      </c>
      <c r="B452" s="1" t="s">
        <v>170</v>
      </c>
      <c r="C452" s="18">
        <v>44493</v>
      </c>
      <c r="D452" s="1" t="s">
        <v>154</v>
      </c>
      <c r="E452" s="1" t="s">
        <v>22</v>
      </c>
      <c r="F452" s="1">
        <v>23</v>
      </c>
      <c r="G452" s="1">
        <v>13</v>
      </c>
      <c r="H452" s="1">
        <v>4</v>
      </c>
      <c r="I452" s="3">
        <f>SUM(F452:H452)</f>
        <v>40</v>
      </c>
    </row>
    <row r="453" spans="1:9" x14ac:dyDescent="0.25">
      <c r="A453" s="2">
        <f>RANK(I453,$I$6:$I$475,0)</f>
        <v>444</v>
      </c>
      <c r="B453" s="1" t="s">
        <v>39</v>
      </c>
      <c r="C453" s="18">
        <v>44423</v>
      </c>
      <c r="D453" s="1" t="s">
        <v>71</v>
      </c>
      <c r="E453" s="1" t="s">
        <v>40</v>
      </c>
      <c r="F453" s="1">
        <v>21</v>
      </c>
      <c r="G453" s="1">
        <v>15</v>
      </c>
      <c r="H453" s="1">
        <v>4</v>
      </c>
      <c r="I453" s="3">
        <f>SUM(F453:H453)</f>
        <v>40</v>
      </c>
    </row>
    <row r="454" spans="1:9" x14ac:dyDescent="0.25">
      <c r="A454" s="2">
        <f>RANK(I454,$I$6:$I$475,0)</f>
        <v>444</v>
      </c>
      <c r="B454" s="1" t="s">
        <v>351</v>
      </c>
      <c r="C454" s="18">
        <v>45459</v>
      </c>
      <c r="D454" s="1" t="s">
        <v>149</v>
      </c>
      <c r="E454" s="1" t="s">
        <v>22</v>
      </c>
      <c r="F454" s="1">
        <v>22</v>
      </c>
      <c r="G454" s="1">
        <v>16</v>
      </c>
      <c r="H454" s="1">
        <v>2</v>
      </c>
      <c r="I454" s="3">
        <f>SUM(F454:H454)</f>
        <v>40</v>
      </c>
    </row>
    <row r="455" spans="1:9" x14ac:dyDescent="0.25">
      <c r="A455" s="2">
        <f>RANK(I455,$I$6:$I$475,0)</f>
        <v>444</v>
      </c>
      <c r="B455" s="1" t="s">
        <v>433</v>
      </c>
      <c r="C455" s="18">
        <v>45802</v>
      </c>
      <c r="D455" s="1" t="s">
        <v>262</v>
      </c>
      <c r="E455" s="1" t="s">
        <v>22</v>
      </c>
      <c r="F455" s="1">
        <v>22</v>
      </c>
      <c r="G455" s="1">
        <v>15</v>
      </c>
      <c r="H455" s="1">
        <v>3</v>
      </c>
      <c r="I455" s="3">
        <f>SUM(F455:H455)</f>
        <v>40</v>
      </c>
    </row>
    <row r="456" spans="1:9" x14ac:dyDescent="0.25">
      <c r="A456" s="2">
        <f>RANK(I456,$I$6:$I$475,0)</f>
        <v>451</v>
      </c>
      <c r="B456" s="29" t="s">
        <v>354</v>
      </c>
      <c r="C456" s="18">
        <v>44269</v>
      </c>
      <c r="D456" s="1" t="s">
        <v>67</v>
      </c>
      <c r="E456" s="1" t="s">
        <v>17</v>
      </c>
      <c r="F456" s="1">
        <v>21</v>
      </c>
      <c r="G456" s="1">
        <v>14</v>
      </c>
      <c r="H456" s="1">
        <v>4</v>
      </c>
      <c r="I456" s="3">
        <f>SUM(F456:H456)</f>
        <v>39</v>
      </c>
    </row>
    <row r="457" spans="1:9" x14ac:dyDescent="0.25">
      <c r="A457" s="2">
        <f>RANK(I457,$I$6:$I$475,0)</f>
        <v>451</v>
      </c>
      <c r="B457" s="29" t="s">
        <v>176</v>
      </c>
      <c r="C457" s="18">
        <v>44514</v>
      </c>
      <c r="D457" s="1" t="s">
        <v>71</v>
      </c>
      <c r="E457" s="1" t="s">
        <v>17</v>
      </c>
      <c r="F457" s="1">
        <v>24</v>
      </c>
      <c r="G457" s="1">
        <v>11</v>
      </c>
      <c r="H457" s="1">
        <v>4</v>
      </c>
      <c r="I457" s="3">
        <f>SUM(F457:H457)</f>
        <v>39</v>
      </c>
    </row>
    <row r="458" spans="1:9" x14ac:dyDescent="0.25">
      <c r="A458" s="2">
        <f>RANK(I458,$I$6:$I$475,0)</f>
        <v>451</v>
      </c>
      <c r="B458" s="29" t="s">
        <v>257</v>
      </c>
      <c r="C458" s="18">
        <v>44913</v>
      </c>
      <c r="D458" s="1" t="s">
        <v>69</v>
      </c>
      <c r="E458" s="1" t="s">
        <v>22</v>
      </c>
      <c r="F458" s="1">
        <v>20</v>
      </c>
      <c r="G458" s="1">
        <v>14</v>
      </c>
      <c r="H458" s="1">
        <v>5</v>
      </c>
      <c r="I458" s="3">
        <f>SUM(F458:H458)</f>
        <v>39</v>
      </c>
    </row>
    <row r="459" spans="1:9" x14ac:dyDescent="0.25">
      <c r="A459" s="2">
        <f>RANK(I459,$I$6:$I$475,0)</f>
        <v>451</v>
      </c>
      <c r="B459" s="1" t="s">
        <v>24</v>
      </c>
      <c r="C459" s="18">
        <v>44409</v>
      </c>
      <c r="D459" s="1" t="s">
        <v>69</v>
      </c>
      <c r="E459" s="1" t="s">
        <v>22</v>
      </c>
      <c r="F459" s="1">
        <v>22</v>
      </c>
      <c r="G459" s="1">
        <v>12</v>
      </c>
      <c r="H459" s="1">
        <v>5</v>
      </c>
      <c r="I459" s="3">
        <f>SUM(F459:H459)</f>
        <v>39</v>
      </c>
    </row>
    <row r="460" spans="1:9" x14ac:dyDescent="0.25">
      <c r="A460" s="2">
        <f>RANK(I460,$I$6:$I$475,0)</f>
        <v>455</v>
      </c>
      <c r="B460" s="1" t="s">
        <v>35</v>
      </c>
      <c r="C460" s="18">
        <v>44423</v>
      </c>
      <c r="D460" s="1" t="s">
        <v>72</v>
      </c>
      <c r="E460" s="1" t="s">
        <v>22</v>
      </c>
      <c r="F460" s="1">
        <v>22</v>
      </c>
      <c r="G460" s="1">
        <v>11</v>
      </c>
      <c r="H460" s="1">
        <v>5</v>
      </c>
      <c r="I460" s="3">
        <f>SUM(F460:H460)</f>
        <v>38</v>
      </c>
    </row>
    <row r="461" spans="1:9" x14ac:dyDescent="0.25">
      <c r="A461" s="2">
        <f>RANK(I461,$I$6:$I$475,0)</f>
        <v>456</v>
      </c>
      <c r="B461" s="1" t="s">
        <v>242</v>
      </c>
      <c r="C461" s="18">
        <v>44843</v>
      </c>
      <c r="D461" s="1" t="s">
        <v>73</v>
      </c>
      <c r="E461" s="1" t="s">
        <v>22</v>
      </c>
      <c r="F461" s="1">
        <v>20</v>
      </c>
      <c r="G461" s="1">
        <v>14</v>
      </c>
      <c r="H461" s="1">
        <v>3</v>
      </c>
      <c r="I461" s="3">
        <f>SUM(F461:H461)</f>
        <v>37</v>
      </c>
    </row>
    <row r="462" spans="1:9" x14ac:dyDescent="0.25">
      <c r="A462" s="2">
        <f>RANK(I462,$I$6:$I$475,0)</f>
        <v>456</v>
      </c>
      <c r="B462" s="29" t="s">
        <v>383</v>
      </c>
      <c r="C462" s="18">
        <v>45585</v>
      </c>
      <c r="D462" s="1" t="s">
        <v>66</v>
      </c>
      <c r="E462" s="1" t="s">
        <v>17</v>
      </c>
      <c r="F462" s="1">
        <v>21</v>
      </c>
      <c r="G462" s="1">
        <v>14</v>
      </c>
      <c r="H462" s="1">
        <v>2</v>
      </c>
      <c r="I462" s="3">
        <f>SUM(F462:H462)</f>
        <v>37</v>
      </c>
    </row>
    <row r="463" spans="1:9" x14ac:dyDescent="0.25">
      <c r="A463" s="2">
        <f>RANK(I463,$I$6:$I$475,0)</f>
        <v>458</v>
      </c>
      <c r="B463" s="1" t="s">
        <v>99</v>
      </c>
      <c r="C463" s="18">
        <v>44577</v>
      </c>
      <c r="D463" s="1" t="s">
        <v>154</v>
      </c>
      <c r="E463" s="1" t="s">
        <v>22</v>
      </c>
      <c r="F463" s="1">
        <v>19</v>
      </c>
      <c r="G463" s="1">
        <v>13</v>
      </c>
      <c r="H463" s="1">
        <v>4</v>
      </c>
      <c r="I463" s="3">
        <f>SUM(F463:H463)</f>
        <v>36</v>
      </c>
    </row>
    <row r="464" spans="1:9" x14ac:dyDescent="0.25">
      <c r="A464" s="2">
        <f>RANK(I464,$I$6:$I$475,0)</f>
        <v>458</v>
      </c>
      <c r="B464" s="1" t="s">
        <v>240</v>
      </c>
      <c r="C464" s="18">
        <v>44843</v>
      </c>
      <c r="D464" s="1" t="s">
        <v>73</v>
      </c>
      <c r="E464" s="1" t="s">
        <v>40</v>
      </c>
      <c r="F464" s="1">
        <v>19</v>
      </c>
      <c r="G464" s="1">
        <v>14</v>
      </c>
      <c r="H464" s="1">
        <v>3</v>
      </c>
      <c r="I464" s="3">
        <f>SUM(F464:H464)</f>
        <v>36</v>
      </c>
    </row>
    <row r="465" spans="1:18" x14ac:dyDescent="0.25">
      <c r="A465" s="2">
        <f>RANK(I465,$I$6:$I$475,0)</f>
        <v>458</v>
      </c>
      <c r="B465" s="1" t="s">
        <v>427</v>
      </c>
      <c r="C465" s="18">
        <v>45781</v>
      </c>
      <c r="D465" s="1" t="s">
        <v>74</v>
      </c>
      <c r="E465" s="1" t="s">
        <v>17</v>
      </c>
      <c r="F465" s="1">
        <v>18</v>
      </c>
      <c r="G465" s="1">
        <v>15</v>
      </c>
      <c r="H465" s="1">
        <v>3</v>
      </c>
      <c r="I465" s="3">
        <f>SUM(F465:H465)</f>
        <v>36</v>
      </c>
    </row>
    <row r="466" spans="1:18" x14ac:dyDescent="0.25">
      <c r="A466" s="2">
        <f>RANK(I466,$I$6:$I$475,0)</f>
        <v>458</v>
      </c>
      <c r="B466" s="29" t="s">
        <v>475</v>
      </c>
      <c r="C466" s="18">
        <v>45998</v>
      </c>
      <c r="D466" s="1" t="s">
        <v>75</v>
      </c>
      <c r="E466" s="1" t="s">
        <v>17</v>
      </c>
      <c r="F466" s="1">
        <v>19</v>
      </c>
      <c r="G466" s="1">
        <v>14</v>
      </c>
      <c r="H466" s="1">
        <v>3</v>
      </c>
      <c r="I466" s="3">
        <f>SUM(F466:H466)</f>
        <v>36</v>
      </c>
    </row>
    <row r="467" spans="1:18" x14ac:dyDescent="0.25">
      <c r="A467" s="2">
        <f>RANK(I467,$I$6:$I$475,0)</f>
        <v>462</v>
      </c>
      <c r="B467" s="1" t="s">
        <v>243</v>
      </c>
      <c r="C467" s="18">
        <v>44843</v>
      </c>
      <c r="D467" s="1" t="s">
        <v>149</v>
      </c>
      <c r="E467" s="1" t="s">
        <v>22</v>
      </c>
      <c r="F467" s="1">
        <v>19</v>
      </c>
      <c r="G467" s="1">
        <v>13</v>
      </c>
      <c r="H467" s="1">
        <v>3</v>
      </c>
      <c r="I467" s="3">
        <f>SUM(F467:H467)</f>
        <v>35</v>
      </c>
    </row>
    <row r="468" spans="1:18" x14ac:dyDescent="0.25">
      <c r="A468" s="2">
        <f>RANK(I468,$I$6:$I$475,0)</f>
        <v>462</v>
      </c>
      <c r="B468" s="1" t="s">
        <v>61</v>
      </c>
      <c r="C468" s="18">
        <v>44577</v>
      </c>
      <c r="D468" s="1" t="s">
        <v>75</v>
      </c>
      <c r="E468" s="1" t="s">
        <v>17</v>
      </c>
      <c r="F468" s="1">
        <v>19</v>
      </c>
      <c r="G468" s="1">
        <v>13</v>
      </c>
      <c r="H468" s="1">
        <v>3</v>
      </c>
      <c r="I468" s="3">
        <f>SUM(F468:H468)</f>
        <v>35</v>
      </c>
    </row>
    <row r="469" spans="1:18" x14ac:dyDescent="0.25">
      <c r="A469" s="2">
        <f>RANK(I469,$I$6:$I$475,0)</f>
        <v>464</v>
      </c>
      <c r="B469" s="1" t="s">
        <v>241</v>
      </c>
      <c r="C469" s="18">
        <v>44843</v>
      </c>
      <c r="D469" s="1" t="s">
        <v>73</v>
      </c>
      <c r="E469" s="1" t="s">
        <v>17</v>
      </c>
      <c r="F469" s="1">
        <v>16</v>
      </c>
      <c r="G469" s="1">
        <v>14</v>
      </c>
      <c r="H469" s="1">
        <v>4</v>
      </c>
      <c r="I469" s="3">
        <f>SUM(F469:H469)</f>
        <v>34</v>
      </c>
    </row>
    <row r="470" spans="1:18" x14ac:dyDescent="0.25">
      <c r="A470" s="2">
        <f>RANK(I470,$I$6:$I$475,0)</f>
        <v>464</v>
      </c>
      <c r="B470" s="1" t="s">
        <v>283</v>
      </c>
      <c r="C470" s="18">
        <v>45067</v>
      </c>
      <c r="D470" s="1" t="s">
        <v>149</v>
      </c>
      <c r="E470" s="1" t="s">
        <v>22</v>
      </c>
      <c r="F470" s="1">
        <v>17</v>
      </c>
      <c r="G470" s="1">
        <v>14</v>
      </c>
      <c r="H470" s="1">
        <v>3</v>
      </c>
      <c r="I470" s="3">
        <f>SUM(F470:H470)</f>
        <v>34</v>
      </c>
    </row>
    <row r="471" spans="1:18" x14ac:dyDescent="0.25">
      <c r="A471" s="2">
        <f>RANK(I471,$I$6:$I$475,0)</f>
        <v>466</v>
      </c>
      <c r="B471" s="1" t="s">
        <v>63</v>
      </c>
      <c r="C471" s="18">
        <v>44577</v>
      </c>
      <c r="D471" s="1" t="s">
        <v>75</v>
      </c>
      <c r="E471" s="1" t="s">
        <v>40</v>
      </c>
      <c r="F471" s="1">
        <v>17</v>
      </c>
      <c r="G471" s="1">
        <v>13</v>
      </c>
      <c r="H471" s="1">
        <v>3</v>
      </c>
      <c r="I471" s="3">
        <f>SUM(F471:H471)</f>
        <v>33</v>
      </c>
    </row>
    <row r="472" spans="1:18" x14ac:dyDescent="0.25">
      <c r="A472" s="2">
        <f>RANK(I472,$I$6:$I$475,0)</f>
        <v>467</v>
      </c>
      <c r="B472" s="1" t="s">
        <v>26</v>
      </c>
      <c r="C472" s="18">
        <v>44409</v>
      </c>
      <c r="D472" s="1" t="s">
        <v>69</v>
      </c>
      <c r="E472" s="1" t="s">
        <v>17</v>
      </c>
      <c r="F472" s="1">
        <v>15</v>
      </c>
      <c r="G472" s="1">
        <v>12</v>
      </c>
      <c r="H472" s="1">
        <v>4</v>
      </c>
      <c r="I472" s="3">
        <f>SUM(F472:H472)</f>
        <v>31</v>
      </c>
    </row>
    <row r="473" spans="1:18" x14ac:dyDescent="0.25">
      <c r="A473" s="2">
        <f>RANK(I473,$I$6:$I$475,0)</f>
        <v>468</v>
      </c>
      <c r="B473" s="1" t="s">
        <v>304</v>
      </c>
      <c r="C473" s="18">
        <v>45207</v>
      </c>
      <c r="D473" s="1" t="s">
        <v>73</v>
      </c>
      <c r="E473" s="1" t="s">
        <v>40</v>
      </c>
      <c r="F473" s="1">
        <v>14</v>
      </c>
      <c r="G473" s="1">
        <v>13</v>
      </c>
      <c r="H473" s="1">
        <v>2</v>
      </c>
      <c r="I473" s="3">
        <f>SUM(F473:H473)</f>
        <v>29</v>
      </c>
    </row>
    <row r="474" spans="1:18" x14ac:dyDescent="0.25">
      <c r="A474" s="2">
        <f>RANK(I474,$I$6:$I$475,0)</f>
        <v>468</v>
      </c>
      <c r="B474" s="1" t="s">
        <v>245</v>
      </c>
      <c r="C474" s="18">
        <v>44843</v>
      </c>
      <c r="D474" s="1" t="s">
        <v>75</v>
      </c>
      <c r="E474" s="1" t="s">
        <v>40</v>
      </c>
      <c r="F474" s="1">
        <v>14</v>
      </c>
      <c r="G474" s="1">
        <v>12</v>
      </c>
      <c r="H474" s="1">
        <v>3</v>
      </c>
      <c r="I474" s="3">
        <f>SUM(F474:H474)</f>
        <v>29</v>
      </c>
    </row>
    <row r="475" spans="1:18" ht="14.25" customHeight="1" x14ac:dyDescent="0.25">
      <c r="A475" s="2"/>
      <c r="B475" s="19" t="s">
        <v>44</v>
      </c>
      <c r="C475" s="19"/>
      <c r="D475" s="19"/>
      <c r="I475" s="3"/>
    </row>
    <row r="476" spans="1:18" x14ac:dyDescent="0.25">
      <c r="A476" s="2" t="s">
        <v>27</v>
      </c>
      <c r="B476" s="1" t="s">
        <v>28</v>
      </c>
      <c r="D476" s="1" t="s">
        <v>29</v>
      </c>
      <c r="E476" s="1" t="s">
        <v>29</v>
      </c>
      <c r="F476" s="4">
        <f>AVERAGE(F6:F475)</f>
        <v>27.004264392324092</v>
      </c>
      <c r="G476" s="4">
        <f>AVERAGE(G6:G475)</f>
        <v>17.938166311300641</v>
      </c>
      <c r="H476" s="4">
        <f>AVERAGE(H6:H475)</f>
        <v>5.6417910447761193</v>
      </c>
      <c r="I476" s="5">
        <f>SUM(F476:H476)</f>
        <v>50.584221748400857</v>
      </c>
    </row>
    <row r="477" spans="1:18" x14ac:dyDescent="0.25">
      <c r="A477" s="39" t="s">
        <v>12</v>
      </c>
      <c r="B477" s="40"/>
      <c r="C477" s="40"/>
      <c r="D477" s="40"/>
      <c r="E477" s="40"/>
      <c r="F477" s="40"/>
      <c r="G477" s="40"/>
      <c r="H477" s="40"/>
      <c r="I477" s="41"/>
      <c r="K477"/>
    </row>
    <row r="478" spans="1:18" s="14" customFormat="1" ht="30" x14ac:dyDescent="0.25">
      <c r="A478" s="10" t="s">
        <v>1</v>
      </c>
      <c r="B478" s="11" t="s">
        <v>0</v>
      </c>
      <c r="C478" s="11" t="s">
        <v>359</v>
      </c>
      <c r="D478" s="11" t="s">
        <v>65</v>
      </c>
      <c r="E478" s="11" t="s">
        <v>2</v>
      </c>
      <c r="F478" s="11" t="s">
        <v>3</v>
      </c>
      <c r="G478" s="11" t="s">
        <v>4</v>
      </c>
      <c r="H478" s="11" t="s">
        <v>5</v>
      </c>
      <c r="I478" s="22" t="s">
        <v>361</v>
      </c>
      <c r="J478" s="11"/>
      <c r="L478" s="1"/>
      <c r="M478" s="1"/>
      <c r="N478" s="1"/>
      <c r="O478" s="1"/>
      <c r="P478" s="1"/>
      <c r="Q478" s="1"/>
      <c r="R478" s="4"/>
    </row>
    <row r="479" spans="1:18" x14ac:dyDescent="0.25">
      <c r="A479" s="2">
        <f t="shared" ref="A479:A542" si="1">RANK(I479,$I$479:$I$718,0)</f>
        <v>1</v>
      </c>
      <c r="B479" s="29" t="s">
        <v>338</v>
      </c>
      <c r="C479" s="18">
        <v>45375</v>
      </c>
      <c r="D479" s="1" t="s">
        <v>149</v>
      </c>
      <c r="E479" s="1" t="s">
        <v>22</v>
      </c>
      <c r="F479" s="1">
        <v>31</v>
      </c>
      <c r="G479" s="1">
        <v>25</v>
      </c>
      <c r="H479" s="1">
        <v>8</v>
      </c>
      <c r="I479" s="3">
        <f t="shared" ref="I479:I542" si="2">SUM(F479:H479)</f>
        <v>64</v>
      </c>
    </row>
    <row r="480" spans="1:18" ht="14.25" customHeight="1" x14ac:dyDescent="0.25">
      <c r="A480" s="2">
        <f t="shared" si="1"/>
        <v>2</v>
      </c>
      <c r="B480" s="29" t="s">
        <v>85</v>
      </c>
      <c r="C480" s="18">
        <v>44171</v>
      </c>
      <c r="D480" s="1" t="s">
        <v>69</v>
      </c>
      <c r="E480" s="1" t="s">
        <v>22</v>
      </c>
      <c r="F480" s="1">
        <v>32</v>
      </c>
      <c r="G480" s="1">
        <v>22</v>
      </c>
      <c r="H480" s="1">
        <v>9</v>
      </c>
      <c r="I480" s="3">
        <f t="shared" si="2"/>
        <v>63</v>
      </c>
    </row>
    <row r="481" spans="1:18" x14ac:dyDescent="0.25">
      <c r="A481" s="2">
        <f t="shared" si="1"/>
        <v>2</v>
      </c>
      <c r="B481" s="29" t="s">
        <v>108</v>
      </c>
      <c r="C481" s="18">
        <v>43889</v>
      </c>
      <c r="D481" s="1" t="s">
        <v>69</v>
      </c>
      <c r="E481" s="1" t="s">
        <v>22</v>
      </c>
      <c r="F481" s="1">
        <v>32</v>
      </c>
      <c r="G481" s="1">
        <v>24</v>
      </c>
      <c r="H481" s="1">
        <v>7</v>
      </c>
      <c r="I481" s="3">
        <f t="shared" si="2"/>
        <v>63</v>
      </c>
    </row>
    <row r="482" spans="1:18" x14ac:dyDescent="0.25">
      <c r="A482" s="2">
        <f t="shared" si="1"/>
        <v>4</v>
      </c>
      <c r="B482" s="1" t="s">
        <v>277</v>
      </c>
      <c r="C482" s="18">
        <v>45039</v>
      </c>
      <c r="D482" s="1" t="s">
        <v>73</v>
      </c>
      <c r="E482" s="1" t="s">
        <v>22</v>
      </c>
      <c r="F482" s="1">
        <v>31</v>
      </c>
      <c r="G482" s="1">
        <v>23</v>
      </c>
      <c r="H482" s="1">
        <v>8</v>
      </c>
      <c r="I482" s="3">
        <f t="shared" si="2"/>
        <v>62</v>
      </c>
    </row>
    <row r="483" spans="1:18" x14ac:dyDescent="0.25">
      <c r="A483" s="2">
        <f t="shared" si="1"/>
        <v>5</v>
      </c>
      <c r="B483" s="1" t="s">
        <v>125</v>
      </c>
      <c r="C483" s="18">
        <v>44344</v>
      </c>
      <c r="D483" s="1" t="s">
        <v>71</v>
      </c>
      <c r="E483" s="1" t="s">
        <v>22</v>
      </c>
      <c r="F483" s="1">
        <v>31</v>
      </c>
      <c r="G483" s="1">
        <v>21</v>
      </c>
      <c r="H483" s="1">
        <v>9</v>
      </c>
      <c r="I483" s="3">
        <f t="shared" si="2"/>
        <v>61</v>
      </c>
    </row>
    <row r="484" spans="1:18" x14ac:dyDescent="0.25">
      <c r="A484" s="2">
        <f t="shared" si="1"/>
        <v>5</v>
      </c>
      <c r="B484" s="1" t="s">
        <v>194</v>
      </c>
      <c r="C484" s="18">
        <v>45235</v>
      </c>
      <c r="D484" s="1" t="s">
        <v>236</v>
      </c>
      <c r="E484" s="1" t="s">
        <v>22</v>
      </c>
      <c r="F484" s="1">
        <v>32</v>
      </c>
      <c r="G484" s="1">
        <v>21</v>
      </c>
      <c r="H484" s="1">
        <v>8</v>
      </c>
      <c r="I484" s="3">
        <f t="shared" si="2"/>
        <v>61</v>
      </c>
    </row>
    <row r="485" spans="1:18" x14ac:dyDescent="0.25">
      <c r="A485" s="2">
        <f t="shared" si="1"/>
        <v>5</v>
      </c>
      <c r="B485" s="29" t="s">
        <v>389</v>
      </c>
      <c r="C485" s="18">
        <v>45620</v>
      </c>
      <c r="D485" s="1" t="s">
        <v>378</v>
      </c>
      <c r="E485" s="1" t="s">
        <v>22</v>
      </c>
      <c r="F485" s="1">
        <v>31</v>
      </c>
      <c r="G485" s="1">
        <v>23</v>
      </c>
      <c r="H485" s="1">
        <v>7</v>
      </c>
      <c r="I485" s="3">
        <f t="shared" si="2"/>
        <v>61</v>
      </c>
    </row>
    <row r="486" spans="1:18" x14ac:dyDescent="0.25">
      <c r="A486" s="2">
        <f t="shared" si="1"/>
        <v>5</v>
      </c>
      <c r="B486" s="29" t="s">
        <v>426</v>
      </c>
      <c r="C486" s="18">
        <v>45774</v>
      </c>
      <c r="D486" s="1" t="s">
        <v>470</v>
      </c>
      <c r="E486" s="1" t="s">
        <v>22</v>
      </c>
      <c r="F486" s="1">
        <v>33</v>
      </c>
      <c r="G486" s="1">
        <v>18</v>
      </c>
      <c r="H486" s="1">
        <v>10</v>
      </c>
      <c r="I486" s="3">
        <f t="shared" si="2"/>
        <v>61</v>
      </c>
      <c r="L486"/>
      <c r="M486"/>
      <c r="N486"/>
      <c r="O486"/>
      <c r="P486"/>
      <c r="Q486"/>
      <c r="R486"/>
    </row>
    <row r="487" spans="1:18" x14ac:dyDescent="0.25">
      <c r="A487" s="2">
        <f t="shared" si="1"/>
        <v>5</v>
      </c>
      <c r="B487" s="29" t="s">
        <v>436</v>
      </c>
      <c r="C487" s="18">
        <v>45809</v>
      </c>
      <c r="D487" s="1" t="s">
        <v>71</v>
      </c>
      <c r="E487" s="1" t="s">
        <v>22</v>
      </c>
      <c r="F487" s="1">
        <v>31</v>
      </c>
      <c r="G487" s="1">
        <v>21</v>
      </c>
      <c r="H487" s="1">
        <v>9</v>
      </c>
      <c r="I487" s="3">
        <f t="shared" si="2"/>
        <v>61</v>
      </c>
      <c r="L487" s="14"/>
      <c r="M487" s="14"/>
      <c r="N487" s="14"/>
      <c r="O487" s="14"/>
      <c r="P487" s="14"/>
      <c r="Q487" s="14"/>
      <c r="R487" s="14"/>
    </row>
    <row r="488" spans="1:18" x14ac:dyDescent="0.25">
      <c r="A488" s="2">
        <f t="shared" si="1"/>
        <v>5</v>
      </c>
      <c r="B488" s="29" t="s">
        <v>446</v>
      </c>
      <c r="C488" s="18">
        <v>45851</v>
      </c>
      <c r="D488" s="1" t="s">
        <v>377</v>
      </c>
      <c r="E488" s="1" t="s">
        <v>22</v>
      </c>
      <c r="F488" s="1">
        <v>32</v>
      </c>
      <c r="G488" s="1">
        <v>21</v>
      </c>
      <c r="H488" s="1">
        <v>8</v>
      </c>
      <c r="I488" s="3">
        <f t="shared" si="2"/>
        <v>61</v>
      </c>
    </row>
    <row r="489" spans="1:18" x14ac:dyDescent="0.25">
      <c r="A489" s="2">
        <f t="shared" si="1"/>
        <v>5</v>
      </c>
      <c r="B489" s="29" t="s">
        <v>507</v>
      </c>
      <c r="C489" s="18">
        <v>46131</v>
      </c>
      <c r="D489" s="1" t="s">
        <v>266</v>
      </c>
      <c r="E489" s="1" t="s">
        <v>22</v>
      </c>
      <c r="F489" s="1">
        <v>31</v>
      </c>
      <c r="G489" s="1">
        <v>22</v>
      </c>
      <c r="H489" s="1">
        <v>8</v>
      </c>
      <c r="I489" s="3">
        <f t="shared" si="2"/>
        <v>61</v>
      </c>
    </row>
    <row r="490" spans="1:18" x14ac:dyDescent="0.25">
      <c r="A490" s="2">
        <f t="shared" si="1"/>
        <v>5</v>
      </c>
      <c r="B490" s="29" t="s">
        <v>534</v>
      </c>
      <c r="C490" s="18">
        <v>46292</v>
      </c>
      <c r="D490" s="1" t="s">
        <v>378</v>
      </c>
      <c r="E490" s="1" t="s">
        <v>22</v>
      </c>
      <c r="F490" s="1">
        <v>30</v>
      </c>
      <c r="G490" s="1">
        <v>24</v>
      </c>
      <c r="H490" s="1">
        <v>7</v>
      </c>
      <c r="I490" s="3">
        <f t="shared" si="2"/>
        <v>61</v>
      </c>
    </row>
    <row r="491" spans="1:18" x14ac:dyDescent="0.25">
      <c r="A491" s="2">
        <f t="shared" si="1"/>
        <v>13</v>
      </c>
      <c r="B491" s="29" t="s">
        <v>352</v>
      </c>
      <c r="C491" s="18">
        <v>45466</v>
      </c>
      <c r="D491" s="1" t="s">
        <v>154</v>
      </c>
      <c r="E491" s="1" t="s">
        <v>22</v>
      </c>
      <c r="F491" s="1">
        <v>31</v>
      </c>
      <c r="G491" s="1">
        <v>20</v>
      </c>
      <c r="H491" s="1">
        <v>9</v>
      </c>
      <c r="I491" s="3">
        <f t="shared" si="2"/>
        <v>60</v>
      </c>
    </row>
    <row r="492" spans="1:18" x14ac:dyDescent="0.25">
      <c r="A492" s="2">
        <f t="shared" si="1"/>
        <v>13</v>
      </c>
      <c r="B492" s="29" t="s">
        <v>346</v>
      </c>
      <c r="C492" s="18">
        <v>45424</v>
      </c>
      <c r="D492" s="1" t="s">
        <v>378</v>
      </c>
      <c r="E492" s="1" t="s">
        <v>22</v>
      </c>
      <c r="F492" s="1">
        <v>30</v>
      </c>
      <c r="G492" s="1">
        <v>23</v>
      </c>
      <c r="H492" s="1">
        <v>7</v>
      </c>
      <c r="I492" s="3">
        <f t="shared" si="2"/>
        <v>60</v>
      </c>
    </row>
    <row r="493" spans="1:18" x14ac:dyDescent="0.25">
      <c r="A493" s="2">
        <f t="shared" si="1"/>
        <v>13</v>
      </c>
      <c r="B493" s="1" t="s">
        <v>317</v>
      </c>
      <c r="C493" s="18">
        <v>45263</v>
      </c>
      <c r="D493" s="1" t="s">
        <v>379</v>
      </c>
      <c r="E493" s="1" t="s">
        <v>22</v>
      </c>
      <c r="F493" s="1">
        <v>29</v>
      </c>
      <c r="G493" s="1">
        <v>24</v>
      </c>
      <c r="H493" s="1">
        <v>7</v>
      </c>
      <c r="I493" s="3">
        <f t="shared" si="2"/>
        <v>60</v>
      </c>
    </row>
    <row r="494" spans="1:18" x14ac:dyDescent="0.25">
      <c r="A494" s="2">
        <f t="shared" si="1"/>
        <v>13</v>
      </c>
      <c r="B494" s="29" t="s">
        <v>366</v>
      </c>
      <c r="C494" s="18">
        <v>45536</v>
      </c>
      <c r="D494" s="1" t="s">
        <v>379</v>
      </c>
      <c r="E494" s="1" t="s">
        <v>22</v>
      </c>
      <c r="F494" s="1">
        <v>30</v>
      </c>
      <c r="G494" s="1">
        <v>23</v>
      </c>
      <c r="H494" s="1">
        <v>7</v>
      </c>
      <c r="I494" s="3">
        <f t="shared" si="2"/>
        <v>60</v>
      </c>
    </row>
    <row r="495" spans="1:18" x14ac:dyDescent="0.25">
      <c r="A495" s="2">
        <f t="shared" si="1"/>
        <v>13</v>
      </c>
      <c r="B495" s="1" t="s">
        <v>380</v>
      </c>
      <c r="C495" s="18">
        <v>45578</v>
      </c>
      <c r="D495" s="1" t="s">
        <v>377</v>
      </c>
      <c r="E495" s="1" t="s">
        <v>22</v>
      </c>
      <c r="F495" s="1">
        <v>29</v>
      </c>
      <c r="G495" s="1">
        <v>25</v>
      </c>
      <c r="H495" s="1">
        <v>6</v>
      </c>
      <c r="I495" s="3">
        <f t="shared" si="2"/>
        <v>60</v>
      </c>
    </row>
    <row r="496" spans="1:18" x14ac:dyDescent="0.25">
      <c r="A496" s="2">
        <f t="shared" si="1"/>
        <v>13</v>
      </c>
      <c r="B496" s="1" t="s">
        <v>385</v>
      </c>
      <c r="C496" s="18">
        <v>45613</v>
      </c>
      <c r="D496" s="1" t="s">
        <v>378</v>
      </c>
      <c r="E496" s="1" t="s">
        <v>22</v>
      </c>
      <c r="F496" s="1">
        <v>30</v>
      </c>
      <c r="G496" s="1">
        <v>22</v>
      </c>
      <c r="H496" s="1">
        <v>8</v>
      </c>
      <c r="I496" s="3">
        <f t="shared" si="2"/>
        <v>60</v>
      </c>
    </row>
    <row r="497" spans="1:9" x14ac:dyDescent="0.25">
      <c r="A497" s="2">
        <f t="shared" si="1"/>
        <v>13</v>
      </c>
      <c r="B497" s="1" t="s">
        <v>416</v>
      </c>
      <c r="C497" s="18">
        <v>45732</v>
      </c>
      <c r="D497" s="1" t="s">
        <v>308</v>
      </c>
      <c r="E497" s="1" t="s">
        <v>22</v>
      </c>
      <c r="F497" s="1">
        <v>29</v>
      </c>
      <c r="G497" s="1">
        <v>23</v>
      </c>
      <c r="H497" s="1">
        <v>8</v>
      </c>
      <c r="I497" s="3">
        <f t="shared" si="2"/>
        <v>60</v>
      </c>
    </row>
    <row r="498" spans="1:9" x14ac:dyDescent="0.25">
      <c r="A498" s="2">
        <f t="shared" si="1"/>
        <v>13</v>
      </c>
      <c r="B498" s="1" t="s">
        <v>523</v>
      </c>
      <c r="C498" s="18">
        <v>46229</v>
      </c>
      <c r="D498" s="1" t="s">
        <v>75</v>
      </c>
      <c r="E498" s="1" t="s">
        <v>22</v>
      </c>
      <c r="F498" s="1">
        <v>32</v>
      </c>
      <c r="G498" s="1">
        <v>21</v>
      </c>
      <c r="H498" s="1">
        <v>7</v>
      </c>
      <c r="I498" s="3">
        <f t="shared" si="2"/>
        <v>60</v>
      </c>
    </row>
    <row r="499" spans="1:9" x14ac:dyDescent="0.25">
      <c r="A499" s="2">
        <f t="shared" si="1"/>
        <v>21</v>
      </c>
      <c r="B499" s="29" t="s">
        <v>297</v>
      </c>
      <c r="C499" s="18">
        <v>45144</v>
      </c>
      <c r="D499" s="1" t="s">
        <v>71</v>
      </c>
      <c r="E499" s="1" t="s">
        <v>22</v>
      </c>
      <c r="F499" s="1">
        <v>31</v>
      </c>
      <c r="G499" s="1">
        <v>21</v>
      </c>
      <c r="H499" s="1">
        <v>7</v>
      </c>
      <c r="I499" s="3">
        <f t="shared" si="2"/>
        <v>59</v>
      </c>
    </row>
    <row r="500" spans="1:9" x14ac:dyDescent="0.25">
      <c r="A500" s="2">
        <f t="shared" si="1"/>
        <v>21</v>
      </c>
      <c r="B500" s="29" t="s">
        <v>239</v>
      </c>
      <c r="C500" s="18">
        <v>44836</v>
      </c>
      <c r="D500" s="1" t="s">
        <v>184</v>
      </c>
      <c r="E500" s="1" t="s">
        <v>22</v>
      </c>
      <c r="F500" s="1">
        <v>32</v>
      </c>
      <c r="G500" s="1">
        <v>20</v>
      </c>
      <c r="H500" s="1">
        <v>7</v>
      </c>
      <c r="I500" s="3">
        <f t="shared" si="2"/>
        <v>59</v>
      </c>
    </row>
    <row r="501" spans="1:9" x14ac:dyDescent="0.25">
      <c r="A501" s="2">
        <f t="shared" si="1"/>
        <v>21</v>
      </c>
      <c r="B501" s="29" t="s">
        <v>384</v>
      </c>
      <c r="C501" s="18">
        <v>45606</v>
      </c>
      <c r="D501" s="1" t="s">
        <v>377</v>
      </c>
      <c r="E501" s="1" t="s">
        <v>22</v>
      </c>
      <c r="F501" s="1">
        <v>30</v>
      </c>
      <c r="G501" s="1">
        <v>21</v>
      </c>
      <c r="H501" s="1">
        <v>8</v>
      </c>
      <c r="I501" s="3">
        <f t="shared" si="2"/>
        <v>59</v>
      </c>
    </row>
    <row r="502" spans="1:9" x14ac:dyDescent="0.25">
      <c r="A502" s="2">
        <f t="shared" si="1"/>
        <v>21</v>
      </c>
      <c r="B502" s="1" t="s">
        <v>413</v>
      </c>
      <c r="C502" s="18">
        <v>45718</v>
      </c>
      <c r="D502" s="1" t="s">
        <v>378</v>
      </c>
      <c r="E502" s="1" t="s">
        <v>22</v>
      </c>
      <c r="F502" s="1">
        <v>29</v>
      </c>
      <c r="G502" s="1">
        <v>23</v>
      </c>
      <c r="H502" s="1">
        <v>7</v>
      </c>
      <c r="I502" s="3">
        <f t="shared" si="2"/>
        <v>59</v>
      </c>
    </row>
    <row r="503" spans="1:9" x14ac:dyDescent="0.25">
      <c r="A503" s="2">
        <f t="shared" si="1"/>
        <v>21</v>
      </c>
      <c r="B503" s="1" t="s">
        <v>482</v>
      </c>
      <c r="C503" s="18">
        <v>46033</v>
      </c>
      <c r="D503" s="1" t="s">
        <v>483</v>
      </c>
      <c r="E503" s="1" t="s">
        <v>22</v>
      </c>
      <c r="F503" s="1">
        <v>28</v>
      </c>
      <c r="G503" s="1">
        <v>24</v>
      </c>
      <c r="H503" s="1">
        <v>7</v>
      </c>
      <c r="I503" s="3">
        <f t="shared" si="2"/>
        <v>59</v>
      </c>
    </row>
    <row r="504" spans="1:9" x14ac:dyDescent="0.25">
      <c r="A504" s="2">
        <f t="shared" si="1"/>
        <v>21</v>
      </c>
      <c r="B504" s="1" t="s">
        <v>510</v>
      </c>
      <c r="C504" s="18">
        <v>46138</v>
      </c>
      <c r="D504" s="1" t="s">
        <v>377</v>
      </c>
      <c r="E504" s="1" t="s">
        <v>22</v>
      </c>
      <c r="F504" s="1">
        <v>29</v>
      </c>
      <c r="G504" s="1">
        <v>23</v>
      </c>
      <c r="H504" s="1">
        <v>7</v>
      </c>
      <c r="I504" s="3">
        <f t="shared" si="2"/>
        <v>59</v>
      </c>
    </row>
    <row r="505" spans="1:9" x14ac:dyDescent="0.25">
      <c r="A505" s="2">
        <f t="shared" si="1"/>
        <v>21</v>
      </c>
      <c r="B505" s="29" t="s">
        <v>514</v>
      </c>
      <c r="C505" s="18">
        <v>46180</v>
      </c>
      <c r="D505" s="1" t="s">
        <v>149</v>
      </c>
      <c r="E505" s="1" t="s">
        <v>22</v>
      </c>
      <c r="F505" s="1">
        <v>30</v>
      </c>
      <c r="G505" s="1">
        <v>22</v>
      </c>
      <c r="H505" s="1">
        <v>7</v>
      </c>
      <c r="I505" s="3">
        <f t="shared" si="2"/>
        <v>59</v>
      </c>
    </row>
    <row r="506" spans="1:9" x14ac:dyDescent="0.25">
      <c r="A506" s="2">
        <f t="shared" si="1"/>
        <v>28</v>
      </c>
      <c r="B506" s="29" t="s">
        <v>56</v>
      </c>
      <c r="C506" s="18">
        <v>44142</v>
      </c>
      <c r="D506" s="1" t="s">
        <v>67</v>
      </c>
      <c r="E506" s="1" t="s">
        <v>22</v>
      </c>
      <c r="F506" s="1">
        <v>29</v>
      </c>
      <c r="G506" s="1">
        <v>21</v>
      </c>
      <c r="H506" s="1">
        <v>8</v>
      </c>
      <c r="I506" s="3">
        <f t="shared" si="2"/>
        <v>58</v>
      </c>
    </row>
    <row r="507" spans="1:9" x14ac:dyDescent="0.25">
      <c r="A507" s="2">
        <f t="shared" si="1"/>
        <v>28</v>
      </c>
      <c r="B507" s="29" t="s">
        <v>272</v>
      </c>
      <c r="C507" s="18">
        <v>45004</v>
      </c>
      <c r="D507" s="1" t="s">
        <v>236</v>
      </c>
      <c r="E507" s="1" t="s">
        <v>22</v>
      </c>
      <c r="F507" s="1">
        <v>31</v>
      </c>
      <c r="G507" s="1">
        <v>19</v>
      </c>
      <c r="H507" s="1">
        <v>8</v>
      </c>
      <c r="I507" s="3">
        <f t="shared" si="2"/>
        <v>58</v>
      </c>
    </row>
    <row r="508" spans="1:9" x14ac:dyDescent="0.25">
      <c r="A508" s="2">
        <f t="shared" si="1"/>
        <v>28</v>
      </c>
      <c r="B508" s="1" t="s">
        <v>321</v>
      </c>
      <c r="C508" s="18">
        <v>45291</v>
      </c>
      <c r="D508" s="1" t="s">
        <v>307</v>
      </c>
      <c r="E508" s="1" t="s">
        <v>22</v>
      </c>
      <c r="F508" s="1">
        <v>29</v>
      </c>
      <c r="G508" s="1">
        <v>22</v>
      </c>
      <c r="H508" s="1">
        <v>7</v>
      </c>
      <c r="I508" s="3">
        <f t="shared" si="2"/>
        <v>58</v>
      </c>
    </row>
    <row r="509" spans="1:9" x14ac:dyDescent="0.25">
      <c r="A509" s="2">
        <f t="shared" si="1"/>
        <v>28</v>
      </c>
      <c r="B509" s="29" t="s">
        <v>95</v>
      </c>
      <c r="C509" s="18">
        <v>44226</v>
      </c>
      <c r="D509" s="1" t="s">
        <v>74</v>
      </c>
      <c r="E509" s="1" t="s">
        <v>22</v>
      </c>
      <c r="F509" s="1">
        <v>30</v>
      </c>
      <c r="G509" s="1">
        <v>20</v>
      </c>
      <c r="H509" s="1">
        <v>8</v>
      </c>
      <c r="I509" s="3">
        <f t="shared" si="2"/>
        <v>58</v>
      </c>
    </row>
    <row r="510" spans="1:9" x14ac:dyDescent="0.25">
      <c r="A510" s="2">
        <f t="shared" si="1"/>
        <v>28</v>
      </c>
      <c r="B510" s="29" t="s">
        <v>300</v>
      </c>
      <c r="C510" s="18">
        <v>45186</v>
      </c>
      <c r="D510" s="1" t="s">
        <v>149</v>
      </c>
      <c r="E510" s="1" t="s">
        <v>22</v>
      </c>
      <c r="F510" s="1">
        <v>30</v>
      </c>
      <c r="G510" s="1">
        <v>19</v>
      </c>
      <c r="H510" s="1">
        <v>9</v>
      </c>
      <c r="I510" s="3">
        <f t="shared" si="2"/>
        <v>58</v>
      </c>
    </row>
    <row r="511" spans="1:9" x14ac:dyDescent="0.25">
      <c r="A511" s="2">
        <f t="shared" si="1"/>
        <v>28</v>
      </c>
      <c r="B511" s="1" t="s">
        <v>392</v>
      </c>
      <c r="C511" s="18">
        <v>45641</v>
      </c>
      <c r="D511" s="1" t="s">
        <v>368</v>
      </c>
      <c r="E511" s="1" t="s">
        <v>22</v>
      </c>
      <c r="F511" s="1">
        <v>28</v>
      </c>
      <c r="G511" s="1">
        <v>24</v>
      </c>
      <c r="H511" s="1">
        <v>6</v>
      </c>
      <c r="I511" s="3">
        <f t="shared" si="2"/>
        <v>58</v>
      </c>
    </row>
    <row r="512" spans="1:9" x14ac:dyDescent="0.25">
      <c r="A512" s="2">
        <f t="shared" si="1"/>
        <v>28</v>
      </c>
      <c r="B512" s="1" t="s">
        <v>444</v>
      </c>
      <c r="C512" s="18">
        <v>45844</v>
      </c>
      <c r="D512" s="1" t="s">
        <v>68</v>
      </c>
      <c r="E512" s="1" t="s">
        <v>22</v>
      </c>
      <c r="F512" s="1">
        <v>28</v>
      </c>
      <c r="G512" s="1">
        <v>24</v>
      </c>
      <c r="H512" s="1">
        <v>6</v>
      </c>
      <c r="I512" s="3">
        <f t="shared" si="2"/>
        <v>58</v>
      </c>
    </row>
    <row r="513" spans="1:9" x14ac:dyDescent="0.25">
      <c r="A513" s="2">
        <f t="shared" si="1"/>
        <v>28</v>
      </c>
      <c r="B513" s="29" t="s">
        <v>452</v>
      </c>
      <c r="C513" s="18">
        <v>45879</v>
      </c>
      <c r="D513" s="1" t="s">
        <v>149</v>
      </c>
      <c r="E513" s="1" t="s">
        <v>22</v>
      </c>
      <c r="F513" s="1">
        <v>28</v>
      </c>
      <c r="G513" s="1">
        <v>24</v>
      </c>
      <c r="H513" s="1">
        <v>6</v>
      </c>
      <c r="I513" s="3">
        <f t="shared" si="2"/>
        <v>58</v>
      </c>
    </row>
    <row r="514" spans="1:9" x14ac:dyDescent="0.25">
      <c r="A514" s="2">
        <f t="shared" si="1"/>
        <v>28</v>
      </c>
      <c r="B514" s="1" t="s">
        <v>454</v>
      </c>
      <c r="C514" s="18">
        <v>45886</v>
      </c>
      <c r="D514" s="1" t="s">
        <v>377</v>
      </c>
      <c r="E514" s="1" t="s">
        <v>22</v>
      </c>
      <c r="F514" s="1">
        <v>30</v>
      </c>
      <c r="G514" s="1">
        <v>22</v>
      </c>
      <c r="H514" s="1">
        <v>6</v>
      </c>
      <c r="I514" s="3">
        <f t="shared" si="2"/>
        <v>58</v>
      </c>
    </row>
    <row r="515" spans="1:9" x14ac:dyDescent="0.25">
      <c r="A515" s="2">
        <f t="shared" si="1"/>
        <v>28</v>
      </c>
      <c r="B515" s="1" t="s">
        <v>508</v>
      </c>
      <c r="C515" s="18">
        <v>46138</v>
      </c>
      <c r="D515" s="1" t="s">
        <v>483</v>
      </c>
      <c r="E515" s="1" t="s">
        <v>22</v>
      </c>
      <c r="F515" s="1">
        <v>29</v>
      </c>
      <c r="G515" s="1">
        <v>22</v>
      </c>
      <c r="H515" s="1">
        <v>7</v>
      </c>
      <c r="I515" s="3">
        <f t="shared" si="2"/>
        <v>58</v>
      </c>
    </row>
    <row r="516" spans="1:9" x14ac:dyDescent="0.25">
      <c r="A516" s="2">
        <f t="shared" si="1"/>
        <v>28</v>
      </c>
      <c r="B516" s="1" t="s">
        <v>520</v>
      </c>
      <c r="C516" s="18">
        <v>46215</v>
      </c>
      <c r="D516" s="1" t="s">
        <v>483</v>
      </c>
      <c r="E516" s="1" t="s">
        <v>22</v>
      </c>
      <c r="F516" s="1">
        <v>28</v>
      </c>
      <c r="G516" s="1">
        <v>24</v>
      </c>
      <c r="H516" s="1">
        <v>6</v>
      </c>
      <c r="I516" s="3">
        <f t="shared" si="2"/>
        <v>58</v>
      </c>
    </row>
    <row r="517" spans="1:9" x14ac:dyDescent="0.25">
      <c r="A517" s="2">
        <f t="shared" si="1"/>
        <v>39</v>
      </c>
      <c r="B517" s="29" t="s">
        <v>185</v>
      </c>
      <c r="C517" s="18">
        <v>44570</v>
      </c>
      <c r="D517" s="1" t="s">
        <v>184</v>
      </c>
      <c r="E517" s="1" t="s">
        <v>22</v>
      </c>
      <c r="F517" s="1">
        <v>29</v>
      </c>
      <c r="G517" s="1">
        <v>20</v>
      </c>
      <c r="H517" s="1">
        <v>8</v>
      </c>
      <c r="I517" s="3">
        <f t="shared" si="2"/>
        <v>57</v>
      </c>
    </row>
    <row r="518" spans="1:9" x14ac:dyDescent="0.25">
      <c r="A518" s="2">
        <f t="shared" si="1"/>
        <v>39</v>
      </c>
      <c r="B518" s="29" t="s">
        <v>86</v>
      </c>
      <c r="C518" s="18">
        <v>44185</v>
      </c>
      <c r="D518" s="1" t="s">
        <v>69</v>
      </c>
      <c r="E518" s="1" t="s">
        <v>22</v>
      </c>
      <c r="F518" s="1">
        <v>29</v>
      </c>
      <c r="G518" s="1">
        <v>22</v>
      </c>
      <c r="H518" s="1">
        <v>6</v>
      </c>
      <c r="I518" s="3">
        <f t="shared" si="2"/>
        <v>57</v>
      </c>
    </row>
    <row r="519" spans="1:9" x14ac:dyDescent="0.25">
      <c r="A519" s="2">
        <f t="shared" si="1"/>
        <v>39</v>
      </c>
      <c r="B519" s="1" t="s">
        <v>222</v>
      </c>
      <c r="C519" s="18">
        <v>44745</v>
      </c>
      <c r="D519" s="1" t="s">
        <v>71</v>
      </c>
      <c r="E519" s="1" t="s">
        <v>22</v>
      </c>
      <c r="F519" s="1">
        <v>29</v>
      </c>
      <c r="G519" s="1">
        <v>22</v>
      </c>
      <c r="H519" s="1">
        <v>6</v>
      </c>
      <c r="I519" s="3">
        <f t="shared" si="2"/>
        <v>57</v>
      </c>
    </row>
    <row r="520" spans="1:9" x14ac:dyDescent="0.25">
      <c r="A520" s="2">
        <f t="shared" si="1"/>
        <v>39</v>
      </c>
      <c r="B520" s="1" t="s">
        <v>422</v>
      </c>
      <c r="C520" s="18">
        <v>45753</v>
      </c>
      <c r="D520" s="1" t="s">
        <v>73</v>
      </c>
      <c r="E520" s="1" t="s">
        <v>22</v>
      </c>
      <c r="F520" s="1">
        <v>29</v>
      </c>
      <c r="G520" s="1">
        <v>21</v>
      </c>
      <c r="H520" s="1">
        <v>7</v>
      </c>
      <c r="I520" s="3">
        <f t="shared" si="2"/>
        <v>57</v>
      </c>
    </row>
    <row r="521" spans="1:9" x14ac:dyDescent="0.25">
      <c r="A521" s="2">
        <f t="shared" si="1"/>
        <v>39</v>
      </c>
      <c r="B521" s="1" t="s">
        <v>437</v>
      </c>
      <c r="C521" s="18">
        <v>45816</v>
      </c>
      <c r="D521" s="1" t="s">
        <v>378</v>
      </c>
      <c r="E521" s="1" t="s">
        <v>22</v>
      </c>
      <c r="F521" s="1">
        <v>28</v>
      </c>
      <c r="G521" s="1">
        <v>23</v>
      </c>
      <c r="H521" s="1">
        <v>6</v>
      </c>
      <c r="I521" s="3">
        <f t="shared" si="2"/>
        <v>57</v>
      </c>
    </row>
    <row r="522" spans="1:9" x14ac:dyDescent="0.25">
      <c r="A522" s="2">
        <f t="shared" si="1"/>
        <v>39</v>
      </c>
      <c r="B522" s="1" t="s">
        <v>448</v>
      </c>
      <c r="C522" s="18">
        <v>45858</v>
      </c>
      <c r="D522" s="1" t="s">
        <v>368</v>
      </c>
      <c r="E522" s="1" t="s">
        <v>22</v>
      </c>
      <c r="F522" s="1">
        <v>29</v>
      </c>
      <c r="G522" s="1">
        <v>24</v>
      </c>
      <c r="H522" s="1">
        <v>4</v>
      </c>
      <c r="I522" s="3">
        <f t="shared" si="2"/>
        <v>57</v>
      </c>
    </row>
    <row r="523" spans="1:9" x14ac:dyDescent="0.25">
      <c r="A523" s="2">
        <f t="shared" si="1"/>
        <v>39</v>
      </c>
      <c r="B523" s="1" t="s">
        <v>460</v>
      </c>
      <c r="C523" s="18">
        <v>45921</v>
      </c>
      <c r="D523" s="1" t="s">
        <v>69</v>
      </c>
      <c r="E523" s="1" t="s">
        <v>22</v>
      </c>
      <c r="F523" s="1">
        <v>27</v>
      </c>
      <c r="G523" s="1">
        <v>22</v>
      </c>
      <c r="H523" s="1">
        <v>8</v>
      </c>
      <c r="I523" s="3">
        <f t="shared" si="2"/>
        <v>57</v>
      </c>
    </row>
    <row r="524" spans="1:9" x14ac:dyDescent="0.25">
      <c r="A524" s="2">
        <f t="shared" si="1"/>
        <v>39</v>
      </c>
      <c r="B524" s="1" t="s">
        <v>476</v>
      </c>
      <c r="C524" s="18">
        <v>46005</v>
      </c>
      <c r="D524" s="1" t="s">
        <v>75</v>
      </c>
      <c r="E524" s="1" t="s">
        <v>22</v>
      </c>
      <c r="F524" s="1">
        <v>30</v>
      </c>
      <c r="G524" s="1">
        <v>21</v>
      </c>
      <c r="H524" s="1">
        <v>6</v>
      </c>
      <c r="I524" s="3">
        <f t="shared" si="2"/>
        <v>57</v>
      </c>
    </row>
    <row r="525" spans="1:9" x14ac:dyDescent="0.25">
      <c r="A525" s="2">
        <f t="shared" si="1"/>
        <v>39</v>
      </c>
      <c r="B525" s="29" t="s">
        <v>486</v>
      </c>
      <c r="C525" s="18">
        <v>46054</v>
      </c>
      <c r="D525" s="1" t="s">
        <v>71</v>
      </c>
      <c r="E525" s="1" t="s">
        <v>22</v>
      </c>
      <c r="F525" s="1">
        <v>30</v>
      </c>
      <c r="G525" s="1">
        <v>19</v>
      </c>
      <c r="H525" s="1">
        <v>8</v>
      </c>
      <c r="I525" s="3">
        <f t="shared" si="2"/>
        <v>57</v>
      </c>
    </row>
    <row r="526" spans="1:9" x14ac:dyDescent="0.25">
      <c r="A526" s="2">
        <f t="shared" si="1"/>
        <v>48</v>
      </c>
      <c r="B526" s="29" t="s">
        <v>210</v>
      </c>
      <c r="C526" s="18">
        <v>44696</v>
      </c>
      <c r="D526" s="1" t="s">
        <v>73</v>
      </c>
      <c r="E526" s="1" t="s">
        <v>22</v>
      </c>
      <c r="F526" s="1">
        <v>29</v>
      </c>
      <c r="G526" s="1">
        <v>22</v>
      </c>
      <c r="H526" s="1">
        <v>5</v>
      </c>
      <c r="I526" s="3">
        <f t="shared" si="2"/>
        <v>56</v>
      </c>
    </row>
    <row r="527" spans="1:9" x14ac:dyDescent="0.25">
      <c r="A527" s="2">
        <f t="shared" si="1"/>
        <v>48</v>
      </c>
      <c r="B527" s="29" t="s">
        <v>188</v>
      </c>
      <c r="C527" s="18">
        <v>44584</v>
      </c>
      <c r="D527" s="1" t="s">
        <v>71</v>
      </c>
      <c r="E527" s="1" t="s">
        <v>22</v>
      </c>
      <c r="F527" s="1">
        <v>30</v>
      </c>
      <c r="G527" s="1">
        <v>19</v>
      </c>
      <c r="H527" s="1">
        <v>7</v>
      </c>
      <c r="I527" s="3">
        <f t="shared" si="2"/>
        <v>56</v>
      </c>
    </row>
    <row r="528" spans="1:9" x14ac:dyDescent="0.25">
      <c r="A528" s="2">
        <f t="shared" si="1"/>
        <v>48</v>
      </c>
      <c r="B528" s="29" t="s">
        <v>200</v>
      </c>
      <c r="C528" s="18">
        <v>44633</v>
      </c>
      <c r="D528" s="1" t="s">
        <v>68</v>
      </c>
      <c r="E528" s="1" t="s">
        <v>22</v>
      </c>
      <c r="F528" s="1">
        <v>30</v>
      </c>
      <c r="G528" s="1">
        <v>18</v>
      </c>
      <c r="H528" s="1">
        <v>8</v>
      </c>
      <c r="I528" s="3">
        <f t="shared" si="2"/>
        <v>56</v>
      </c>
    </row>
    <row r="529" spans="1:9" x14ac:dyDescent="0.25">
      <c r="A529" s="2">
        <f t="shared" si="1"/>
        <v>48</v>
      </c>
      <c r="B529" s="29" t="s">
        <v>87</v>
      </c>
      <c r="C529" s="18">
        <v>43832</v>
      </c>
      <c r="D529" s="1" t="s">
        <v>69</v>
      </c>
      <c r="E529" s="1" t="s">
        <v>22</v>
      </c>
      <c r="F529" s="1">
        <v>29</v>
      </c>
      <c r="G529" s="1">
        <v>20</v>
      </c>
      <c r="H529" s="1">
        <v>7</v>
      </c>
      <c r="I529" s="3">
        <f t="shared" si="2"/>
        <v>56</v>
      </c>
    </row>
    <row r="530" spans="1:9" x14ac:dyDescent="0.25">
      <c r="A530" s="2">
        <f t="shared" si="1"/>
        <v>48</v>
      </c>
      <c r="B530" s="1" t="s">
        <v>139</v>
      </c>
      <c r="C530" s="18">
        <v>44409</v>
      </c>
      <c r="D530" s="1" t="s">
        <v>69</v>
      </c>
      <c r="E530" s="1" t="s">
        <v>22</v>
      </c>
      <c r="F530" s="1">
        <v>30</v>
      </c>
      <c r="G530" s="1">
        <v>21</v>
      </c>
      <c r="H530" s="1">
        <v>5</v>
      </c>
      <c r="I530" s="3">
        <f t="shared" si="2"/>
        <v>56</v>
      </c>
    </row>
    <row r="531" spans="1:9" x14ac:dyDescent="0.25">
      <c r="A531" s="2">
        <f t="shared" si="1"/>
        <v>48</v>
      </c>
      <c r="B531" s="1" t="s">
        <v>375</v>
      </c>
      <c r="C531" s="18">
        <v>45557</v>
      </c>
      <c r="D531" s="1" t="s">
        <v>71</v>
      </c>
      <c r="E531" s="1" t="s">
        <v>22</v>
      </c>
      <c r="F531" s="1">
        <v>30</v>
      </c>
      <c r="G531" s="1">
        <v>19</v>
      </c>
      <c r="H531" s="1">
        <v>7</v>
      </c>
      <c r="I531" s="3">
        <f t="shared" si="2"/>
        <v>56</v>
      </c>
    </row>
    <row r="532" spans="1:9" x14ac:dyDescent="0.25">
      <c r="A532" s="2">
        <f t="shared" si="1"/>
        <v>48</v>
      </c>
      <c r="B532" s="1" t="s">
        <v>506</v>
      </c>
      <c r="C532" s="18">
        <v>46124</v>
      </c>
      <c r="D532" s="1" t="s">
        <v>377</v>
      </c>
      <c r="E532" s="1" t="s">
        <v>22</v>
      </c>
      <c r="F532" s="1">
        <v>28</v>
      </c>
      <c r="G532" s="1">
        <v>21</v>
      </c>
      <c r="H532" s="1">
        <v>7</v>
      </c>
      <c r="I532" s="3">
        <f t="shared" si="2"/>
        <v>56</v>
      </c>
    </row>
    <row r="533" spans="1:9" x14ac:dyDescent="0.25">
      <c r="A533" s="2">
        <f t="shared" si="1"/>
        <v>55</v>
      </c>
      <c r="B533" s="1" t="s">
        <v>126</v>
      </c>
      <c r="C533" s="18">
        <v>44344</v>
      </c>
      <c r="D533" s="1" t="s">
        <v>71</v>
      </c>
      <c r="E533" s="1" t="s">
        <v>22</v>
      </c>
      <c r="F533" s="1">
        <v>27</v>
      </c>
      <c r="G533" s="1">
        <v>21</v>
      </c>
      <c r="H533" s="1">
        <v>7</v>
      </c>
      <c r="I533" s="3">
        <f t="shared" si="2"/>
        <v>55</v>
      </c>
    </row>
    <row r="534" spans="1:9" x14ac:dyDescent="0.25">
      <c r="A534" s="2">
        <f t="shared" si="1"/>
        <v>55</v>
      </c>
      <c r="B534" s="1" t="s">
        <v>230</v>
      </c>
      <c r="C534" s="18">
        <v>44787</v>
      </c>
      <c r="D534" s="1" t="s">
        <v>69</v>
      </c>
      <c r="E534" s="1" t="s">
        <v>22</v>
      </c>
      <c r="F534" s="1">
        <v>28</v>
      </c>
      <c r="G534" s="1">
        <v>21</v>
      </c>
      <c r="H534" s="1">
        <v>6</v>
      </c>
      <c r="I534" s="3">
        <f t="shared" si="2"/>
        <v>55</v>
      </c>
    </row>
    <row r="535" spans="1:9" x14ac:dyDescent="0.25">
      <c r="A535" s="2">
        <f t="shared" si="1"/>
        <v>55</v>
      </c>
      <c r="B535" s="1" t="s">
        <v>145</v>
      </c>
      <c r="C535" s="18">
        <v>44423</v>
      </c>
      <c r="D535" s="1" t="s">
        <v>71</v>
      </c>
      <c r="E535" s="1" t="s">
        <v>22</v>
      </c>
      <c r="F535" s="1">
        <v>30</v>
      </c>
      <c r="G535" s="1">
        <v>17</v>
      </c>
      <c r="H535" s="1">
        <v>8</v>
      </c>
      <c r="I535" s="3">
        <f t="shared" si="2"/>
        <v>55</v>
      </c>
    </row>
    <row r="536" spans="1:9" x14ac:dyDescent="0.25">
      <c r="A536" s="2">
        <f t="shared" si="1"/>
        <v>55</v>
      </c>
      <c r="B536" s="1" t="s">
        <v>169</v>
      </c>
      <c r="C536" s="18">
        <v>44493</v>
      </c>
      <c r="D536" s="1" t="s">
        <v>71</v>
      </c>
      <c r="E536" s="1" t="s">
        <v>22</v>
      </c>
      <c r="F536" s="1">
        <v>29</v>
      </c>
      <c r="G536" s="1">
        <v>18</v>
      </c>
      <c r="H536" s="1">
        <v>8</v>
      </c>
      <c r="I536" s="3">
        <f t="shared" si="2"/>
        <v>55</v>
      </c>
    </row>
    <row r="537" spans="1:9" x14ac:dyDescent="0.25">
      <c r="A537" s="2">
        <f t="shared" si="1"/>
        <v>55</v>
      </c>
      <c r="B537" s="29" t="s">
        <v>168</v>
      </c>
      <c r="C537" s="18">
        <v>44485</v>
      </c>
      <c r="D537" s="1" t="s">
        <v>71</v>
      </c>
      <c r="E537" s="1" t="s">
        <v>22</v>
      </c>
      <c r="F537" s="1">
        <v>29</v>
      </c>
      <c r="G537" s="1">
        <v>19</v>
      </c>
      <c r="H537" s="1">
        <v>7</v>
      </c>
      <c r="I537" s="3">
        <f t="shared" si="2"/>
        <v>55</v>
      </c>
    </row>
    <row r="538" spans="1:9" x14ac:dyDescent="0.25">
      <c r="A538" s="2">
        <f t="shared" si="1"/>
        <v>55</v>
      </c>
      <c r="B538" s="1" t="s">
        <v>333</v>
      </c>
      <c r="C538" s="18">
        <v>45347</v>
      </c>
      <c r="D538" s="1" t="s">
        <v>71</v>
      </c>
      <c r="E538" s="1" t="s">
        <v>22</v>
      </c>
      <c r="F538" s="1">
        <v>31</v>
      </c>
      <c r="G538" s="1">
        <v>16</v>
      </c>
      <c r="H538" s="1">
        <v>8</v>
      </c>
      <c r="I538" s="3">
        <f t="shared" si="2"/>
        <v>55</v>
      </c>
    </row>
    <row r="539" spans="1:9" x14ac:dyDescent="0.25">
      <c r="A539" s="2">
        <f t="shared" si="1"/>
        <v>55</v>
      </c>
      <c r="B539" s="29" t="s">
        <v>249</v>
      </c>
      <c r="C539" s="18">
        <v>44864</v>
      </c>
      <c r="D539" s="1" t="s">
        <v>236</v>
      </c>
      <c r="E539" s="1" t="s">
        <v>22</v>
      </c>
      <c r="F539" s="1">
        <v>29</v>
      </c>
      <c r="G539" s="1">
        <v>18</v>
      </c>
      <c r="H539" s="1">
        <v>8</v>
      </c>
      <c r="I539" s="3">
        <f t="shared" si="2"/>
        <v>55</v>
      </c>
    </row>
    <row r="540" spans="1:9" x14ac:dyDescent="0.25">
      <c r="A540" s="2">
        <f t="shared" si="1"/>
        <v>55</v>
      </c>
      <c r="B540" s="1" t="s">
        <v>211</v>
      </c>
      <c r="C540" s="18">
        <v>44703</v>
      </c>
      <c r="D540" s="1" t="s">
        <v>69</v>
      </c>
      <c r="E540" s="1" t="s">
        <v>22</v>
      </c>
      <c r="F540" s="1">
        <v>29</v>
      </c>
      <c r="G540" s="1">
        <v>21</v>
      </c>
      <c r="H540" s="1">
        <v>5</v>
      </c>
      <c r="I540" s="3">
        <f t="shared" si="2"/>
        <v>55</v>
      </c>
    </row>
    <row r="541" spans="1:9" x14ac:dyDescent="0.25">
      <c r="A541" s="2">
        <f t="shared" si="1"/>
        <v>55</v>
      </c>
      <c r="B541" s="1" t="s">
        <v>345</v>
      </c>
      <c r="C541" s="18">
        <v>45417</v>
      </c>
      <c r="D541" s="1" t="s">
        <v>309</v>
      </c>
      <c r="E541" s="1" t="s">
        <v>22</v>
      </c>
      <c r="F541" s="1">
        <v>28</v>
      </c>
      <c r="G541" s="1">
        <v>22</v>
      </c>
      <c r="H541" s="1">
        <v>5</v>
      </c>
      <c r="I541" s="3">
        <f t="shared" si="2"/>
        <v>55</v>
      </c>
    </row>
    <row r="542" spans="1:9" ht="14.25" customHeight="1" x14ac:dyDescent="0.25">
      <c r="A542" s="2">
        <f t="shared" si="1"/>
        <v>55</v>
      </c>
      <c r="B542" s="29" t="s">
        <v>347</v>
      </c>
      <c r="C542" s="18">
        <v>45438</v>
      </c>
      <c r="D542" s="1" t="s">
        <v>71</v>
      </c>
      <c r="E542" s="1" t="s">
        <v>22</v>
      </c>
      <c r="F542" s="1">
        <v>30</v>
      </c>
      <c r="G542" s="1">
        <v>18</v>
      </c>
      <c r="H542" s="1">
        <v>7</v>
      </c>
      <c r="I542" s="3">
        <f t="shared" si="2"/>
        <v>55</v>
      </c>
    </row>
    <row r="543" spans="1:9" x14ac:dyDescent="0.25">
      <c r="A543" s="2">
        <f t="shared" ref="A543:A606" si="3">RANK(I543,$I$479:$I$718,0)</f>
        <v>55</v>
      </c>
      <c r="B543" s="29" t="s">
        <v>226</v>
      </c>
      <c r="C543" s="18">
        <v>44766</v>
      </c>
      <c r="D543" s="1" t="s">
        <v>71</v>
      </c>
      <c r="E543" s="1" t="s">
        <v>22</v>
      </c>
      <c r="F543" s="1">
        <v>29</v>
      </c>
      <c r="G543" s="1">
        <v>20</v>
      </c>
      <c r="H543" s="1">
        <v>6</v>
      </c>
      <c r="I543" s="3">
        <f t="shared" ref="I543:I606" si="4">SUM(F543:H543)</f>
        <v>55</v>
      </c>
    </row>
    <row r="544" spans="1:9" x14ac:dyDescent="0.25">
      <c r="A544" s="2">
        <f t="shared" si="3"/>
        <v>55</v>
      </c>
      <c r="B544" s="1" t="s">
        <v>415</v>
      </c>
      <c r="C544" s="18">
        <v>45732</v>
      </c>
      <c r="D544" s="1" t="s">
        <v>73</v>
      </c>
      <c r="E544" s="1" t="s">
        <v>22</v>
      </c>
      <c r="F544" s="1">
        <v>28</v>
      </c>
      <c r="G544" s="1">
        <v>22</v>
      </c>
      <c r="H544" s="1">
        <v>5</v>
      </c>
      <c r="I544" s="3">
        <f t="shared" si="4"/>
        <v>55</v>
      </c>
    </row>
    <row r="545" spans="1:9" x14ac:dyDescent="0.25">
      <c r="A545" s="2">
        <f t="shared" si="3"/>
        <v>55</v>
      </c>
      <c r="B545" s="1" t="s">
        <v>430</v>
      </c>
      <c r="C545" s="18">
        <v>45781</v>
      </c>
      <c r="D545" s="1" t="s">
        <v>378</v>
      </c>
      <c r="E545" s="1" t="s">
        <v>22</v>
      </c>
      <c r="F545" s="1">
        <v>27</v>
      </c>
      <c r="G545" s="1">
        <v>22</v>
      </c>
      <c r="H545" s="1">
        <v>6</v>
      </c>
      <c r="I545" s="3">
        <f t="shared" si="4"/>
        <v>55</v>
      </c>
    </row>
    <row r="546" spans="1:9" x14ac:dyDescent="0.25">
      <c r="A546" s="2">
        <f t="shared" si="3"/>
        <v>55</v>
      </c>
      <c r="B546" s="29" t="s">
        <v>455</v>
      </c>
      <c r="C546" s="18">
        <v>45893</v>
      </c>
      <c r="D546" s="1" t="s">
        <v>377</v>
      </c>
      <c r="E546" s="1" t="s">
        <v>22</v>
      </c>
      <c r="F546" s="1">
        <v>29</v>
      </c>
      <c r="G546" s="1">
        <v>18</v>
      </c>
      <c r="H546" s="1">
        <v>8</v>
      </c>
      <c r="I546" s="3">
        <f t="shared" si="4"/>
        <v>55</v>
      </c>
    </row>
    <row r="547" spans="1:9" x14ac:dyDescent="0.25">
      <c r="A547" s="2">
        <f t="shared" si="3"/>
        <v>55</v>
      </c>
      <c r="B547" s="1" t="s">
        <v>474</v>
      </c>
      <c r="C547" s="18">
        <v>45991</v>
      </c>
      <c r="D547" s="1" t="s">
        <v>478</v>
      </c>
      <c r="E547" s="1" t="s">
        <v>22</v>
      </c>
      <c r="F547" s="1">
        <v>27</v>
      </c>
      <c r="G547" s="1">
        <v>24</v>
      </c>
      <c r="H547" s="1">
        <v>4</v>
      </c>
      <c r="I547" s="3">
        <f t="shared" si="4"/>
        <v>55</v>
      </c>
    </row>
    <row r="548" spans="1:9" x14ac:dyDescent="0.25">
      <c r="A548" s="2">
        <f t="shared" si="3"/>
        <v>70</v>
      </c>
      <c r="B548" s="1" t="s">
        <v>204</v>
      </c>
      <c r="C548" s="18">
        <v>44647</v>
      </c>
      <c r="D548" s="1" t="s">
        <v>69</v>
      </c>
      <c r="E548" s="1" t="s">
        <v>22</v>
      </c>
      <c r="F548" s="1">
        <v>30</v>
      </c>
      <c r="G548" s="1">
        <v>18</v>
      </c>
      <c r="H548" s="1">
        <v>6</v>
      </c>
      <c r="I548" s="3">
        <f t="shared" si="4"/>
        <v>54</v>
      </c>
    </row>
    <row r="549" spans="1:9" x14ac:dyDescent="0.25">
      <c r="A549" s="2">
        <f t="shared" si="3"/>
        <v>70</v>
      </c>
      <c r="B549" s="1" t="s">
        <v>298</v>
      </c>
      <c r="C549" s="18">
        <v>45172</v>
      </c>
      <c r="D549" s="1" t="s">
        <v>69</v>
      </c>
      <c r="E549" s="1" t="s">
        <v>22</v>
      </c>
      <c r="F549" s="1">
        <v>30</v>
      </c>
      <c r="G549" s="1">
        <v>17</v>
      </c>
      <c r="H549" s="1">
        <v>7</v>
      </c>
      <c r="I549" s="3">
        <f t="shared" si="4"/>
        <v>54</v>
      </c>
    </row>
    <row r="550" spans="1:9" x14ac:dyDescent="0.25">
      <c r="A550" s="2">
        <f t="shared" si="3"/>
        <v>70</v>
      </c>
      <c r="B550" s="1" t="s">
        <v>248</v>
      </c>
      <c r="C550" s="18">
        <v>44857</v>
      </c>
      <c r="D550" s="1" t="s">
        <v>71</v>
      </c>
      <c r="E550" s="1" t="s">
        <v>22</v>
      </c>
      <c r="F550" s="1">
        <v>29</v>
      </c>
      <c r="G550" s="1">
        <v>18</v>
      </c>
      <c r="H550" s="1">
        <v>7</v>
      </c>
      <c r="I550" s="3">
        <f t="shared" si="4"/>
        <v>54</v>
      </c>
    </row>
    <row r="551" spans="1:9" x14ac:dyDescent="0.25">
      <c r="A551" s="2">
        <f t="shared" si="3"/>
        <v>70</v>
      </c>
      <c r="B551" s="1" t="s">
        <v>178</v>
      </c>
      <c r="C551" s="18">
        <v>44521</v>
      </c>
      <c r="D551" s="1" t="s">
        <v>74</v>
      </c>
      <c r="E551" s="1" t="s">
        <v>22</v>
      </c>
      <c r="F551" s="1">
        <v>29</v>
      </c>
      <c r="G551" s="1">
        <v>20</v>
      </c>
      <c r="H551" s="1">
        <v>5</v>
      </c>
      <c r="I551" s="3">
        <f t="shared" si="4"/>
        <v>54</v>
      </c>
    </row>
    <row r="552" spans="1:9" x14ac:dyDescent="0.25">
      <c r="A552" s="2">
        <f t="shared" si="3"/>
        <v>70</v>
      </c>
      <c r="B552" s="1" t="s">
        <v>158</v>
      </c>
      <c r="C552" s="18">
        <v>44451</v>
      </c>
      <c r="D552" s="1" t="s">
        <v>154</v>
      </c>
      <c r="E552" s="1" t="s">
        <v>22</v>
      </c>
      <c r="F552" s="1">
        <v>27</v>
      </c>
      <c r="G552" s="1">
        <v>21</v>
      </c>
      <c r="H552" s="1">
        <v>6</v>
      </c>
      <c r="I552" s="3">
        <f t="shared" si="4"/>
        <v>54</v>
      </c>
    </row>
    <row r="553" spans="1:9" x14ac:dyDescent="0.25">
      <c r="A553" s="2">
        <f t="shared" si="3"/>
        <v>70</v>
      </c>
      <c r="B553" s="29" t="s">
        <v>411</v>
      </c>
      <c r="C553" s="18">
        <v>45697</v>
      </c>
      <c r="D553" s="1" t="s">
        <v>266</v>
      </c>
      <c r="E553" s="1" t="s">
        <v>22</v>
      </c>
      <c r="F553" s="1">
        <v>30</v>
      </c>
      <c r="G553" s="1">
        <v>16</v>
      </c>
      <c r="H553" s="1">
        <v>8</v>
      </c>
      <c r="I553" s="3">
        <f t="shared" si="4"/>
        <v>54</v>
      </c>
    </row>
    <row r="554" spans="1:9" x14ac:dyDescent="0.25">
      <c r="A554" s="2">
        <f t="shared" si="3"/>
        <v>70</v>
      </c>
      <c r="B554" s="1" t="s">
        <v>456</v>
      </c>
      <c r="C554" s="18">
        <v>45907</v>
      </c>
      <c r="D554" s="1" t="s">
        <v>377</v>
      </c>
      <c r="E554" s="1" t="s">
        <v>22</v>
      </c>
      <c r="F554" s="1">
        <v>29</v>
      </c>
      <c r="G554" s="1">
        <v>19</v>
      </c>
      <c r="H554" s="1">
        <v>6</v>
      </c>
      <c r="I554" s="3">
        <f t="shared" si="4"/>
        <v>54</v>
      </c>
    </row>
    <row r="555" spans="1:9" x14ac:dyDescent="0.25">
      <c r="A555" s="2">
        <f t="shared" si="3"/>
        <v>70</v>
      </c>
      <c r="B555" s="1" t="s">
        <v>518</v>
      </c>
      <c r="C555" s="18">
        <v>46201</v>
      </c>
      <c r="D555" s="1" t="s">
        <v>378</v>
      </c>
      <c r="E555" s="1" t="s">
        <v>22</v>
      </c>
      <c r="F555" s="1">
        <v>28</v>
      </c>
      <c r="G555" s="1">
        <v>21</v>
      </c>
      <c r="H555" s="1">
        <v>5</v>
      </c>
      <c r="I555" s="3">
        <f t="shared" si="4"/>
        <v>54</v>
      </c>
    </row>
    <row r="556" spans="1:9" x14ac:dyDescent="0.25">
      <c r="A556" s="2">
        <f t="shared" si="3"/>
        <v>70</v>
      </c>
      <c r="B556" s="1" t="s">
        <v>519</v>
      </c>
      <c r="C556" s="18">
        <v>46215</v>
      </c>
      <c r="D556" s="1" t="s">
        <v>378</v>
      </c>
      <c r="E556" s="1" t="s">
        <v>22</v>
      </c>
      <c r="F556" s="1">
        <v>29</v>
      </c>
      <c r="G556" s="1">
        <v>19</v>
      </c>
      <c r="H556" s="1">
        <v>6</v>
      </c>
      <c r="I556" s="3">
        <f t="shared" si="4"/>
        <v>54</v>
      </c>
    </row>
    <row r="557" spans="1:9" x14ac:dyDescent="0.25">
      <c r="A557" s="2">
        <f t="shared" si="3"/>
        <v>70</v>
      </c>
      <c r="B557" s="1" t="s">
        <v>531</v>
      </c>
      <c r="C557" s="18">
        <v>46285</v>
      </c>
      <c r="D557" s="1" t="s">
        <v>71</v>
      </c>
      <c r="E557" s="1" t="s">
        <v>22</v>
      </c>
      <c r="F557" s="1">
        <v>29</v>
      </c>
      <c r="G557" s="1">
        <v>20</v>
      </c>
      <c r="H557" s="1">
        <v>5</v>
      </c>
      <c r="I557" s="3">
        <f t="shared" si="4"/>
        <v>54</v>
      </c>
    </row>
    <row r="558" spans="1:9" x14ac:dyDescent="0.25">
      <c r="A558" s="2">
        <f t="shared" si="3"/>
        <v>80</v>
      </c>
      <c r="B558" s="29" t="s">
        <v>255</v>
      </c>
      <c r="C558" s="18">
        <v>44899</v>
      </c>
      <c r="D558" s="1" t="s">
        <v>67</v>
      </c>
      <c r="E558" s="1" t="s">
        <v>22</v>
      </c>
      <c r="F558" s="1">
        <v>27</v>
      </c>
      <c r="G558" s="1">
        <v>20</v>
      </c>
      <c r="H558" s="1">
        <v>6</v>
      </c>
      <c r="I558" s="3">
        <f t="shared" si="4"/>
        <v>53</v>
      </c>
    </row>
    <row r="559" spans="1:9" x14ac:dyDescent="0.25">
      <c r="A559" s="2">
        <f t="shared" si="3"/>
        <v>80</v>
      </c>
      <c r="B559" s="29" t="s">
        <v>132</v>
      </c>
      <c r="C559" s="18">
        <v>44359</v>
      </c>
      <c r="D559" s="1" t="s">
        <v>131</v>
      </c>
      <c r="E559" s="1" t="s">
        <v>22</v>
      </c>
      <c r="F559" s="1">
        <v>28</v>
      </c>
      <c r="G559" s="1">
        <v>19</v>
      </c>
      <c r="H559" s="1">
        <v>6</v>
      </c>
      <c r="I559" s="3">
        <f t="shared" si="4"/>
        <v>53</v>
      </c>
    </row>
    <row r="560" spans="1:9" x14ac:dyDescent="0.25">
      <c r="A560" s="2">
        <f t="shared" si="3"/>
        <v>80</v>
      </c>
      <c r="B560" s="29" t="s">
        <v>260</v>
      </c>
      <c r="C560" s="18">
        <v>44927</v>
      </c>
      <c r="D560" s="1" t="s">
        <v>68</v>
      </c>
      <c r="E560" s="1" t="s">
        <v>22</v>
      </c>
      <c r="F560" s="1">
        <v>28</v>
      </c>
      <c r="G560" s="1">
        <v>18</v>
      </c>
      <c r="H560" s="1">
        <v>7</v>
      </c>
      <c r="I560" s="3">
        <f t="shared" si="4"/>
        <v>53</v>
      </c>
    </row>
    <row r="561" spans="1:9" x14ac:dyDescent="0.25">
      <c r="A561" s="2">
        <f t="shared" si="3"/>
        <v>80</v>
      </c>
      <c r="B561" s="1" t="s">
        <v>109</v>
      </c>
      <c r="C561" s="18">
        <v>44276</v>
      </c>
      <c r="D561" s="1" t="s">
        <v>74</v>
      </c>
      <c r="E561" s="1" t="s">
        <v>22</v>
      </c>
      <c r="F561" s="1">
        <v>29</v>
      </c>
      <c r="G561" s="1">
        <v>19</v>
      </c>
      <c r="H561" s="1">
        <v>5</v>
      </c>
      <c r="I561" s="3">
        <f t="shared" si="4"/>
        <v>53</v>
      </c>
    </row>
    <row r="562" spans="1:9" x14ac:dyDescent="0.25">
      <c r="A562" s="2">
        <f t="shared" si="3"/>
        <v>80</v>
      </c>
      <c r="B562" s="1" t="s">
        <v>363</v>
      </c>
      <c r="C562" s="18">
        <v>45515</v>
      </c>
      <c r="D562" s="1" t="s">
        <v>68</v>
      </c>
      <c r="E562" s="1" t="s">
        <v>22</v>
      </c>
      <c r="F562" s="1">
        <v>29</v>
      </c>
      <c r="G562" s="1">
        <v>16</v>
      </c>
      <c r="H562" s="1">
        <v>8</v>
      </c>
      <c r="I562" s="3">
        <f t="shared" si="4"/>
        <v>53</v>
      </c>
    </row>
    <row r="563" spans="1:9" x14ac:dyDescent="0.25">
      <c r="A563" s="2">
        <f t="shared" si="3"/>
        <v>80</v>
      </c>
      <c r="B563" s="29" t="s">
        <v>196</v>
      </c>
      <c r="C563" s="18">
        <v>44612</v>
      </c>
      <c r="D563" s="1" t="s">
        <v>69</v>
      </c>
      <c r="E563" s="1" t="s">
        <v>22</v>
      </c>
      <c r="F563" s="1">
        <v>30</v>
      </c>
      <c r="G563" s="1">
        <v>16</v>
      </c>
      <c r="H563" s="1">
        <v>7</v>
      </c>
      <c r="I563" s="3">
        <f t="shared" si="4"/>
        <v>53</v>
      </c>
    </row>
    <row r="564" spans="1:9" x14ac:dyDescent="0.25">
      <c r="A564" s="2">
        <f t="shared" si="3"/>
        <v>80</v>
      </c>
      <c r="B564" s="1" t="s">
        <v>319</v>
      </c>
      <c r="C564" s="18">
        <v>45277</v>
      </c>
      <c r="D564" s="1" t="s">
        <v>266</v>
      </c>
      <c r="E564" s="1" t="s">
        <v>22</v>
      </c>
      <c r="F564" s="1">
        <v>28</v>
      </c>
      <c r="G564" s="1">
        <v>19</v>
      </c>
      <c r="H564" s="1">
        <v>6</v>
      </c>
      <c r="I564" s="3">
        <f t="shared" si="4"/>
        <v>53</v>
      </c>
    </row>
    <row r="565" spans="1:9" x14ac:dyDescent="0.25">
      <c r="A565" s="2">
        <f t="shared" si="3"/>
        <v>80</v>
      </c>
      <c r="B565" s="29" t="s">
        <v>164</v>
      </c>
      <c r="C565" s="18">
        <v>44472</v>
      </c>
      <c r="D565" s="1" t="s">
        <v>71</v>
      </c>
      <c r="E565" s="1" t="s">
        <v>22</v>
      </c>
      <c r="F565" s="1">
        <v>29</v>
      </c>
      <c r="G565" s="1">
        <v>19</v>
      </c>
      <c r="H565" s="1">
        <v>5</v>
      </c>
      <c r="I565" s="3">
        <f t="shared" si="4"/>
        <v>53</v>
      </c>
    </row>
    <row r="566" spans="1:9" x14ac:dyDescent="0.25">
      <c r="A566" s="2">
        <f t="shared" si="3"/>
        <v>80</v>
      </c>
      <c r="B566" s="29" t="s">
        <v>327</v>
      </c>
      <c r="C566" s="18">
        <v>45312</v>
      </c>
      <c r="D566" s="1" t="s">
        <v>149</v>
      </c>
      <c r="E566" s="1" t="s">
        <v>22</v>
      </c>
      <c r="F566" s="1">
        <v>28</v>
      </c>
      <c r="G566" s="1">
        <v>18</v>
      </c>
      <c r="H566" s="1">
        <v>7</v>
      </c>
      <c r="I566" s="3">
        <f t="shared" si="4"/>
        <v>53</v>
      </c>
    </row>
    <row r="567" spans="1:9" x14ac:dyDescent="0.25">
      <c r="A567" s="2">
        <f t="shared" si="3"/>
        <v>80</v>
      </c>
      <c r="B567" s="1" t="s">
        <v>116</v>
      </c>
      <c r="C567" s="18">
        <v>44703</v>
      </c>
      <c r="D567" s="1" t="s">
        <v>72</v>
      </c>
      <c r="E567" s="1" t="s">
        <v>22</v>
      </c>
      <c r="F567" s="1">
        <v>28</v>
      </c>
      <c r="G567" s="1">
        <v>18</v>
      </c>
      <c r="H567" s="1">
        <v>7</v>
      </c>
      <c r="I567" s="3">
        <f t="shared" si="4"/>
        <v>53</v>
      </c>
    </row>
    <row r="568" spans="1:9" x14ac:dyDescent="0.25">
      <c r="A568" s="2">
        <f t="shared" si="3"/>
        <v>80</v>
      </c>
      <c r="B568" s="1" t="s">
        <v>320</v>
      </c>
      <c r="C568" s="18">
        <v>45277</v>
      </c>
      <c r="D568" s="1" t="s">
        <v>266</v>
      </c>
      <c r="E568" s="1" t="s">
        <v>22</v>
      </c>
      <c r="F568" s="1">
        <v>28</v>
      </c>
      <c r="G568" s="1">
        <v>19</v>
      </c>
      <c r="H568" s="1">
        <v>6</v>
      </c>
      <c r="I568" s="3">
        <f t="shared" si="4"/>
        <v>53</v>
      </c>
    </row>
    <row r="569" spans="1:9" x14ac:dyDescent="0.25">
      <c r="A569" s="2">
        <f t="shared" si="3"/>
        <v>80</v>
      </c>
      <c r="B569" s="29" t="s">
        <v>376</v>
      </c>
      <c r="C569" s="18">
        <v>45564</v>
      </c>
      <c r="D569" s="1" t="s">
        <v>71</v>
      </c>
      <c r="E569" s="1" t="s">
        <v>22</v>
      </c>
      <c r="F569" s="1">
        <v>29</v>
      </c>
      <c r="G569" s="1">
        <v>17</v>
      </c>
      <c r="H569" s="1">
        <v>7</v>
      </c>
      <c r="I569" s="3">
        <f t="shared" si="4"/>
        <v>53</v>
      </c>
    </row>
    <row r="570" spans="1:9" x14ac:dyDescent="0.25">
      <c r="A570" s="2">
        <f t="shared" si="3"/>
        <v>80</v>
      </c>
      <c r="B570" s="1" t="s">
        <v>394</v>
      </c>
      <c r="C570" s="18">
        <v>45641</v>
      </c>
      <c r="D570" s="1" t="s">
        <v>266</v>
      </c>
      <c r="E570" s="1" t="s">
        <v>22</v>
      </c>
      <c r="F570" s="1">
        <v>28</v>
      </c>
      <c r="G570" s="1">
        <v>18</v>
      </c>
      <c r="H570" s="1">
        <v>7</v>
      </c>
      <c r="I570" s="3">
        <f t="shared" si="4"/>
        <v>53</v>
      </c>
    </row>
    <row r="571" spans="1:9" x14ac:dyDescent="0.25">
      <c r="A571" s="2">
        <f t="shared" si="3"/>
        <v>80</v>
      </c>
      <c r="B571" s="1" t="s">
        <v>429</v>
      </c>
      <c r="C571" s="18">
        <v>45781</v>
      </c>
      <c r="D571" s="1" t="s">
        <v>368</v>
      </c>
      <c r="E571" s="1" t="s">
        <v>22</v>
      </c>
      <c r="F571" s="1">
        <v>29</v>
      </c>
      <c r="G571" s="1">
        <v>17</v>
      </c>
      <c r="H571" s="1">
        <v>7</v>
      </c>
      <c r="I571" s="3">
        <f t="shared" si="4"/>
        <v>53</v>
      </c>
    </row>
    <row r="572" spans="1:9" x14ac:dyDescent="0.25">
      <c r="A572" s="2">
        <f t="shared" si="3"/>
        <v>80</v>
      </c>
      <c r="B572" s="1" t="s">
        <v>529</v>
      </c>
      <c r="C572" s="18">
        <v>46271</v>
      </c>
      <c r="D572" s="1" t="s">
        <v>74</v>
      </c>
      <c r="E572" s="1" t="s">
        <v>22</v>
      </c>
      <c r="F572" s="1">
        <v>28</v>
      </c>
      <c r="G572" s="1">
        <v>19</v>
      </c>
      <c r="H572" s="1">
        <v>6</v>
      </c>
      <c r="I572" s="3">
        <f t="shared" si="4"/>
        <v>53</v>
      </c>
    </row>
    <row r="573" spans="1:9" x14ac:dyDescent="0.25">
      <c r="A573" s="2">
        <f t="shared" si="3"/>
        <v>95</v>
      </c>
      <c r="B573" s="1" t="s">
        <v>173</v>
      </c>
      <c r="C573" s="18">
        <v>44507</v>
      </c>
      <c r="D573" s="1" t="s">
        <v>71</v>
      </c>
      <c r="E573" s="1" t="s">
        <v>22</v>
      </c>
      <c r="F573" s="1">
        <v>28</v>
      </c>
      <c r="G573" s="1">
        <v>17</v>
      </c>
      <c r="H573" s="1">
        <v>7</v>
      </c>
      <c r="I573" s="3">
        <f t="shared" si="4"/>
        <v>52</v>
      </c>
    </row>
    <row r="574" spans="1:9" x14ac:dyDescent="0.25">
      <c r="A574" s="2">
        <f t="shared" si="3"/>
        <v>95</v>
      </c>
      <c r="B574" s="29" t="s">
        <v>271</v>
      </c>
      <c r="C574" s="18">
        <v>44990</v>
      </c>
      <c r="D574" s="1" t="s">
        <v>69</v>
      </c>
      <c r="E574" s="1" t="s">
        <v>22</v>
      </c>
      <c r="F574" s="1">
        <v>29</v>
      </c>
      <c r="G574" s="1">
        <v>17</v>
      </c>
      <c r="H574" s="1">
        <v>6</v>
      </c>
      <c r="I574" s="3">
        <f t="shared" si="4"/>
        <v>52</v>
      </c>
    </row>
    <row r="575" spans="1:9" x14ac:dyDescent="0.25">
      <c r="A575" s="2">
        <f t="shared" si="3"/>
        <v>95</v>
      </c>
      <c r="B575" s="1" t="s">
        <v>285</v>
      </c>
      <c r="C575" s="18">
        <v>45081</v>
      </c>
      <c r="D575" s="1" t="s">
        <v>74</v>
      </c>
      <c r="E575" s="1" t="s">
        <v>22</v>
      </c>
      <c r="F575" s="1">
        <v>27</v>
      </c>
      <c r="G575" s="1">
        <v>19</v>
      </c>
      <c r="H575" s="1">
        <v>6</v>
      </c>
      <c r="I575" s="3">
        <f t="shared" si="4"/>
        <v>52</v>
      </c>
    </row>
    <row r="576" spans="1:9" x14ac:dyDescent="0.25">
      <c r="A576" s="2">
        <f t="shared" si="3"/>
        <v>95</v>
      </c>
      <c r="B576" s="1" t="s">
        <v>163</v>
      </c>
      <c r="C576" s="18">
        <v>44465</v>
      </c>
      <c r="D576" s="1" t="s">
        <v>154</v>
      </c>
      <c r="E576" s="1" t="s">
        <v>22</v>
      </c>
      <c r="F576" s="1">
        <v>29</v>
      </c>
      <c r="G576" s="1">
        <v>16</v>
      </c>
      <c r="H576" s="1">
        <v>7</v>
      </c>
      <c r="I576" s="3">
        <f t="shared" si="4"/>
        <v>52</v>
      </c>
    </row>
    <row r="577" spans="1:9" x14ac:dyDescent="0.25">
      <c r="A577" s="2">
        <f t="shared" si="3"/>
        <v>95</v>
      </c>
      <c r="B577" s="29" t="s">
        <v>155</v>
      </c>
      <c r="C577" s="18">
        <v>44444</v>
      </c>
      <c r="D577" s="1" t="s">
        <v>73</v>
      </c>
      <c r="E577" s="1" t="s">
        <v>22</v>
      </c>
      <c r="F577" s="1">
        <v>29</v>
      </c>
      <c r="G577" s="1">
        <v>18</v>
      </c>
      <c r="H577" s="1">
        <v>5</v>
      </c>
      <c r="I577" s="3">
        <f t="shared" si="4"/>
        <v>52</v>
      </c>
    </row>
    <row r="578" spans="1:9" x14ac:dyDescent="0.25">
      <c r="A578" s="2">
        <f t="shared" si="3"/>
        <v>95</v>
      </c>
      <c r="B578" s="29" t="s">
        <v>292</v>
      </c>
      <c r="C578" s="18">
        <v>45109</v>
      </c>
      <c r="D578" s="1" t="s">
        <v>154</v>
      </c>
      <c r="E578" s="1" t="s">
        <v>22</v>
      </c>
      <c r="F578" s="1">
        <v>28</v>
      </c>
      <c r="G578" s="1">
        <v>18</v>
      </c>
      <c r="H578" s="1">
        <v>6</v>
      </c>
      <c r="I578" s="3">
        <f t="shared" si="4"/>
        <v>52</v>
      </c>
    </row>
    <row r="579" spans="1:9" x14ac:dyDescent="0.25">
      <c r="A579" s="2">
        <f t="shared" si="3"/>
        <v>95</v>
      </c>
      <c r="B579" s="29" t="s">
        <v>113</v>
      </c>
      <c r="C579" s="18">
        <v>44290</v>
      </c>
      <c r="D579" s="1" t="s">
        <v>71</v>
      </c>
      <c r="E579" s="1" t="s">
        <v>22</v>
      </c>
      <c r="F579" s="1">
        <v>28</v>
      </c>
      <c r="G579" s="1">
        <v>19</v>
      </c>
      <c r="H579" s="1">
        <v>5</v>
      </c>
      <c r="I579" s="3">
        <f t="shared" si="4"/>
        <v>52</v>
      </c>
    </row>
    <row r="580" spans="1:9" x14ac:dyDescent="0.25">
      <c r="A580" s="2">
        <f t="shared" si="3"/>
        <v>95</v>
      </c>
      <c r="B580" s="1" t="s">
        <v>177</v>
      </c>
      <c r="C580" s="18">
        <v>44521</v>
      </c>
      <c r="D580" s="1" t="s">
        <v>74</v>
      </c>
      <c r="E580" s="1" t="s">
        <v>22</v>
      </c>
      <c r="F580" s="1">
        <v>27</v>
      </c>
      <c r="G580" s="1">
        <v>19</v>
      </c>
      <c r="H580" s="1">
        <v>6</v>
      </c>
      <c r="I580" s="3">
        <f t="shared" si="4"/>
        <v>52</v>
      </c>
    </row>
    <row r="581" spans="1:9" x14ac:dyDescent="0.25">
      <c r="A581" s="2">
        <f t="shared" si="3"/>
        <v>95</v>
      </c>
      <c r="B581" s="1" t="s">
        <v>328</v>
      </c>
      <c r="C581" s="18">
        <v>45319</v>
      </c>
      <c r="D581" s="1" t="s">
        <v>66</v>
      </c>
      <c r="E581" s="1" t="s">
        <v>22</v>
      </c>
      <c r="F581" s="1">
        <v>29</v>
      </c>
      <c r="G581" s="1">
        <v>18</v>
      </c>
      <c r="H581" s="1">
        <v>5</v>
      </c>
      <c r="I581" s="3">
        <f t="shared" si="4"/>
        <v>52</v>
      </c>
    </row>
    <row r="582" spans="1:9" x14ac:dyDescent="0.25">
      <c r="A582" s="2">
        <f t="shared" si="3"/>
        <v>95</v>
      </c>
      <c r="B582" s="29" t="s">
        <v>284</v>
      </c>
      <c r="C582" s="18">
        <v>45074</v>
      </c>
      <c r="D582" s="1" t="s">
        <v>154</v>
      </c>
      <c r="E582" s="1" t="s">
        <v>22</v>
      </c>
      <c r="F582" s="1">
        <v>28</v>
      </c>
      <c r="G582" s="1">
        <v>17</v>
      </c>
      <c r="H582" s="1">
        <v>7</v>
      </c>
      <c r="I582" s="3">
        <f t="shared" si="4"/>
        <v>52</v>
      </c>
    </row>
    <row r="583" spans="1:9" x14ac:dyDescent="0.25">
      <c r="A583" s="2">
        <f t="shared" si="3"/>
        <v>95</v>
      </c>
      <c r="B583" s="1" t="s">
        <v>410</v>
      </c>
      <c r="C583" s="18">
        <v>45690</v>
      </c>
      <c r="D583" s="1" t="s">
        <v>309</v>
      </c>
      <c r="E583" s="1" t="s">
        <v>22</v>
      </c>
      <c r="F583" s="1">
        <v>28</v>
      </c>
      <c r="G583" s="1">
        <v>18</v>
      </c>
      <c r="H583" s="1">
        <v>6</v>
      </c>
      <c r="I583" s="3">
        <f t="shared" si="4"/>
        <v>52</v>
      </c>
    </row>
    <row r="584" spans="1:9" x14ac:dyDescent="0.25">
      <c r="A584" s="2">
        <f t="shared" si="3"/>
        <v>95</v>
      </c>
      <c r="B584" s="29" t="s">
        <v>419</v>
      </c>
      <c r="C584" s="18">
        <v>45739</v>
      </c>
      <c r="D584" s="1" t="s">
        <v>68</v>
      </c>
      <c r="E584" s="1" t="s">
        <v>22</v>
      </c>
      <c r="F584" s="1">
        <v>28</v>
      </c>
      <c r="G584" s="1">
        <v>17</v>
      </c>
      <c r="H584" s="1">
        <v>7</v>
      </c>
      <c r="I584" s="3">
        <f t="shared" si="4"/>
        <v>52</v>
      </c>
    </row>
    <row r="585" spans="1:9" x14ac:dyDescent="0.25">
      <c r="A585" s="2">
        <f t="shared" si="3"/>
        <v>95</v>
      </c>
      <c r="B585" s="1" t="s">
        <v>465</v>
      </c>
      <c r="C585" s="18">
        <v>45963</v>
      </c>
      <c r="D585" s="1" t="s">
        <v>74</v>
      </c>
      <c r="E585" s="1" t="s">
        <v>22</v>
      </c>
      <c r="F585" s="1">
        <v>28</v>
      </c>
      <c r="G585" s="1">
        <v>18</v>
      </c>
      <c r="H585" s="1">
        <v>6</v>
      </c>
      <c r="I585" s="3">
        <f t="shared" si="4"/>
        <v>52</v>
      </c>
    </row>
    <row r="586" spans="1:9" x14ac:dyDescent="0.25">
      <c r="A586" s="2">
        <f t="shared" si="3"/>
        <v>95</v>
      </c>
      <c r="B586" s="1" t="s">
        <v>505</v>
      </c>
      <c r="C586" s="18">
        <v>46124</v>
      </c>
      <c r="D586" s="1" t="s">
        <v>378</v>
      </c>
      <c r="E586" s="1" t="s">
        <v>22</v>
      </c>
      <c r="F586" s="1">
        <v>26</v>
      </c>
      <c r="G586" s="1">
        <v>23</v>
      </c>
      <c r="H586" s="1">
        <v>3</v>
      </c>
      <c r="I586" s="3">
        <f t="shared" si="4"/>
        <v>52</v>
      </c>
    </row>
    <row r="587" spans="1:9" x14ac:dyDescent="0.25">
      <c r="A587" s="2">
        <f t="shared" si="3"/>
        <v>95</v>
      </c>
      <c r="B587" s="1" t="s">
        <v>509</v>
      </c>
      <c r="C587" s="18">
        <v>46138</v>
      </c>
      <c r="D587" s="1" t="s">
        <v>483</v>
      </c>
      <c r="E587" s="1" t="s">
        <v>22</v>
      </c>
      <c r="F587" s="1">
        <v>28</v>
      </c>
      <c r="G587" s="1">
        <v>18</v>
      </c>
      <c r="H587" s="1">
        <v>6</v>
      </c>
      <c r="I587" s="3">
        <f t="shared" si="4"/>
        <v>52</v>
      </c>
    </row>
    <row r="588" spans="1:9" x14ac:dyDescent="0.25">
      <c r="A588" s="2">
        <f t="shared" si="3"/>
        <v>95</v>
      </c>
      <c r="B588" s="1" t="s">
        <v>525</v>
      </c>
      <c r="C588" s="18">
        <v>46243</v>
      </c>
      <c r="D588" s="1" t="s">
        <v>66</v>
      </c>
      <c r="E588" s="1" t="s">
        <v>22</v>
      </c>
      <c r="F588" s="1">
        <v>28</v>
      </c>
      <c r="G588" s="1">
        <v>20</v>
      </c>
      <c r="H588" s="1">
        <v>4</v>
      </c>
      <c r="I588" s="3">
        <f t="shared" si="4"/>
        <v>52</v>
      </c>
    </row>
    <row r="589" spans="1:9" x14ac:dyDescent="0.25">
      <c r="A589" s="2">
        <f t="shared" si="3"/>
        <v>95</v>
      </c>
      <c r="B589" s="29" t="s">
        <v>526</v>
      </c>
      <c r="C589" s="18">
        <v>46250</v>
      </c>
      <c r="D589" s="1" t="s">
        <v>154</v>
      </c>
      <c r="E589" s="1" t="s">
        <v>22</v>
      </c>
      <c r="F589" s="1">
        <v>28</v>
      </c>
      <c r="G589" s="1">
        <v>18</v>
      </c>
      <c r="H589" s="1">
        <v>6</v>
      </c>
      <c r="I589" s="3">
        <f t="shared" si="4"/>
        <v>52</v>
      </c>
    </row>
    <row r="590" spans="1:9" x14ac:dyDescent="0.25">
      <c r="A590" s="2">
        <f t="shared" si="3"/>
        <v>112</v>
      </c>
      <c r="B590" s="29" t="s">
        <v>259</v>
      </c>
      <c r="C590" s="18">
        <v>44927</v>
      </c>
      <c r="D590" s="1" t="s">
        <v>68</v>
      </c>
      <c r="E590" s="1" t="s">
        <v>22</v>
      </c>
      <c r="F590" s="1">
        <v>27</v>
      </c>
      <c r="G590" s="1">
        <v>18</v>
      </c>
      <c r="H590" s="1">
        <v>6</v>
      </c>
      <c r="I590" s="3">
        <f t="shared" si="4"/>
        <v>51</v>
      </c>
    </row>
    <row r="591" spans="1:9" x14ac:dyDescent="0.25">
      <c r="A591" s="2">
        <f t="shared" si="3"/>
        <v>112</v>
      </c>
      <c r="B591" s="1" t="s">
        <v>119</v>
      </c>
      <c r="C591" s="18">
        <v>44311</v>
      </c>
      <c r="D591" s="1" t="s">
        <v>72</v>
      </c>
      <c r="E591" s="1" t="s">
        <v>22</v>
      </c>
      <c r="F591" s="1">
        <v>27</v>
      </c>
      <c r="G591" s="1">
        <v>17</v>
      </c>
      <c r="H591" s="1">
        <v>7</v>
      </c>
      <c r="I591" s="3">
        <f t="shared" si="4"/>
        <v>51</v>
      </c>
    </row>
    <row r="592" spans="1:9" x14ac:dyDescent="0.25">
      <c r="A592" s="2">
        <f t="shared" si="3"/>
        <v>112</v>
      </c>
      <c r="B592" s="29" t="s">
        <v>247</v>
      </c>
      <c r="C592" s="18">
        <v>44850</v>
      </c>
      <c r="D592" s="1" t="s">
        <v>68</v>
      </c>
      <c r="E592" s="1" t="s">
        <v>22</v>
      </c>
      <c r="F592" s="1">
        <v>27</v>
      </c>
      <c r="G592" s="1">
        <v>18</v>
      </c>
      <c r="H592" s="1">
        <v>6</v>
      </c>
      <c r="I592" s="3">
        <f t="shared" si="4"/>
        <v>51</v>
      </c>
    </row>
    <row r="593" spans="1:9" x14ac:dyDescent="0.25">
      <c r="A593" s="2">
        <f t="shared" si="3"/>
        <v>112</v>
      </c>
      <c r="B593" s="1" t="s">
        <v>193</v>
      </c>
      <c r="C593" s="18">
        <v>44605</v>
      </c>
      <c r="D593" s="1" t="s">
        <v>68</v>
      </c>
      <c r="E593" s="1" t="s">
        <v>22</v>
      </c>
      <c r="F593" s="1">
        <v>30</v>
      </c>
      <c r="G593" s="1">
        <v>17</v>
      </c>
      <c r="H593" s="1">
        <v>4</v>
      </c>
      <c r="I593" s="3">
        <f t="shared" si="4"/>
        <v>51</v>
      </c>
    </row>
    <row r="594" spans="1:9" x14ac:dyDescent="0.25">
      <c r="A594" s="2">
        <f t="shared" si="3"/>
        <v>112</v>
      </c>
      <c r="B594" s="1" t="s">
        <v>152</v>
      </c>
      <c r="C594" s="18">
        <v>44437</v>
      </c>
      <c r="D594" s="1" t="s">
        <v>72</v>
      </c>
      <c r="E594" s="1" t="s">
        <v>22</v>
      </c>
      <c r="F594" s="1">
        <v>27</v>
      </c>
      <c r="G594" s="1">
        <v>18</v>
      </c>
      <c r="H594" s="1">
        <v>6</v>
      </c>
      <c r="I594" s="3">
        <f t="shared" si="4"/>
        <v>51</v>
      </c>
    </row>
    <row r="595" spans="1:9" x14ac:dyDescent="0.25">
      <c r="A595" s="2">
        <f t="shared" si="3"/>
        <v>112</v>
      </c>
      <c r="B595" s="1" t="s">
        <v>36</v>
      </c>
      <c r="C595" s="18">
        <v>44409</v>
      </c>
      <c r="D595" s="1" t="s">
        <v>70</v>
      </c>
      <c r="E595" s="1" t="s">
        <v>22</v>
      </c>
      <c r="F595" s="1">
        <v>28</v>
      </c>
      <c r="G595" s="1">
        <v>16</v>
      </c>
      <c r="H595" s="1">
        <v>7</v>
      </c>
      <c r="I595" s="3">
        <f t="shared" si="4"/>
        <v>51</v>
      </c>
    </row>
    <row r="596" spans="1:9" x14ac:dyDescent="0.25">
      <c r="A596" s="2">
        <f t="shared" si="3"/>
        <v>112</v>
      </c>
      <c r="B596" s="29" t="s">
        <v>128</v>
      </c>
      <c r="C596" s="18">
        <v>44346</v>
      </c>
      <c r="D596" s="1" t="s">
        <v>72</v>
      </c>
      <c r="E596" s="1" t="s">
        <v>22</v>
      </c>
      <c r="F596" s="1">
        <v>28</v>
      </c>
      <c r="G596" s="1">
        <v>17</v>
      </c>
      <c r="H596" s="1">
        <v>6</v>
      </c>
      <c r="I596" s="3">
        <f t="shared" si="4"/>
        <v>51</v>
      </c>
    </row>
    <row r="597" spans="1:9" x14ac:dyDescent="0.25">
      <c r="A597" s="2">
        <f t="shared" si="3"/>
        <v>112</v>
      </c>
      <c r="B597" s="1" t="s">
        <v>269</v>
      </c>
      <c r="C597" s="18">
        <v>44962</v>
      </c>
      <c r="D597" s="1" t="s">
        <v>154</v>
      </c>
      <c r="E597" s="1" t="s">
        <v>22</v>
      </c>
      <c r="F597" s="1">
        <v>28</v>
      </c>
      <c r="G597" s="1">
        <v>17</v>
      </c>
      <c r="H597" s="1">
        <v>6</v>
      </c>
      <c r="I597" s="3">
        <f t="shared" si="4"/>
        <v>51</v>
      </c>
    </row>
    <row r="598" spans="1:9" x14ac:dyDescent="0.25">
      <c r="A598" s="2">
        <f t="shared" si="3"/>
        <v>112</v>
      </c>
      <c r="B598" s="1" t="s">
        <v>186</v>
      </c>
      <c r="C598" s="18">
        <v>44577</v>
      </c>
      <c r="D598" s="1" t="s">
        <v>70</v>
      </c>
      <c r="E598" s="1" t="s">
        <v>22</v>
      </c>
      <c r="F598" s="1">
        <v>27</v>
      </c>
      <c r="G598" s="1">
        <v>18</v>
      </c>
      <c r="H598" s="1">
        <v>6</v>
      </c>
      <c r="I598" s="3">
        <f t="shared" si="4"/>
        <v>51</v>
      </c>
    </row>
    <row r="599" spans="1:9" x14ac:dyDescent="0.25">
      <c r="A599" s="2">
        <f t="shared" si="3"/>
        <v>112</v>
      </c>
      <c r="B599" s="29" t="s">
        <v>213</v>
      </c>
      <c r="C599" s="18">
        <v>44710</v>
      </c>
      <c r="D599" s="1" t="s">
        <v>68</v>
      </c>
      <c r="E599" s="1" t="s">
        <v>22</v>
      </c>
      <c r="F599" s="1">
        <v>28</v>
      </c>
      <c r="G599" s="1">
        <v>18</v>
      </c>
      <c r="H599" s="1">
        <v>5</v>
      </c>
      <c r="I599" s="3">
        <f t="shared" si="4"/>
        <v>51</v>
      </c>
    </row>
    <row r="600" spans="1:9" x14ac:dyDescent="0.25">
      <c r="A600" s="2">
        <f t="shared" si="3"/>
        <v>112</v>
      </c>
      <c r="B600" s="1" t="s">
        <v>275</v>
      </c>
      <c r="C600" s="18">
        <v>45220</v>
      </c>
      <c r="D600" s="1" t="s">
        <v>309</v>
      </c>
      <c r="E600" s="1" t="s">
        <v>22</v>
      </c>
      <c r="F600" s="1">
        <v>27</v>
      </c>
      <c r="G600" s="1">
        <v>17</v>
      </c>
      <c r="H600" s="1">
        <v>7</v>
      </c>
      <c r="I600" s="3">
        <f t="shared" si="4"/>
        <v>51</v>
      </c>
    </row>
    <row r="601" spans="1:9" x14ac:dyDescent="0.25">
      <c r="A601" s="2">
        <f t="shared" si="3"/>
        <v>112</v>
      </c>
      <c r="B601" s="1" t="s">
        <v>206</v>
      </c>
      <c r="C601" s="18">
        <v>45220</v>
      </c>
      <c r="D601" s="1" t="s">
        <v>308</v>
      </c>
      <c r="E601" s="1" t="s">
        <v>22</v>
      </c>
      <c r="F601" s="1">
        <v>28</v>
      </c>
      <c r="G601" s="1">
        <v>16</v>
      </c>
      <c r="H601" s="1">
        <v>7</v>
      </c>
      <c r="I601" s="3">
        <f t="shared" si="4"/>
        <v>51</v>
      </c>
    </row>
    <row r="602" spans="1:9" x14ac:dyDescent="0.25">
      <c r="A602" s="2">
        <f t="shared" si="3"/>
        <v>112</v>
      </c>
      <c r="B602" s="1" t="s">
        <v>335</v>
      </c>
      <c r="C602" s="18">
        <v>45368</v>
      </c>
      <c r="D602" s="1" t="s">
        <v>68</v>
      </c>
      <c r="E602" s="1" t="s">
        <v>22</v>
      </c>
      <c r="F602" s="1">
        <v>28</v>
      </c>
      <c r="G602" s="1">
        <v>17</v>
      </c>
      <c r="H602" s="1">
        <v>6</v>
      </c>
      <c r="I602" s="3">
        <f t="shared" si="4"/>
        <v>51</v>
      </c>
    </row>
    <row r="603" spans="1:9" x14ac:dyDescent="0.25">
      <c r="A603" s="2">
        <f t="shared" si="3"/>
        <v>112</v>
      </c>
      <c r="B603" s="1" t="s">
        <v>340</v>
      </c>
      <c r="C603" s="18">
        <v>45389</v>
      </c>
      <c r="D603" s="1" t="s">
        <v>69</v>
      </c>
      <c r="E603" s="1" t="s">
        <v>22</v>
      </c>
      <c r="F603" s="1">
        <v>26</v>
      </c>
      <c r="G603" s="1">
        <v>20</v>
      </c>
      <c r="H603" s="1">
        <v>5</v>
      </c>
      <c r="I603" s="3">
        <f t="shared" si="4"/>
        <v>51</v>
      </c>
    </row>
    <row r="604" spans="1:9" x14ac:dyDescent="0.25">
      <c r="A604" s="2">
        <f t="shared" si="3"/>
        <v>112</v>
      </c>
      <c r="B604" s="1" t="s">
        <v>390</v>
      </c>
      <c r="C604" s="18">
        <v>45627</v>
      </c>
      <c r="D604" s="1" t="s">
        <v>66</v>
      </c>
      <c r="E604" s="1" t="s">
        <v>22</v>
      </c>
      <c r="F604" s="1">
        <v>28</v>
      </c>
      <c r="G604" s="1">
        <v>18</v>
      </c>
      <c r="H604" s="1">
        <v>5</v>
      </c>
      <c r="I604" s="3">
        <f t="shared" si="4"/>
        <v>51</v>
      </c>
    </row>
    <row r="605" spans="1:9" x14ac:dyDescent="0.25">
      <c r="A605" s="2">
        <f t="shared" si="3"/>
        <v>112</v>
      </c>
      <c r="B605" s="29" t="s">
        <v>398</v>
      </c>
      <c r="C605" s="18">
        <v>45655</v>
      </c>
      <c r="D605" s="1" t="s">
        <v>149</v>
      </c>
      <c r="E605" s="1" t="s">
        <v>22</v>
      </c>
      <c r="F605" s="1">
        <v>29</v>
      </c>
      <c r="G605" s="1">
        <v>16</v>
      </c>
      <c r="H605" s="1">
        <v>6</v>
      </c>
      <c r="I605" s="3">
        <f t="shared" si="4"/>
        <v>51</v>
      </c>
    </row>
    <row r="606" spans="1:9" x14ac:dyDescent="0.25">
      <c r="A606" s="2">
        <f t="shared" si="3"/>
        <v>112</v>
      </c>
      <c r="B606" s="1" t="s">
        <v>420</v>
      </c>
      <c r="C606" s="18">
        <v>45746</v>
      </c>
      <c r="D606" s="1" t="s">
        <v>74</v>
      </c>
      <c r="E606" s="1" t="s">
        <v>22</v>
      </c>
      <c r="F606" s="1">
        <v>27</v>
      </c>
      <c r="G606" s="1">
        <v>19</v>
      </c>
      <c r="H606" s="1">
        <v>5</v>
      </c>
      <c r="I606" s="3">
        <f t="shared" si="4"/>
        <v>51</v>
      </c>
    </row>
    <row r="607" spans="1:9" x14ac:dyDescent="0.25">
      <c r="A607" s="2">
        <f t="shared" ref="A607:A670" si="5">RANK(I607,$I$479:$I$718,0)</f>
        <v>112</v>
      </c>
      <c r="B607" s="1" t="s">
        <v>438</v>
      </c>
      <c r="C607" s="18">
        <v>45830</v>
      </c>
      <c r="D607" s="1" t="s">
        <v>69</v>
      </c>
      <c r="E607" s="1" t="s">
        <v>22</v>
      </c>
      <c r="F607" s="1">
        <v>27</v>
      </c>
      <c r="G607" s="1">
        <v>19</v>
      </c>
      <c r="H607" s="1">
        <v>5</v>
      </c>
      <c r="I607" s="3">
        <f t="shared" ref="I607:I670" si="6">SUM(F607:H607)</f>
        <v>51</v>
      </c>
    </row>
    <row r="608" spans="1:9" x14ac:dyDescent="0.25">
      <c r="A608" s="2">
        <f t="shared" si="5"/>
        <v>112</v>
      </c>
      <c r="B608" s="1" t="s">
        <v>451</v>
      </c>
      <c r="C608" s="18">
        <v>45872</v>
      </c>
      <c r="D608" s="1" t="s">
        <v>73</v>
      </c>
      <c r="E608" s="1" t="s">
        <v>22</v>
      </c>
      <c r="F608" s="1">
        <v>28</v>
      </c>
      <c r="G608" s="1">
        <v>18</v>
      </c>
      <c r="H608" s="1">
        <v>5</v>
      </c>
      <c r="I608" s="3">
        <f t="shared" si="6"/>
        <v>51</v>
      </c>
    </row>
    <row r="609" spans="1:9" x14ac:dyDescent="0.25">
      <c r="A609" s="2">
        <f t="shared" si="5"/>
        <v>112</v>
      </c>
      <c r="B609" s="1" t="s">
        <v>485</v>
      </c>
      <c r="C609" s="18">
        <v>46047</v>
      </c>
      <c r="D609" s="1" t="s">
        <v>68</v>
      </c>
      <c r="E609" s="1" t="s">
        <v>22</v>
      </c>
      <c r="F609" s="1">
        <v>27</v>
      </c>
      <c r="G609" s="1">
        <v>20</v>
      </c>
      <c r="H609" s="1">
        <v>4</v>
      </c>
      <c r="I609" s="3">
        <f t="shared" si="6"/>
        <v>51</v>
      </c>
    </row>
    <row r="610" spans="1:9" x14ac:dyDescent="0.25">
      <c r="A610" s="2">
        <f t="shared" si="5"/>
        <v>112</v>
      </c>
      <c r="B610" s="1" t="s">
        <v>533</v>
      </c>
      <c r="C610" s="18">
        <v>46285</v>
      </c>
      <c r="D610" s="1" t="s">
        <v>483</v>
      </c>
      <c r="E610" s="1" t="s">
        <v>22</v>
      </c>
      <c r="F610" s="1">
        <v>28</v>
      </c>
      <c r="G610" s="1">
        <v>18</v>
      </c>
      <c r="H610" s="1">
        <v>5</v>
      </c>
      <c r="I610" s="3">
        <f t="shared" si="6"/>
        <v>51</v>
      </c>
    </row>
    <row r="611" spans="1:9" x14ac:dyDescent="0.25">
      <c r="A611" s="2">
        <f t="shared" si="5"/>
        <v>133</v>
      </c>
      <c r="B611" s="29" t="s">
        <v>302</v>
      </c>
      <c r="C611" s="18">
        <v>45200</v>
      </c>
      <c r="D611" s="1" t="s">
        <v>149</v>
      </c>
      <c r="E611" s="1" t="s">
        <v>22</v>
      </c>
      <c r="F611" s="1">
        <v>26</v>
      </c>
      <c r="G611" s="1">
        <v>19</v>
      </c>
      <c r="H611" s="1">
        <v>5</v>
      </c>
      <c r="I611" s="3">
        <f t="shared" si="6"/>
        <v>50</v>
      </c>
    </row>
    <row r="612" spans="1:9" x14ac:dyDescent="0.25">
      <c r="A612" s="2">
        <f t="shared" si="5"/>
        <v>133</v>
      </c>
      <c r="B612" s="29" t="s">
        <v>258</v>
      </c>
      <c r="C612" s="18">
        <v>44927</v>
      </c>
      <c r="D612" s="1" t="s">
        <v>68</v>
      </c>
      <c r="E612" s="1" t="s">
        <v>22</v>
      </c>
      <c r="F612" s="1">
        <v>26</v>
      </c>
      <c r="G612" s="1">
        <v>18</v>
      </c>
      <c r="H612" s="1">
        <v>6</v>
      </c>
      <c r="I612" s="3">
        <f t="shared" si="6"/>
        <v>50</v>
      </c>
    </row>
    <row r="613" spans="1:9" x14ac:dyDescent="0.25">
      <c r="A613" s="2">
        <f t="shared" si="5"/>
        <v>133</v>
      </c>
      <c r="B613" s="1" t="s">
        <v>144</v>
      </c>
      <c r="C613" s="18">
        <v>44423</v>
      </c>
      <c r="D613" s="1" t="s">
        <v>69</v>
      </c>
      <c r="E613" s="1" t="s">
        <v>22</v>
      </c>
      <c r="F613" s="1">
        <v>26</v>
      </c>
      <c r="G613" s="1">
        <v>19</v>
      </c>
      <c r="H613" s="1">
        <v>5</v>
      </c>
      <c r="I613" s="3">
        <f t="shared" si="6"/>
        <v>50</v>
      </c>
    </row>
    <row r="614" spans="1:9" x14ac:dyDescent="0.25">
      <c r="A614" s="2">
        <f t="shared" si="5"/>
        <v>133</v>
      </c>
      <c r="B614" s="1" t="s">
        <v>134</v>
      </c>
      <c r="C614" s="18">
        <v>44367</v>
      </c>
      <c r="D614" s="1" t="s">
        <v>74</v>
      </c>
      <c r="E614" s="1" t="s">
        <v>22</v>
      </c>
      <c r="F614" s="1">
        <v>28</v>
      </c>
      <c r="G614" s="1">
        <v>15</v>
      </c>
      <c r="H614" s="1">
        <v>7</v>
      </c>
      <c r="I614" s="3">
        <f t="shared" si="6"/>
        <v>50</v>
      </c>
    </row>
    <row r="615" spans="1:9" x14ac:dyDescent="0.25">
      <c r="A615" s="2">
        <f t="shared" si="5"/>
        <v>133</v>
      </c>
      <c r="B615" s="1" t="s">
        <v>339</v>
      </c>
      <c r="C615" s="18">
        <v>45389</v>
      </c>
      <c r="D615" s="1" t="s">
        <v>266</v>
      </c>
      <c r="E615" s="1" t="s">
        <v>22</v>
      </c>
      <c r="F615" s="1">
        <v>27</v>
      </c>
      <c r="G615" s="1">
        <v>18</v>
      </c>
      <c r="H615" s="1">
        <v>5</v>
      </c>
      <c r="I615" s="3">
        <f t="shared" si="6"/>
        <v>50</v>
      </c>
    </row>
    <row r="616" spans="1:9" x14ac:dyDescent="0.25">
      <c r="A616" s="2">
        <f t="shared" si="5"/>
        <v>133</v>
      </c>
      <c r="B616" s="1" t="s">
        <v>261</v>
      </c>
      <c r="C616" s="18">
        <v>44934</v>
      </c>
      <c r="D616" s="1" t="s">
        <v>72</v>
      </c>
      <c r="E616" s="1" t="s">
        <v>22</v>
      </c>
      <c r="F616" s="1">
        <v>27</v>
      </c>
      <c r="G616" s="1">
        <v>17</v>
      </c>
      <c r="H616" s="1">
        <v>6</v>
      </c>
      <c r="I616" s="3">
        <f t="shared" si="6"/>
        <v>50</v>
      </c>
    </row>
    <row r="617" spans="1:9" x14ac:dyDescent="0.25">
      <c r="A617" s="2">
        <f t="shared" si="5"/>
        <v>133</v>
      </c>
      <c r="B617" s="29" t="s">
        <v>279</v>
      </c>
      <c r="C617" s="18">
        <v>45046</v>
      </c>
      <c r="D617" s="1" t="s">
        <v>71</v>
      </c>
      <c r="E617" s="1" t="s">
        <v>22</v>
      </c>
      <c r="F617" s="1">
        <v>28</v>
      </c>
      <c r="G617" s="1">
        <v>16</v>
      </c>
      <c r="H617" s="1">
        <v>6</v>
      </c>
      <c r="I617" s="3">
        <f t="shared" si="6"/>
        <v>50</v>
      </c>
    </row>
    <row r="618" spans="1:9" x14ac:dyDescent="0.25">
      <c r="A618" s="2">
        <f t="shared" si="5"/>
        <v>133</v>
      </c>
      <c r="B618" s="29" t="s">
        <v>225</v>
      </c>
      <c r="C618" s="18">
        <v>44752</v>
      </c>
      <c r="D618" s="1" t="s">
        <v>71</v>
      </c>
      <c r="E618" s="1" t="s">
        <v>22</v>
      </c>
      <c r="F618" s="1">
        <v>27</v>
      </c>
      <c r="G618" s="1">
        <v>18</v>
      </c>
      <c r="H618" s="1">
        <v>5</v>
      </c>
      <c r="I618" s="3">
        <f t="shared" si="6"/>
        <v>50</v>
      </c>
    </row>
    <row r="619" spans="1:9" x14ac:dyDescent="0.25">
      <c r="A619" s="2">
        <f t="shared" si="5"/>
        <v>133</v>
      </c>
      <c r="B619" s="1" t="s">
        <v>203</v>
      </c>
      <c r="C619" s="18">
        <v>44640</v>
      </c>
      <c r="D619" s="1" t="s">
        <v>149</v>
      </c>
      <c r="E619" s="1" t="s">
        <v>22</v>
      </c>
      <c r="F619" s="1">
        <v>26</v>
      </c>
      <c r="G619" s="1">
        <v>17</v>
      </c>
      <c r="H619" s="1">
        <v>7</v>
      </c>
      <c r="I619" s="3">
        <f t="shared" si="6"/>
        <v>50</v>
      </c>
    </row>
    <row r="620" spans="1:9" x14ac:dyDescent="0.25">
      <c r="A620" s="2">
        <f t="shared" si="5"/>
        <v>133</v>
      </c>
      <c r="B620" s="1" t="s">
        <v>191</v>
      </c>
      <c r="C620" s="18">
        <v>44591</v>
      </c>
      <c r="D620" s="1" t="s">
        <v>69</v>
      </c>
      <c r="E620" s="1" t="s">
        <v>22</v>
      </c>
      <c r="F620" s="1">
        <v>27</v>
      </c>
      <c r="G620" s="1">
        <v>17</v>
      </c>
      <c r="H620" s="1">
        <v>6</v>
      </c>
      <c r="I620" s="3">
        <f t="shared" si="6"/>
        <v>50</v>
      </c>
    </row>
    <row r="621" spans="1:9" x14ac:dyDescent="0.25">
      <c r="A621" s="2">
        <f t="shared" si="5"/>
        <v>133</v>
      </c>
      <c r="B621" s="1" t="s">
        <v>96</v>
      </c>
      <c r="C621" s="18">
        <v>44250</v>
      </c>
      <c r="D621" s="1" t="s">
        <v>266</v>
      </c>
      <c r="E621" s="1" t="s">
        <v>22</v>
      </c>
      <c r="F621" s="1">
        <v>29</v>
      </c>
      <c r="G621" s="1">
        <v>15</v>
      </c>
      <c r="H621" s="1">
        <v>6</v>
      </c>
      <c r="I621" s="3">
        <f t="shared" si="6"/>
        <v>50</v>
      </c>
    </row>
    <row r="622" spans="1:9" x14ac:dyDescent="0.25">
      <c r="A622" s="2">
        <f t="shared" si="5"/>
        <v>133</v>
      </c>
      <c r="B622" s="29" t="s">
        <v>364</v>
      </c>
      <c r="C622" s="18">
        <v>45522</v>
      </c>
      <c r="D622" s="1" t="s">
        <v>71</v>
      </c>
      <c r="E622" s="1" t="s">
        <v>22</v>
      </c>
      <c r="F622" s="1">
        <v>29</v>
      </c>
      <c r="G622" s="1">
        <v>15</v>
      </c>
      <c r="H622" s="1">
        <v>6</v>
      </c>
      <c r="I622" s="3">
        <f t="shared" si="6"/>
        <v>50</v>
      </c>
    </row>
    <row r="623" spans="1:9" x14ac:dyDescent="0.25">
      <c r="A623" s="2">
        <f t="shared" si="5"/>
        <v>133</v>
      </c>
      <c r="B623" s="29" t="s">
        <v>312</v>
      </c>
      <c r="C623" s="18">
        <v>45242</v>
      </c>
      <c r="D623" s="1" t="s">
        <v>266</v>
      </c>
      <c r="E623" s="1" t="s">
        <v>22</v>
      </c>
      <c r="F623" s="1">
        <v>27</v>
      </c>
      <c r="G623" s="1">
        <v>17</v>
      </c>
      <c r="H623" s="1">
        <v>6</v>
      </c>
      <c r="I623" s="3">
        <f t="shared" si="6"/>
        <v>50</v>
      </c>
    </row>
    <row r="624" spans="1:9" x14ac:dyDescent="0.25">
      <c r="A624" s="2">
        <f t="shared" si="5"/>
        <v>133</v>
      </c>
      <c r="B624" s="1" t="s">
        <v>369</v>
      </c>
      <c r="C624" s="18">
        <v>45543</v>
      </c>
      <c r="D624" s="1" t="s">
        <v>71</v>
      </c>
      <c r="E624" s="1" t="s">
        <v>22</v>
      </c>
      <c r="F624" s="1">
        <v>28</v>
      </c>
      <c r="G624" s="1">
        <v>17</v>
      </c>
      <c r="H624" s="1">
        <v>5</v>
      </c>
      <c r="I624" s="3">
        <f t="shared" si="6"/>
        <v>50</v>
      </c>
    </row>
    <row r="625" spans="1:9" x14ac:dyDescent="0.25">
      <c r="A625" s="2">
        <f t="shared" si="5"/>
        <v>133</v>
      </c>
      <c r="B625" s="1" t="s">
        <v>406</v>
      </c>
      <c r="C625" s="18">
        <v>45676</v>
      </c>
      <c r="D625" s="1" t="s">
        <v>68</v>
      </c>
      <c r="E625" s="1" t="s">
        <v>22</v>
      </c>
      <c r="F625" s="1">
        <v>28</v>
      </c>
      <c r="G625" s="1">
        <v>16</v>
      </c>
      <c r="H625" s="1">
        <v>6</v>
      </c>
      <c r="I625" s="3">
        <f t="shared" si="6"/>
        <v>50</v>
      </c>
    </row>
    <row r="626" spans="1:9" x14ac:dyDescent="0.25">
      <c r="A626" s="2">
        <f t="shared" si="5"/>
        <v>133</v>
      </c>
      <c r="B626" s="29" t="s">
        <v>441</v>
      </c>
      <c r="C626" s="18">
        <v>45836</v>
      </c>
      <c r="D626" s="1" t="s">
        <v>71</v>
      </c>
      <c r="E626" s="1" t="s">
        <v>22</v>
      </c>
      <c r="F626" s="1">
        <v>28</v>
      </c>
      <c r="G626" s="1">
        <v>17</v>
      </c>
      <c r="H626" s="1">
        <v>5</v>
      </c>
      <c r="I626" s="3">
        <f t="shared" si="6"/>
        <v>50</v>
      </c>
    </row>
    <row r="627" spans="1:9" x14ac:dyDescent="0.25">
      <c r="A627" s="2">
        <f t="shared" si="5"/>
        <v>133</v>
      </c>
      <c r="B627" s="29" t="s">
        <v>471</v>
      </c>
      <c r="C627" s="18">
        <v>45983</v>
      </c>
      <c r="D627" s="1" t="s">
        <v>378</v>
      </c>
      <c r="E627" s="1" t="s">
        <v>22</v>
      </c>
      <c r="F627" s="1">
        <v>28</v>
      </c>
      <c r="G627" s="1">
        <v>16</v>
      </c>
      <c r="H627" s="1">
        <v>6</v>
      </c>
      <c r="I627" s="3">
        <f t="shared" si="6"/>
        <v>50</v>
      </c>
    </row>
    <row r="628" spans="1:9" x14ac:dyDescent="0.25">
      <c r="A628" s="2">
        <f t="shared" si="5"/>
        <v>133</v>
      </c>
      <c r="B628" s="29" t="s">
        <v>479</v>
      </c>
      <c r="C628" s="18">
        <v>46026</v>
      </c>
      <c r="D628" s="1" t="s">
        <v>67</v>
      </c>
      <c r="E628" s="1" t="s">
        <v>22</v>
      </c>
      <c r="F628" s="1">
        <v>28</v>
      </c>
      <c r="G628" s="1">
        <v>17</v>
      </c>
      <c r="H628" s="1">
        <v>5</v>
      </c>
      <c r="I628" s="3">
        <f t="shared" si="6"/>
        <v>50</v>
      </c>
    </row>
    <row r="629" spans="1:9" x14ac:dyDescent="0.25">
      <c r="A629" s="2">
        <f t="shared" si="5"/>
        <v>133</v>
      </c>
      <c r="B629" s="1" t="s">
        <v>492</v>
      </c>
      <c r="C629" s="18">
        <v>46061</v>
      </c>
      <c r="D629" s="1" t="s">
        <v>71</v>
      </c>
      <c r="E629" s="1" t="s">
        <v>22</v>
      </c>
      <c r="F629" s="1">
        <v>28</v>
      </c>
      <c r="G629" s="1">
        <v>16</v>
      </c>
      <c r="H629" s="1">
        <v>6</v>
      </c>
      <c r="I629" s="3">
        <f t="shared" si="6"/>
        <v>50</v>
      </c>
    </row>
    <row r="630" spans="1:9" x14ac:dyDescent="0.25">
      <c r="A630" s="2">
        <f t="shared" si="5"/>
        <v>133</v>
      </c>
      <c r="B630" s="29" t="s">
        <v>493</v>
      </c>
      <c r="C630" s="18">
        <v>46068</v>
      </c>
      <c r="D630" s="1" t="s">
        <v>377</v>
      </c>
      <c r="E630" s="1" t="s">
        <v>22</v>
      </c>
      <c r="F630" s="1">
        <v>26</v>
      </c>
      <c r="G630" s="1">
        <v>18</v>
      </c>
      <c r="H630" s="1">
        <v>6</v>
      </c>
      <c r="I630" s="3">
        <f t="shared" si="6"/>
        <v>50</v>
      </c>
    </row>
    <row r="631" spans="1:9" x14ac:dyDescent="0.25">
      <c r="A631" s="2">
        <f t="shared" si="5"/>
        <v>153</v>
      </c>
      <c r="B631" s="1" t="s">
        <v>253</v>
      </c>
      <c r="C631" s="18">
        <v>44885</v>
      </c>
      <c r="D631" s="1" t="s">
        <v>74</v>
      </c>
      <c r="E631" s="1" t="s">
        <v>22</v>
      </c>
      <c r="F631" s="1">
        <v>27</v>
      </c>
      <c r="G631" s="1">
        <v>16</v>
      </c>
      <c r="H631" s="1">
        <v>6</v>
      </c>
      <c r="I631" s="3">
        <f t="shared" si="6"/>
        <v>49</v>
      </c>
    </row>
    <row r="632" spans="1:9" x14ac:dyDescent="0.25">
      <c r="A632" s="2">
        <f t="shared" si="5"/>
        <v>153</v>
      </c>
      <c r="B632" s="1" t="s">
        <v>296</v>
      </c>
      <c r="C632" s="18">
        <v>45144</v>
      </c>
      <c r="D632" s="1" t="s">
        <v>154</v>
      </c>
      <c r="E632" s="1" t="s">
        <v>22</v>
      </c>
      <c r="F632" s="1">
        <v>26</v>
      </c>
      <c r="G632" s="1">
        <v>18</v>
      </c>
      <c r="H632" s="1">
        <v>5</v>
      </c>
      <c r="I632" s="3">
        <f t="shared" si="6"/>
        <v>49</v>
      </c>
    </row>
    <row r="633" spans="1:9" x14ac:dyDescent="0.25">
      <c r="A633" s="2">
        <f t="shared" si="5"/>
        <v>153</v>
      </c>
      <c r="B633" s="1" t="s">
        <v>234</v>
      </c>
      <c r="C633" s="18">
        <v>44815</v>
      </c>
      <c r="D633" s="1" t="s">
        <v>184</v>
      </c>
      <c r="E633" s="1" t="s">
        <v>22</v>
      </c>
      <c r="F633" s="1">
        <v>27</v>
      </c>
      <c r="G633" s="1">
        <v>17</v>
      </c>
      <c r="H633" s="1">
        <v>5</v>
      </c>
      <c r="I633" s="3">
        <f t="shared" si="6"/>
        <v>49</v>
      </c>
    </row>
    <row r="634" spans="1:9" x14ac:dyDescent="0.25">
      <c r="A634" s="2">
        <f t="shared" si="5"/>
        <v>153</v>
      </c>
      <c r="B634" s="29" t="s">
        <v>183</v>
      </c>
      <c r="C634" s="18">
        <v>44556</v>
      </c>
      <c r="D634" s="1" t="s">
        <v>70</v>
      </c>
      <c r="E634" s="1" t="s">
        <v>22</v>
      </c>
      <c r="F634" s="1">
        <v>26</v>
      </c>
      <c r="G634" s="1">
        <v>17</v>
      </c>
      <c r="H634" s="1">
        <v>6</v>
      </c>
      <c r="I634" s="3">
        <f t="shared" si="6"/>
        <v>49</v>
      </c>
    </row>
    <row r="635" spans="1:9" x14ac:dyDescent="0.25">
      <c r="A635" s="2">
        <f t="shared" si="5"/>
        <v>153</v>
      </c>
      <c r="B635" s="29" t="s">
        <v>105</v>
      </c>
      <c r="C635" s="18">
        <v>43874</v>
      </c>
      <c r="D635" s="1" t="s">
        <v>69</v>
      </c>
      <c r="E635" s="1" t="s">
        <v>22</v>
      </c>
      <c r="F635" s="1">
        <v>28</v>
      </c>
      <c r="G635" s="1">
        <v>15</v>
      </c>
      <c r="H635" s="1">
        <v>6</v>
      </c>
      <c r="I635" s="3">
        <f t="shared" si="6"/>
        <v>49</v>
      </c>
    </row>
    <row r="636" spans="1:9" x14ac:dyDescent="0.25">
      <c r="A636" s="2">
        <f t="shared" si="5"/>
        <v>153</v>
      </c>
      <c r="B636" s="29" t="s">
        <v>229</v>
      </c>
      <c r="C636" s="18">
        <v>44780</v>
      </c>
      <c r="D636" s="1" t="s">
        <v>72</v>
      </c>
      <c r="E636" s="1" t="s">
        <v>22</v>
      </c>
      <c r="F636" s="1">
        <v>27</v>
      </c>
      <c r="G636" s="1">
        <v>16</v>
      </c>
      <c r="H636" s="1">
        <v>6</v>
      </c>
      <c r="I636" s="3">
        <f t="shared" si="6"/>
        <v>49</v>
      </c>
    </row>
    <row r="637" spans="1:9" x14ac:dyDescent="0.25">
      <c r="A637" s="2">
        <f t="shared" si="5"/>
        <v>153</v>
      </c>
      <c r="B637" s="1" t="s">
        <v>167</v>
      </c>
      <c r="C637" s="18">
        <v>44479</v>
      </c>
      <c r="D637" s="1" t="s">
        <v>72</v>
      </c>
      <c r="E637" s="1" t="s">
        <v>22</v>
      </c>
      <c r="F637" s="1">
        <v>25</v>
      </c>
      <c r="G637" s="1">
        <v>18</v>
      </c>
      <c r="H637" s="1">
        <v>6</v>
      </c>
      <c r="I637" s="3">
        <f t="shared" si="6"/>
        <v>49</v>
      </c>
    </row>
    <row r="638" spans="1:9" x14ac:dyDescent="0.25">
      <c r="A638" s="2">
        <f t="shared" si="5"/>
        <v>153</v>
      </c>
      <c r="B638" s="29" t="s">
        <v>220</v>
      </c>
      <c r="C638" s="18">
        <v>44738</v>
      </c>
      <c r="D638" s="1" t="s">
        <v>69</v>
      </c>
      <c r="E638" s="1" t="s">
        <v>22</v>
      </c>
      <c r="F638" s="1">
        <v>27</v>
      </c>
      <c r="G638" s="1">
        <v>16</v>
      </c>
      <c r="H638" s="1">
        <v>6</v>
      </c>
      <c r="I638" s="3">
        <f t="shared" si="6"/>
        <v>49</v>
      </c>
    </row>
    <row r="639" spans="1:9" x14ac:dyDescent="0.25">
      <c r="A639" s="2">
        <f t="shared" si="5"/>
        <v>153</v>
      </c>
      <c r="B639" s="29" t="s">
        <v>348</v>
      </c>
      <c r="C639" s="18">
        <v>45452</v>
      </c>
      <c r="D639" s="1" t="s">
        <v>71</v>
      </c>
      <c r="E639" s="1" t="s">
        <v>22</v>
      </c>
      <c r="F639" s="1">
        <v>27</v>
      </c>
      <c r="G639" s="1">
        <v>18</v>
      </c>
      <c r="H639" s="1">
        <v>4</v>
      </c>
      <c r="I639" s="3">
        <f t="shared" si="6"/>
        <v>49</v>
      </c>
    </row>
    <row r="640" spans="1:9" x14ac:dyDescent="0.25">
      <c r="A640" s="2">
        <f t="shared" si="5"/>
        <v>153</v>
      </c>
      <c r="B640" s="1" t="s">
        <v>214</v>
      </c>
      <c r="C640" s="18">
        <v>44717</v>
      </c>
      <c r="D640" s="1" t="s">
        <v>154</v>
      </c>
      <c r="E640" s="1" t="s">
        <v>22</v>
      </c>
      <c r="F640" s="1">
        <v>24</v>
      </c>
      <c r="G640" s="1">
        <v>21</v>
      </c>
      <c r="H640" s="1">
        <v>4</v>
      </c>
      <c r="I640" s="3">
        <f t="shared" si="6"/>
        <v>49</v>
      </c>
    </row>
    <row r="641" spans="1:9" x14ac:dyDescent="0.25">
      <c r="A641" s="2">
        <f t="shared" si="5"/>
        <v>153</v>
      </c>
      <c r="B641" s="1" t="s">
        <v>98</v>
      </c>
      <c r="C641" s="18">
        <v>44092</v>
      </c>
      <c r="D641" s="1" t="s">
        <v>69</v>
      </c>
      <c r="E641" s="1" t="s">
        <v>22</v>
      </c>
      <c r="F641" s="1">
        <v>28</v>
      </c>
      <c r="G641" s="1">
        <v>17</v>
      </c>
      <c r="H641" s="1">
        <v>4</v>
      </c>
      <c r="I641" s="3">
        <f t="shared" si="6"/>
        <v>49</v>
      </c>
    </row>
    <row r="642" spans="1:9" x14ac:dyDescent="0.25">
      <c r="A642" s="2">
        <f t="shared" si="5"/>
        <v>153</v>
      </c>
      <c r="B642" s="1" t="s">
        <v>314</v>
      </c>
      <c r="C642" s="18">
        <v>45249</v>
      </c>
      <c r="D642" s="1" t="s">
        <v>68</v>
      </c>
      <c r="E642" s="1" t="s">
        <v>22</v>
      </c>
      <c r="F642" s="1">
        <v>27</v>
      </c>
      <c r="G642" s="1">
        <v>18</v>
      </c>
      <c r="H642" s="1">
        <v>4</v>
      </c>
      <c r="I642" s="3">
        <f t="shared" si="6"/>
        <v>49</v>
      </c>
    </row>
    <row r="643" spans="1:9" x14ac:dyDescent="0.25">
      <c r="A643" s="2">
        <f t="shared" si="5"/>
        <v>153</v>
      </c>
      <c r="B643" s="1" t="s">
        <v>387</v>
      </c>
      <c r="C643" s="18">
        <v>45613</v>
      </c>
      <c r="D643" s="1" t="s">
        <v>154</v>
      </c>
      <c r="E643" s="1" t="s">
        <v>22</v>
      </c>
      <c r="F643" s="1">
        <v>27</v>
      </c>
      <c r="G643" s="1">
        <v>16</v>
      </c>
      <c r="H643" s="1">
        <v>6</v>
      </c>
      <c r="I643" s="3">
        <f t="shared" si="6"/>
        <v>49</v>
      </c>
    </row>
    <row r="644" spans="1:9" x14ac:dyDescent="0.25">
      <c r="A644" s="2">
        <f t="shared" si="5"/>
        <v>153</v>
      </c>
      <c r="B644" s="1" t="s">
        <v>396</v>
      </c>
      <c r="C644" s="18">
        <v>45648</v>
      </c>
      <c r="D644" s="1" t="s">
        <v>68</v>
      </c>
      <c r="E644" s="1" t="s">
        <v>22</v>
      </c>
      <c r="F644" s="1">
        <v>27</v>
      </c>
      <c r="G644" s="1">
        <v>17</v>
      </c>
      <c r="H644" s="1">
        <v>5</v>
      </c>
      <c r="I644" s="3">
        <f t="shared" si="6"/>
        <v>49</v>
      </c>
    </row>
    <row r="645" spans="1:9" x14ac:dyDescent="0.25">
      <c r="A645" s="2">
        <f t="shared" si="5"/>
        <v>153</v>
      </c>
      <c r="B645" s="29" t="s">
        <v>501</v>
      </c>
      <c r="C645" s="18">
        <v>46110</v>
      </c>
      <c r="D645" s="1" t="s">
        <v>73</v>
      </c>
      <c r="E645" s="1" t="s">
        <v>22</v>
      </c>
      <c r="F645" s="1">
        <v>27</v>
      </c>
      <c r="G645" s="1">
        <v>18</v>
      </c>
      <c r="H645" s="1">
        <v>4</v>
      </c>
      <c r="I645" s="3">
        <f t="shared" si="6"/>
        <v>49</v>
      </c>
    </row>
    <row r="646" spans="1:9" x14ac:dyDescent="0.25">
      <c r="A646" s="2">
        <f t="shared" si="5"/>
        <v>168</v>
      </c>
      <c r="B646" s="29" t="s">
        <v>21</v>
      </c>
      <c r="C646" s="18">
        <v>44409</v>
      </c>
      <c r="D646" s="1" t="s">
        <v>71</v>
      </c>
      <c r="E646" s="1" t="s">
        <v>22</v>
      </c>
      <c r="F646" s="1">
        <v>27</v>
      </c>
      <c r="G646" s="1">
        <v>15</v>
      </c>
      <c r="H646" s="1">
        <v>6</v>
      </c>
      <c r="I646" s="3">
        <f t="shared" si="6"/>
        <v>48</v>
      </c>
    </row>
    <row r="647" spans="1:9" x14ac:dyDescent="0.25">
      <c r="A647" s="2">
        <f t="shared" si="5"/>
        <v>168</v>
      </c>
      <c r="B647" s="29" t="s">
        <v>356</v>
      </c>
      <c r="C647" s="18">
        <v>45165</v>
      </c>
      <c r="D647" s="1" t="s">
        <v>67</v>
      </c>
      <c r="E647" s="1" t="s">
        <v>22</v>
      </c>
      <c r="F647" s="1">
        <v>26</v>
      </c>
      <c r="G647" s="1">
        <v>17</v>
      </c>
      <c r="H647" s="1">
        <v>5</v>
      </c>
      <c r="I647" s="3">
        <f t="shared" si="6"/>
        <v>48</v>
      </c>
    </row>
    <row r="648" spans="1:9" x14ac:dyDescent="0.25">
      <c r="A648" s="2">
        <f t="shared" si="5"/>
        <v>168</v>
      </c>
      <c r="B648" s="29" t="s">
        <v>205</v>
      </c>
      <c r="C648" s="18">
        <v>44654</v>
      </c>
      <c r="D648" s="1" t="s">
        <v>71</v>
      </c>
      <c r="E648" s="1" t="s">
        <v>22</v>
      </c>
      <c r="F648" s="1">
        <v>27</v>
      </c>
      <c r="G648" s="1">
        <v>15</v>
      </c>
      <c r="H648" s="1">
        <v>6</v>
      </c>
      <c r="I648" s="3">
        <f t="shared" si="6"/>
        <v>48</v>
      </c>
    </row>
    <row r="649" spans="1:9" x14ac:dyDescent="0.25">
      <c r="A649" s="2">
        <f t="shared" si="5"/>
        <v>168</v>
      </c>
      <c r="B649" s="1" t="s">
        <v>45</v>
      </c>
      <c r="C649" s="18">
        <v>44409</v>
      </c>
      <c r="D649" s="1" t="s">
        <v>73</v>
      </c>
      <c r="E649" s="1" t="s">
        <v>22</v>
      </c>
      <c r="F649" s="1">
        <v>27</v>
      </c>
      <c r="G649" s="1">
        <v>15</v>
      </c>
      <c r="H649" s="1">
        <v>6</v>
      </c>
      <c r="I649" s="3">
        <f t="shared" si="6"/>
        <v>48</v>
      </c>
    </row>
    <row r="650" spans="1:9" x14ac:dyDescent="0.25">
      <c r="A650" s="2">
        <f t="shared" si="5"/>
        <v>168</v>
      </c>
      <c r="B650" s="1" t="s">
        <v>332</v>
      </c>
      <c r="C650" s="18">
        <v>45347</v>
      </c>
      <c r="D650" s="1" t="s">
        <v>67</v>
      </c>
      <c r="E650" s="1" t="s">
        <v>22</v>
      </c>
      <c r="F650" s="1">
        <v>27</v>
      </c>
      <c r="G650" s="1">
        <v>16</v>
      </c>
      <c r="H650" s="1">
        <v>5</v>
      </c>
      <c r="I650" s="3">
        <f t="shared" si="6"/>
        <v>48</v>
      </c>
    </row>
    <row r="651" spans="1:9" x14ac:dyDescent="0.25">
      <c r="A651" s="2">
        <f t="shared" si="5"/>
        <v>168</v>
      </c>
      <c r="B651" s="1" t="s">
        <v>174</v>
      </c>
      <c r="C651" s="18">
        <v>44507</v>
      </c>
      <c r="D651" s="1" t="s">
        <v>71</v>
      </c>
      <c r="E651" s="1" t="s">
        <v>22</v>
      </c>
      <c r="F651" s="1">
        <v>27</v>
      </c>
      <c r="G651" s="1">
        <v>16</v>
      </c>
      <c r="H651" s="1">
        <v>5</v>
      </c>
      <c r="I651" s="3">
        <f t="shared" si="6"/>
        <v>48</v>
      </c>
    </row>
    <row r="652" spans="1:9" x14ac:dyDescent="0.25">
      <c r="A652" s="2">
        <f t="shared" si="5"/>
        <v>168</v>
      </c>
      <c r="B652" s="1" t="s">
        <v>55</v>
      </c>
      <c r="C652" s="18">
        <v>44451</v>
      </c>
      <c r="D652" s="1" t="s">
        <v>74</v>
      </c>
      <c r="E652" s="1" t="s">
        <v>22</v>
      </c>
      <c r="F652" s="1">
        <v>27</v>
      </c>
      <c r="G652" s="1">
        <v>14</v>
      </c>
      <c r="H652" s="1">
        <v>7</v>
      </c>
      <c r="I652" s="3">
        <f t="shared" si="6"/>
        <v>48</v>
      </c>
    </row>
    <row r="653" spans="1:9" x14ac:dyDescent="0.25">
      <c r="A653" s="2">
        <f t="shared" si="5"/>
        <v>168</v>
      </c>
      <c r="B653" s="1" t="s">
        <v>133</v>
      </c>
      <c r="C653" s="18">
        <v>44367</v>
      </c>
      <c r="D653" s="1" t="s">
        <v>74</v>
      </c>
      <c r="E653" s="1" t="s">
        <v>22</v>
      </c>
      <c r="F653" s="1">
        <v>27</v>
      </c>
      <c r="G653" s="1">
        <v>14</v>
      </c>
      <c r="H653" s="1">
        <v>7</v>
      </c>
      <c r="I653" s="3">
        <f t="shared" si="6"/>
        <v>48</v>
      </c>
    </row>
    <row r="654" spans="1:9" x14ac:dyDescent="0.25">
      <c r="A654" s="2">
        <f t="shared" si="5"/>
        <v>168</v>
      </c>
      <c r="B654" s="1" t="s">
        <v>58</v>
      </c>
      <c r="C654" s="18">
        <v>45011</v>
      </c>
      <c r="D654" s="1" t="s">
        <v>68</v>
      </c>
      <c r="E654" s="1" t="s">
        <v>22</v>
      </c>
      <c r="F654" s="1">
        <v>26</v>
      </c>
      <c r="G654" s="1">
        <v>15</v>
      </c>
      <c r="H654" s="1">
        <v>7</v>
      </c>
      <c r="I654" s="3">
        <f t="shared" si="6"/>
        <v>48</v>
      </c>
    </row>
    <row r="655" spans="1:9" x14ac:dyDescent="0.25">
      <c r="A655" s="2">
        <f t="shared" si="5"/>
        <v>168</v>
      </c>
      <c r="B655" s="1" t="s">
        <v>97</v>
      </c>
      <c r="C655" s="18">
        <v>44230</v>
      </c>
      <c r="D655" s="1" t="s">
        <v>69</v>
      </c>
      <c r="E655" s="1" t="s">
        <v>22</v>
      </c>
      <c r="F655" s="1">
        <v>27</v>
      </c>
      <c r="G655" s="1">
        <v>18</v>
      </c>
      <c r="H655" s="1">
        <v>3</v>
      </c>
      <c r="I655" s="3">
        <f t="shared" si="6"/>
        <v>48</v>
      </c>
    </row>
    <row r="656" spans="1:9" x14ac:dyDescent="0.25">
      <c r="A656" s="2">
        <f t="shared" si="5"/>
        <v>168</v>
      </c>
      <c r="B656" s="1" t="s">
        <v>286</v>
      </c>
      <c r="C656" s="18">
        <v>45081</v>
      </c>
      <c r="D656" s="1" t="s">
        <v>71</v>
      </c>
      <c r="E656" s="1" t="s">
        <v>22</v>
      </c>
      <c r="F656" s="1">
        <v>26</v>
      </c>
      <c r="G656" s="1">
        <v>18</v>
      </c>
      <c r="H656" s="1">
        <v>4</v>
      </c>
      <c r="I656" s="3">
        <f t="shared" si="6"/>
        <v>48</v>
      </c>
    </row>
    <row r="657" spans="1:9" x14ac:dyDescent="0.25">
      <c r="A657" s="2">
        <f t="shared" si="5"/>
        <v>168</v>
      </c>
      <c r="B657" s="1" t="s">
        <v>268</v>
      </c>
      <c r="C657" s="18">
        <v>44962</v>
      </c>
      <c r="D657" s="1" t="s">
        <v>266</v>
      </c>
      <c r="E657" s="1" t="s">
        <v>22</v>
      </c>
      <c r="F657" s="1">
        <v>27</v>
      </c>
      <c r="G657" s="1">
        <v>16</v>
      </c>
      <c r="H657" s="1">
        <v>5</v>
      </c>
      <c r="I657" s="3">
        <f t="shared" si="6"/>
        <v>48</v>
      </c>
    </row>
    <row r="658" spans="1:9" x14ac:dyDescent="0.25">
      <c r="A658" s="2">
        <f t="shared" si="5"/>
        <v>168</v>
      </c>
      <c r="B658" s="1" t="s">
        <v>189</v>
      </c>
      <c r="C658" s="18">
        <v>44591</v>
      </c>
      <c r="D658" s="1" t="s">
        <v>70</v>
      </c>
      <c r="E658" s="1" t="s">
        <v>22</v>
      </c>
      <c r="F658" s="1">
        <v>26</v>
      </c>
      <c r="G658" s="1">
        <v>16</v>
      </c>
      <c r="H658" s="1">
        <v>6</v>
      </c>
      <c r="I658" s="3">
        <f t="shared" si="6"/>
        <v>48</v>
      </c>
    </row>
    <row r="659" spans="1:9" x14ac:dyDescent="0.25">
      <c r="A659" s="2">
        <f t="shared" si="5"/>
        <v>168</v>
      </c>
      <c r="B659" s="1" t="s">
        <v>130</v>
      </c>
      <c r="C659" s="18">
        <v>44353</v>
      </c>
      <c r="D659" s="1" t="s">
        <v>72</v>
      </c>
      <c r="E659" s="1" t="s">
        <v>22</v>
      </c>
      <c r="F659" s="1">
        <v>24</v>
      </c>
      <c r="G659" s="1">
        <v>18</v>
      </c>
      <c r="H659" s="1">
        <v>6</v>
      </c>
      <c r="I659" s="3">
        <f t="shared" si="6"/>
        <v>48</v>
      </c>
    </row>
    <row r="660" spans="1:9" x14ac:dyDescent="0.25">
      <c r="A660" s="2">
        <f t="shared" si="5"/>
        <v>168</v>
      </c>
      <c r="B660" s="1" t="s">
        <v>208</v>
      </c>
      <c r="C660" s="18">
        <v>45220</v>
      </c>
      <c r="D660" s="1" t="s">
        <v>308</v>
      </c>
      <c r="E660" s="1" t="s">
        <v>22</v>
      </c>
      <c r="F660" s="1">
        <v>26</v>
      </c>
      <c r="G660" s="1">
        <v>17</v>
      </c>
      <c r="H660" s="1">
        <v>5</v>
      </c>
      <c r="I660" s="3">
        <f t="shared" si="6"/>
        <v>48</v>
      </c>
    </row>
    <row r="661" spans="1:9" x14ac:dyDescent="0.25">
      <c r="A661" s="2">
        <f t="shared" si="5"/>
        <v>168</v>
      </c>
      <c r="B661" s="29" t="s">
        <v>148</v>
      </c>
      <c r="C661" s="18">
        <v>44430</v>
      </c>
      <c r="D661" s="1" t="s">
        <v>149</v>
      </c>
      <c r="E661" s="1" t="s">
        <v>22</v>
      </c>
      <c r="F661" s="1">
        <v>20</v>
      </c>
      <c r="G661" s="1">
        <v>22</v>
      </c>
      <c r="H661" s="1">
        <v>6</v>
      </c>
      <c r="I661" s="3">
        <f t="shared" si="6"/>
        <v>48</v>
      </c>
    </row>
    <row r="662" spans="1:9" x14ac:dyDescent="0.25">
      <c r="A662" s="2">
        <f t="shared" si="5"/>
        <v>168</v>
      </c>
      <c r="B662" s="1" t="s">
        <v>421</v>
      </c>
      <c r="C662" s="18">
        <v>45753</v>
      </c>
      <c r="D662" s="1" t="s">
        <v>72</v>
      </c>
      <c r="E662" s="1" t="s">
        <v>22</v>
      </c>
      <c r="F662" s="1">
        <v>27</v>
      </c>
      <c r="G662" s="1">
        <v>15</v>
      </c>
      <c r="H662" s="1">
        <v>6</v>
      </c>
      <c r="I662" s="3">
        <f t="shared" si="6"/>
        <v>48</v>
      </c>
    </row>
    <row r="663" spans="1:9" x14ac:dyDescent="0.25">
      <c r="A663" s="2">
        <f t="shared" si="5"/>
        <v>185</v>
      </c>
      <c r="B663" s="1" t="s">
        <v>107</v>
      </c>
      <c r="C663" s="18">
        <v>44703</v>
      </c>
      <c r="D663" s="1" t="s">
        <v>69</v>
      </c>
      <c r="E663" s="1" t="s">
        <v>22</v>
      </c>
      <c r="F663" s="1">
        <v>27</v>
      </c>
      <c r="G663" s="1">
        <v>16</v>
      </c>
      <c r="H663" s="1">
        <v>4</v>
      </c>
      <c r="I663" s="3">
        <f t="shared" si="6"/>
        <v>47</v>
      </c>
    </row>
    <row r="664" spans="1:9" x14ac:dyDescent="0.25">
      <c r="A664" s="2">
        <f t="shared" si="5"/>
        <v>185</v>
      </c>
      <c r="B664" s="29" t="s">
        <v>357</v>
      </c>
      <c r="C664" s="18">
        <v>45494</v>
      </c>
      <c r="D664" s="1" t="s">
        <v>67</v>
      </c>
      <c r="E664" s="1" t="s">
        <v>22</v>
      </c>
      <c r="F664" s="1">
        <v>25</v>
      </c>
      <c r="G664" s="1">
        <v>17</v>
      </c>
      <c r="H664" s="1">
        <v>5</v>
      </c>
      <c r="I664" s="3">
        <f t="shared" si="6"/>
        <v>47</v>
      </c>
    </row>
    <row r="665" spans="1:9" x14ac:dyDescent="0.25">
      <c r="A665" s="2">
        <f t="shared" si="5"/>
        <v>185</v>
      </c>
      <c r="B665" s="1" t="s">
        <v>295</v>
      </c>
      <c r="C665" s="18">
        <v>45130</v>
      </c>
      <c r="D665" s="1" t="s">
        <v>69</v>
      </c>
      <c r="E665" s="1" t="s">
        <v>22</v>
      </c>
      <c r="F665" s="1">
        <v>25</v>
      </c>
      <c r="G665" s="1">
        <v>17</v>
      </c>
      <c r="H665" s="1">
        <v>5</v>
      </c>
      <c r="I665" s="3">
        <f t="shared" si="6"/>
        <v>47</v>
      </c>
    </row>
    <row r="666" spans="1:9" x14ac:dyDescent="0.25">
      <c r="A666" s="2">
        <f t="shared" si="5"/>
        <v>185</v>
      </c>
      <c r="B666" s="1" t="s">
        <v>129</v>
      </c>
      <c r="C666" s="18">
        <v>44353</v>
      </c>
      <c r="D666" s="1" t="s">
        <v>69</v>
      </c>
      <c r="E666" s="1" t="s">
        <v>22</v>
      </c>
      <c r="F666" s="1">
        <v>26</v>
      </c>
      <c r="G666" s="1">
        <v>17</v>
      </c>
      <c r="H666" s="1">
        <v>4</v>
      </c>
      <c r="I666" s="3">
        <f t="shared" si="6"/>
        <v>47</v>
      </c>
    </row>
    <row r="667" spans="1:9" x14ac:dyDescent="0.25">
      <c r="A667" s="2">
        <f t="shared" si="5"/>
        <v>185</v>
      </c>
      <c r="B667" s="1" t="s">
        <v>215</v>
      </c>
      <c r="C667" s="18">
        <v>44717</v>
      </c>
      <c r="D667" s="1" t="s">
        <v>74</v>
      </c>
      <c r="E667" s="1" t="s">
        <v>22</v>
      </c>
      <c r="F667" s="1">
        <v>27</v>
      </c>
      <c r="G667" s="1">
        <v>15</v>
      </c>
      <c r="H667" s="1">
        <v>5</v>
      </c>
      <c r="I667" s="3">
        <f t="shared" si="6"/>
        <v>47</v>
      </c>
    </row>
    <row r="668" spans="1:9" x14ac:dyDescent="0.25">
      <c r="A668" s="2">
        <f t="shared" si="5"/>
        <v>185</v>
      </c>
      <c r="B668" s="1" t="s">
        <v>162</v>
      </c>
      <c r="C668" s="18">
        <v>44465</v>
      </c>
      <c r="D668" s="1" t="s">
        <v>68</v>
      </c>
      <c r="E668" s="1" t="s">
        <v>22</v>
      </c>
      <c r="F668" s="1">
        <v>25</v>
      </c>
      <c r="G668" s="1">
        <v>17</v>
      </c>
      <c r="H668" s="1">
        <v>5</v>
      </c>
      <c r="I668" s="3">
        <f t="shared" si="6"/>
        <v>47</v>
      </c>
    </row>
    <row r="669" spans="1:9" x14ac:dyDescent="0.25">
      <c r="A669" s="2">
        <f t="shared" si="5"/>
        <v>185</v>
      </c>
      <c r="B669" s="1" t="s">
        <v>90</v>
      </c>
      <c r="C669" s="18">
        <v>44703</v>
      </c>
      <c r="D669" s="1" t="s">
        <v>69</v>
      </c>
      <c r="E669" s="1" t="s">
        <v>22</v>
      </c>
      <c r="F669" s="1">
        <v>26</v>
      </c>
      <c r="G669" s="1">
        <v>16</v>
      </c>
      <c r="H669" s="1">
        <v>5</v>
      </c>
      <c r="I669" s="3">
        <f t="shared" si="6"/>
        <v>47</v>
      </c>
    </row>
    <row r="670" spans="1:9" x14ac:dyDescent="0.25">
      <c r="A670" s="2">
        <f t="shared" si="5"/>
        <v>192</v>
      </c>
      <c r="B670" s="1" t="s">
        <v>122</v>
      </c>
      <c r="C670" s="18">
        <v>44325</v>
      </c>
      <c r="D670" s="1" t="s">
        <v>68</v>
      </c>
      <c r="E670" s="1" t="s">
        <v>22</v>
      </c>
      <c r="F670" s="1">
        <v>25</v>
      </c>
      <c r="G670" s="1">
        <v>16</v>
      </c>
      <c r="H670" s="1">
        <v>5</v>
      </c>
      <c r="I670" s="3">
        <f t="shared" si="6"/>
        <v>46</v>
      </c>
    </row>
    <row r="671" spans="1:9" x14ac:dyDescent="0.25">
      <c r="A671" s="2">
        <f t="shared" ref="A671:A717" si="7">RANK(I671,$I$479:$I$718,0)</f>
        <v>192</v>
      </c>
      <c r="B671" s="1" t="s">
        <v>282</v>
      </c>
      <c r="C671" s="18">
        <v>45067</v>
      </c>
      <c r="D671" s="1" t="s">
        <v>69</v>
      </c>
      <c r="E671" s="1" t="s">
        <v>22</v>
      </c>
      <c r="F671" s="1">
        <v>25</v>
      </c>
      <c r="G671" s="1">
        <v>17</v>
      </c>
      <c r="H671" s="1">
        <v>4</v>
      </c>
      <c r="I671" s="3">
        <f t="shared" ref="I671:I734" si="8">SUM(F671:H671)</f>
        <v>46</v>
      </c>
    </row>
    <row r="672" spans="1:9" x14ac:dyDescent="0.25">
      <c r="A672" s="2">
        <f t="shared" si="7"/>
        <v>192</v>
      </c>
      <c r="B672" s="1" t="s">
        <v>54</v>
      </c>
      <c r="C672" s="18">
        <v>44451</v>
      </c>
      <c r="D672" s="1" t="s">
        <v>74</v>
      </c>
      <c r="E672" s="1" t="s">
        <v>22</v>
      </c>
      <c r="F672" s="1">
        <v>26</v>
      </c>
      <c r="G672" s="1">
        <v>14</v>
      </c>
      <c r="H672" s="1">
        <v>6</v>
      </c>
      <c r="I672" s="3">
        <f t="shared" si="8"/>
        <v>46</v>
      </c>
    </row>
    <row r="673" spans="1:9" x14ac:dyDescent="0.25">
      <c r="A673" s="2">
        <f t="shared" si="7"/>
        <v>192</v>
      </c>
      <c r="B673" s="1" t="s">
        <v>190</v>
      </c>
      <c r="C673" s="18">
        <v>44591</v>
      </c>
      <c r="D673" s="1" t="s">
        <v>69</v>
      </c>
      <c r="E673" s="1" t="s">
        <v>22</v>
      </c>
      <c r="F673" s="1">
        <v>24</v>
      </c>
      <c r="G673" s="1">
        <v>18</v>
      </c>
      <c r="H673" s="1">
        <v>4</v>
      </c>
      <c r="I673" s="3">
        <f t="shared" si="8"/>
        <v>46</v>
      </c>
    </row>
    <row r="674" spans="1:9" x14ac:dyDescent="0.25">
      <c r="A674" s="2">
        <f t="shared" si="7"/>
        <v>192</v>
      </c>
      <c r="B674" s="1" t="s">
        <v>409</v>
      </c>
      <c r="C674" s="18">
        <v>45690</v>
      </c>
      <c r="D674" s="1" t="s">
        <v>149</v>
      </c>
      <c r="E674" s="1" t="s">
        <v>22</v>
      </c>
      <c r="F674" s="1">
        <v>26</v>
      </c>
      <c r="G674" s="1">
        <v>15</v>
      </c>
      <c r="H674" s="1">
        <v>5</v>
      </c>
      <c r="I674" s="3">
        <f t="shared" si="8"/>
        <v>46</v>
      </c>
    </row>
    <row r="675" spans="1:9" x14ac:dyDescent="0.25">
      <c r="A675" s="2">
        <f t="shared" si="7"/>
        <v>192</v>
      </c>
      <c r="B675" s="1" t="s">
        <v>447</v>
      </c>
      <c r="C675" s="18">
        <v>45858</v>
      </c>
      <c r="D675" s="1" t="s">
        <v>368</v>
      </c>
      <c r="E675" s="1" t="s">
        <v>22</v>
      </c>
      <c r="F675" s="1">
        <v>26</v>
      </c>
      <c r="G675" s="1">
        <v>17</v>
      </c>
      <c r="H675" s="1">
        <v>3</v>
      </c>
      <c r="I675" s="3">
        <f t="shared" si="8"/>
        <v>46</v>
      </c>
    </row>
    <row r="676" spans="1:9" x14ac:dyDescent="0.25">
      <c r="A676" s="2">
        <f t="shared" si="7"/>
        <v>192</v>
      </c>
      <c r="B676" s="1" t="s">
        <v>449</v>
      </c>
      <c r="C676" s="18">
        <v>45858</v>
      </c>
      <c r="D676" s="1" t="s">
        <v>68</v>
      </c>
      <c r="E676" s="1" t="s">
        <v>22</v>
      </c>
      <c r="F676" s="1">
        <v>25</v>
      </c>
      <c r="G676" s="1">
        <v>18</v>
      </c>
      <c r="H676" s="1">
        <v>3</v>
      </c>
      <c r="I676" s="3">
        <f t="shared" si="8"/>
        <v>46</v>
      </c>
    </row>
    <row r="677" spans="1:9" x14ac:dyDescent="0.25">
      <c r="A677" s="2">
        <f t="shared" si="7"/>
        <v>199</v>
      </c>
      <c r="B677" s="1" t="s">
        <v>171</v>
      </c>
      <c r="C677" s="18">
        <v>44493</v>
      </c>
      <c r="D677" s="1" t="s">
        <v>149</v>
      </c>
      <c r="E677" s="1" t="s">
        <v>22</v>
      </c>
      <c r="F677" s="1">
        <v>24</v>
      </c>
      <c r="G677" s="1">
        <v>15</v>
      </c>
      <c r="H677" s="1">
        <v>6</v>
      </c>
      <c r="I677" s="3">
        <f t="shared" si="8"/>
        <v>45</v>
      </c>
    </row>
    <row r="678" spans="1:9" x14ac:dyDescent="0.25">
      <c r="A678" s="2">
        <f t="shared" si="7"/>
        <v>199</v>
      </c>
      <c r="B678" s="1" t="s">
        <v>118</v>
      </c>
      <c r="C678" s="18">
        <v>44703</v>
      </c>
      <c r="D678" s="1" t="s">
        <v>71</v>
      </c>
      <c r="E678" s="1" t="s">
        <v>22</v>
      </c>
      <c r="F678" s="1">
        <v>26</v>
      </c>
      <c r="G678" s="1">
        <v>15</v>
      </c>
      <c r="H678" s="1">
        <v>4</v>
      </c>
      <c r="I678" s="3">
        <f t="shared" si="8"/>
        <v>45</v>
      </c>
    </row>
    <row r="679" spans="1:9" x14ac:dyDescent="0.25">
      <c r="A679" s="2">
        <f t="shared" si="7"/>
        <v>199</v>
      </c>
      <c r="B679" s="1" t="s">
        <v>52</v>
      </c>
      <c r="C679" s="18">
        <v>44451</v>
      </c>
      <c r="D679" s="1" t="s">
        <v>71</v>
      </c>
      <c r="E679" s="1" t="s">
        <v>22</v>
      </c>
      <c r="F679" s="1">
        <v>25</v>
      </c>
      <c r="G679" s="1">
        <v>16</v>
      </c>
      <c r="H679" s="1">
        <v>4</v>
      </c>
      <c r="I679" s="3">
        <f t="shared" si="8"/>
        <v>45</v>
      </c>
    </row>
    <row r="680" spans="1:9" x14ac:dyDescent="0.25">
      <c r="A680" s="2">
        <f t="shared" si="7"/>
        <v>199</v>
      </c>
      <c r="B680" s="1" t="s">
        <v>100</v>
      </c>
      <c r="C680" s="18">
        <v>44703</v>
      </c>
      <c r="D680" s="1" t="s">
        <v>69</v>
      </c>
      <c r="E680" s="1" t="s">
        <v>22</v>
      </c>
      <c r="F680" s="1">
        <v>26</v>
      </c>
      <c r="G680" s="1">
        <v>14</v>
      </c>
      <c r="H680" s="1">
        <v>5</v>
      </c>
      <c r="I680" s="3">
        <f t="shared" si="8"/>
        <v>45</v>
      </c>
    </row>
    <row r="681" spans="1:9" x14ac:dyDescent="0.25">
      <c r="A681" s="2">
        <f t="shared" si="7"/>
        <v>203</v>
      </c>
      <c r="B681" s="1" t="s">
        <v>175</v>
      </c>
      <c r="C681" s="18">
        <v>44507</v>
      </c>
      <c r="D681" s="1" t="s">
        <v>71</v>
      </c>
      <c r="E681" s="1" t="s">
        <v>22</v>
      </c>
      <c r="F681" s="1">
        <v>24</v>
      </c>
      <c r="G681" s="1">
        <v>15</v>
      </c>
      <c r="H681" s="1">
        <v>5</v>
      </c>
      <c r="I681" s="3">
        <f t="shared" si="8"/>
        <v>44</v>
      </c>
    </row>
    <row r="682" spans="1:9" x14ac:dyDescent="0.25">
      <c r="A682" s="2">
        <f t="shared" si="7"/>
        <v>203</v>
      </c>
      <c r="B682" s="1" t="s">
        <v>82</v>
      </c>
      <c r="C682" s="18">
        <v>44577</v>
      </c>
      <c r="D682" s="1" t="s">
        <v>68</v>
      </c>
      <c r="E682" s="1" t="s">
        <v>22</v>
      </c>
      <c r="F682" s="1">
        <v>25</v>
      </c>
      <c r="G682" s="1">
        <v>14</v>
      </c>
      <c r="H682" s="1">
        <v>5</v>
      </c>
      <c r="I682" s="3">
        <f t="shared" si="8"/>
        <v>44</v>
      </c>
    </row>
    <row r="683" spans="1:9" x14ac:dyDescent="0.25">
      <c r="A683" s="2">
        <f t="shared" si="7"/>
        <v>203</v>
      </c>
      <c r="B683" s="29" t="s">
        <v>49</v>
      </c>
      <c r="C683" s="18">
        <v>45220</v>
      </c>
      <c r="D683" s="1" t="s">
        <v>149</v>
      </c>
      <c r="E683" s="1" t="s">
        <v>22</v>
      </c>
      <c r="F683" s="1">
        <v>25</v>
      </c>
      <c r="G683" s="1">
        <v>15</v>
      </c>
      <c r="H683" s="1">
        <v>4</v>
      </c>
      <c r="I683" s="3">
        <f t="shared" si="8"/>
        <v>44</v>
      </c>
    </row>
    <row r="684" spans="1:9" x14ac:dyDescent="0.25">
      <c r="A684" s="2">
        <f t="shared" si="7"/>
        <v>203</v>
      </c>
      <c r="B684" s="1" t="s">
        <v>182</v>
      </c>
      <c r="C684" s="18">
        <v>44535</v>
      </c>
      <c r="D684" s="1" t="s">
        <v>69</v>
      </c>
      <c r="E684" s="1" t="s">
        <v>22</v>
      </c>
      <c r="F684" s="1">
        <v>26</v>
      </c>
      <c r="G684" s="1">
        <v>16</v>
      </c>
      <c r="H684" s="1">
        <v>2</v>
      </c>
      <c r="I684" s="3">
        <f t="shared" si="8"/>
        <v>44</v>
      </c>
    </row>
    <row r="685" spans="1:9" x14ac:dyDescent="0.25">
      <c r="A685" s="2">
        <f t="shared" si="7"/>
        <v>203</v>
      </c>
      <c r="B685" s="1" t="s">
        <v>46</v>
      </c>
      <c r="C685" s="18">
        <v>44451</v>
      </c>
      <c r="D685" s="1" t="s">
        <v>69</v>
      </c>
      <c r="E685" s="1" t="s">
        <v>22</v>
      </c>
      <c r="F685" s="1">
        <v>26</v>
      </c>
      <c r="G685" s="1">
        <v>14</v>
      </c>
      <c r="H685" s="1">
        <v>4</v>
      </c>
      <c r="I685" s="3">
        <f t="shared" si="8"/>
        <v>44</v>
      </c>
    </row>
    <row r="686" spans="1:9" x14ac:dyDescent="0.25">
      <c r="A686" s="2">
        <f t="shared" si="7"/>
        <v>203</v>
      </c>
      <c r="B686" s="29" t="s">
        <v>138</v>
      </c>
      <c r="C686" s="18">
        <v>44402</v>
      </c>
      <c r="D686" s="1" t="s">
        <v>69</v>
      </c>
      <c r="E686" s="1" t="s">
        <v>22</v>
      </c>
      <c r="F686" s="1">
        <v>24</v>
      </c>
      <c r="G686" s="1">
        <v>16</v>
      </c>
      <c r="H686" s="1">
        <v>4</v>
      </c>
      <c r="I686" s="3">
        <f t="shared" si="8"/>
        <v>44</v>
      </c>
    </row>
    <row r="687" spans="1:9" x14ac:dyDescent="0.25">
      <c r="A687" s="2">
        <f t="shared" si="7"/>
        <v>203</v>
      </c>
      <c r="B687" s="29" t="s">
        <v>342</v>
      </c>
      <c r="C687" s="18">
        <v>45396</v>
      </c>
      <c r="D687" s="1" t="s">
        <v>75</v>
      </c>
      <c r="E687" s="1" t="s">
        <v>22</v>
      </c>
      <c r="F687" s="1">
        <v>26</v>
      </c>
      <c r="G687" s="1">
        <v>14</v>
      </c>
      <c r="H687" s="1">
        <v>4</v>
      </c>
      <c r="I687" s="3">
        <f t="shared" si="8"/>
        <v>44</v>
      </c>
    </row>
    <row r="688" spans="1:9" x14ac:dyDescent="0.25">
      <c r="A688" s="2">
        <f t="shared" si="7"/>
        <v>203</v>
      </c>
      <c r="B688" s="1" t="s">
        <v>468</v>
      </c>
      <c r="C688" s="18">
        <v>45816</v>
      </c>
      <c r="D688" s="1" t="s">
        <v>469</v>
      </c>
      <c r="E688" s="1" t="s">
        <v>22</v>
      </c>
      <c r="F688" s="1">
        <v>25</v>
      </c>
      <c r="G688" s="1">
        <v>15</v>
      </c>
      <c r="H688" s="1">
        <v>4</v>
      </c>
      <c r="I688" s="3">
        <f t="shared" si="8"/>
        <v>44</v>
      </c>
    </row>
    <row r="689" spans="1:9" x14ac:dyDescent="0.25">
      <c r="A689" s="2">
        <f t="shared" si="7"/>
        <v>203</v>
      </c>
      <c r="B689" s="1" t="s">
        <v>450</v>
      </c>
      <c r="C689" s="18">
        <v>45872</v>
      </c>
      <c r="D689" s="1" t="s">
        <v>149</v>
      </c>
      <c r="E689" s="1" t="s">
        <v>22</v>
      </c>
      <c r="F689" s="1">
        <v>26</v>
      </c>
      <c r="G689" s="1">
        <v>14</v>
      </c>
      <c r="H689" s="1">
        <v>4</v>
      </c>
      <c r="I689" s="3">
        <f t="shared" si="8"/>
        <v>44</v>
      </c>
    </row>
    <row r="690" spans="1:9" x14ac:dyDescent="0.25">
      <c r="A690" s="2">
        <f t="shared" si="7"/>
        <v>212</v>
      </c>
      <c r="B690" s="1" t="s">
        <v>336</v>
      </c>
      <c r="C690" s="18">
        <v>45368</v>
      </c>
      <c r="D690" s="1" t="s">
        <v>72</v>
      </c>
      <c r="E690" s="1" t="s">
        <v>22</v>
      </c>
      <c r="F690" s="1">
        <v>26</v>
      </c>
      <c r="G690" s="1">
        <v>12</v>
      </c>
      <c r="H690" s="1">
        <v>5</v>
      </c>
      <c r="I690" s="3">
        <f t="shared" si="8"/>
        <v>43</v>
      </c>
    </row>
    <row r="691" spans="1:9" x14ac:dyDescent="0.25">
      <c r="A691" s="2">
        <f t="shared" si="7"/>
        <v>212</v>
      </c>
      <c r="B691" s="1" t="s">
        <v>23</v>
      </c>
      <c r="C691" s="18">
        <v>44409</v>
      </c>
      <c r="D691" s="1" t="s">
        <v>69</v>
      </c>
      <c r="E691" s="1" t="s">
        <v>22</v>
      </c>
      <c r="F691" s="1">
        <v>26</v>
      </c>
      <c r="G691" s="1">
        <v>12</v>
      </c>
      <c r="H691" s="1">
        <v>5</v>
      </c>
      <c r="I691" s="3">
        <f t="shared" si="8"/>
        <v>43</v>
      </c>
    </row>
    <row r="692" spans="1:9" x14ac:dyDescent="0.25">
      <c r="A692" s="2">
        <f t="shared" si="7"/>
        <v>212</v>
      </c>
      <c r="B692" s="1" t="s">
        <v>157</v>
      </c>
      <c r="C692" s="18">
        <v>44451</v>
      </c>
      <c r="D692" s="1" t="s">
        <v>71</v>
      </c>
      <c r="E692" s="1" t="s">
        <v>22</v>
      </c>
      <c r="F692" s="1">
        <v>23</v>
      </c>
      <c r="G692" s="1">
        <v>16</v>
      </c>
      <c r="H692" s="1">
        <v>4</v>
      </c>
      <c r="I692" s="3">
        <f t="shared" si="8"/>
        <v>43</v>
      </c>
    </row>
    <row r="693" spans="1:9" x14ac:dyDescent="0.25">
      <c r="A693" s="2">
        <f t="shared" si="7"/>
        <v>212</v>
      </c>
      <c r="B693" s="1" t="s">
        <v>34</v>
      </c>
      <c r="C693" s="18">
        <v>44423</v>
      </c>
      <c r="D693" s="1" t="s">
        <v>71</v>
      </c>
      <c r="E693" s="1" t="s">
        <v>22</v>
      </c>
      <c r="F693" s="1">
        <v>24</v>
      </c>
      <c r="G693" s="1">
        <v>14</v>
      </c>
      <c r="H693" s="1">
        <v>5</v>
      </c>
      <c r="I693" s="3">
        <f t="shared" si="8"/>
        <v>43</v>
      </c>
    </row>
    <row r="694" spans="1:9" x14ac:dyDescent="0.25">
      <c r="A694" s="2">
        <f t="shared" si="7"/>
        <v>212</v>
      </c>
      <c r="B694" s="1" t="s">
        <v>405</v>
      </c>
      <c r="C694" s="18">
        <v>45676</v>
      </c>
      <c r="D694" s="1" t="s">
        <v>149</v>
      </c>
      <c r="E694" s="1" t="s">
        <v>22</v>
      </c>
      <c r="F694" s="1">
        <v>25</v>
      </c>
      <c r="G694" s="1">
        <v>15</v>
      </c>
      <c r="H694" s="1">
        <v>3</v>
      </c>
      <c r="I694" s="3">
        <f t="shared" si="8"/>
        <v>43</v>
      </c>
    </row>
    <row r="695" spans="1:9" x14ac:dyDescent="0.25">
      <c r="A695" s="2">
        <f t="shared" si="7"/>
        <v>217</v>
      </c>
      <c r="B695" s="29" t="s">
        <v>51</v>
      </c>
      <c r="C695" s="18">
        <v>45220</v>
      </c>
      <c r="D695" s="1" t="s">
        <v>149</v>
      </c>
      <c r="E695" s="1" t="s">
        <v>22</v>
      </c>
      <c r="F695" s="1">
        <v>25</v>
      </c>
      <c r="G695" s="1">
        <v>13</v>
      </c>
      <c r="H695" s="1">
        <v>4</v>
      </c>
      <c r="I695" s="3">
        <f t="shared" si="8"/>
        <v>42</v>
      </c>
    </row>
    <row r="696" spans="1:9" x14ac:dyDescent="0.25">
      <c r="A696" s="2">
        <f t="shared" si="7"/>
        <v>217</v>
      </c>
      <c r="B696" s="29" t="s">
        <v>50</v>
      </c>
      <c r="C696" s="18">
        <v>45220</v>
      </c>
      <c r="D696" s="1" t="s">
        <v>149</v>
      </c>
      <c r="E696" s="1" t="s">
        <v>22</v>
      </c>
      <c r="F696" s="1">
        <v>25</v>
      </c>
      <c r="G696" s="1">
        <v>13</v>
      </c>
      <c r="H696" s="1">
        <v>4</v>
      </c>
      <c r="I696" s="3">
        <f t="shared" si="8"/>
        <v>42</v>
      </c>
    </row>
    <row r="697" spans="1:9" x14ac:dyDescent="0.25">
      <c r="A697" s="2">
        <f t="shared" si="7"/>
        <v>217</v>
      </c>
      <c r="B697" s="1" t="s">
        <v>291</v>
      </c>
      <c r="C697" s="18">
        <v>45102</v>
      </c>
      <c r="D697" s="1" t="s">
        <v>236</v>
      </c>
      <c r="E697" s="1" t="s">
        <v>22</v>
      </c>
      <c r="F697" s="1">
        <v>22</v>
      </c>
      <c r="G697" s="1">
        <v>17</v>
      </c>
      <c r="H697" s="1">
        <v>3</v>
      </c>
      <c r="I697" s="3">
        <f t="shared" si="8"/>
        <v>42</v>
      </c>
    </row>
    <row r="698" spans="1:9" x14ac:dyDescent="0.25">
      <c r="A698" s="2">
        <f t="shared" si="7"/>
        <v>217</v>
      </c>
      <c r="B698" s="1" t="s">
        <v>263</v>
      </c>
      <c r="C698" s="18">
        <v>44934</v>
      </c>
      <c r="D698" s="1" t="s">
        <v>262</v>
      </c>
      <c r="E698" s="1" t="s">
        <v>22</v>
      </c>
      <c r="F698" s="1">
        <v>21</v>
      </c>
      <c r="G698" s="1">
        <v>18</v>
      </c>
      <c r="H698" s="1">
        <v>3</v>
      </c>
      <c r="I698" s="3">
        <f t="shared" si="8"/>
        <v>42</v>
      </c>
    </row>
    <row r="699" spans="1:9" x14ac:dyDescent="0.25">
      <c r="A699" s="2">
        <f t="shared" si="7"/>
        <v>221</v>
      </c>
      <c r="B699" s="1" t="s">
        <v>94</v>
      </c>
      <c r="C699" s="18">
        <v>44577</v>
      </c>
      <c r="D699" s="1" t="s">
        <v>71</v>
      </c>
      <c r="E699" s="1" t="s">
        <v>22</v>
      </c>
      <c r="F699" s="1">
        <v>23</v>
      </c>
      <c r="G699" s="1">
        <v>13</v>
      </c>
      <c r="H699" s="1">
        <v>5</v>
      </c>
      <c r="I699" s="3">
        <f t="shared" si="8"/>
        <v>41</v>
      </c>
    </row>
    <row r="700" spans="1:9" x14ac:dyDescent="0.25">
      <c r="A700" s="2">
        <f t="shared" si="7"/>
        <v>221</v>
      </c>
      <c r="B700" s="1" t="s">
        <v>166</v>
      </c>
      <c r="C700" s="18">
        <v>44479</v>
      </c>
      <c r="D700" s="1" t="s">
        <v>68</v>
      </c>
      <c r="E700" s="1" t="s">
        <v>22</v>
      </c>
      <c r="F700" s="1">
        <v>26</v>
      </c>
      <c r="G700" s="1">
        <v>13</v>
      </c>
      <c r="H700" s="1">
        <v>2</v>
      </c>
      <c r="I700" s="3">
        <f t="shared" si="8"/>
        <v>41</v>
      </c>
    </row>
    <row r="701" spans="1:9" x14ac:dyDescent="0.25">
      <c r="A701" s="2">
        <f t="shared" si="7"/>
        <v>221</v>
      </c>
      <c r="B701" s="1" t="s">
        <v>93</v>
      </c>
      <c r="C701" s="18">
        <v>44217</v>
      </c>
      <c r="D701" s="1" t="s">
        <v>71</v>
      </c>
      <c r="E701" s="1" t="s">
        <v>22</v>
      </c>
      <c r="F701" s="1">
        <v>24</v>
      </c>
      <c r="G701" s="1">
        <v>13</v>
      </c>
      <c r="H701" s="1">
        <v>4</v>
      </c>
      <c r="I701" s="3">
        <f t="shared" si="8"/>
        <v>41</v>
      </c>
    </row>
    <row r="702" spans="1:9" x14ac:dyDescent="0.25">
      <c r="A702" s="2">
        <f t="shared" si="7"/>
        <v>221</v>
      </c>
      <c r="B702" s="29" t="s">
        <v>331</v>
      </c>
      <c r="C702" s="18">
        <v>45340</v>
      </c>
      <c r="D702" s="1" t="s">
        <v>72</v>
      </c>
      <c r="E702" s="1" t="s">
        <v>22</v>
      </c>
      <c r="F702" s="1">
        <v>22</v>
      </c>
      <c r="G702" s="1">
        <v>17</v>
      </c>
      <c r="H702" s="1">
        <v>2</v>
      </c>
      <c r="I702" s="3">
        <f t="shared" si="8"/>
        <v>41</v>
      </c>
    </row>
    <row r="703" spans="1:9" x14ac:dyDescent="0.25">
      <c r="A703" s="2">
        <f t="shared" si="7"/>
        <v>221</v>
      </c>
      <c r="B703" s="1" t="s">
        <v>25</v>
      </c>
      <c r="C703" s="18">
        <v>44409</v>
      </c>
      <c r="D703" s="1" t="s">
        <v>69</v>
      </c>
      <c r="E703" s="1" t="s">
        <v>22</v>
      </c>
      <c r="F703" s="1">
        <v>24</v>
      </c>
      <c r="G703" s="1">
        <v>12</v>
      </c>
      <c r="H703" s="1">
        <v>5</v>
      </c>
      <c r="I703" s="3">
        <f t="shared" si="8"/>
        <v>41</v>
      </c>
    </row>
    <row r="704" spans="1:9" x14ac:dyDescent="0.25">
      <c r="A704" s="2">
        <f t="shared" si="7"/>
        <v>221</v>
      </c>
      <c r="B704" s="1" t="s">
        <v>135</v>
      </c>
      <c r="C704" s="18">
        <v>44367</v>
      </c>
      <c r="D704" s="1" t="s">
        <v>68</v>
      </c>
      <c r="E704" s="1" t="s">
        <v>22</v>
      </c>
      <c r="F704" s="1">
        <v>24</v>
      </c>
      <c r="G704" s="1">
        <v>14</v>
      </c>
      <c r="H704" s="1">
        <v>3</v>
      </c>
      <c r="I704" s="3">
        <f t="shared" si="8"/>
        <v>41</v>
      </c>
    </row>
    <row r="705" spans="1:9" x14ac:dyDescent="0.25">
      <c r="A705" s="2">
        <f t="shared" si="7"/>
        <v>221</v>
      </c>
      <c r="B705" s="1" t="s">
        <v>150</v>
      </c>
      <c r="C705" s="18">
        <v>44437</v>
      </c>
      <c r="D705" s="1" t="s">
        <v>72</v>
      </c>
      <c r="E705" s="1" t="s">
        <v>22</v>
      </c>
      <c r="F705" s="1">
        <v>23</v>
      </c>
      <c r="G705" s="1">
        <v>14</v>
      </c>
      <c r="H705" s="1">
        <v>4</v>
      </c>
      <c r="I705" s="3">
        <f t="shared" si="8"/>
        <v>41</v>
      </c>
    </row>
    <row r="706" spans="1:9" x14ac:dyDescent="0.25">
      <c r="A706" s="2">
        <f t="shared" si="7"/>
        <v>221</v>
      </c>
      <c r="B706" s="1" t="s">
        <v>62</v>
      </c>
      <c r="C706" s="18">
        <v>44577</v>
      </c>
      <c r="D706" s="1" t="s">
        <v>75</v>
      </c>
      <c r="E706" s="1" t="s">
        <v>22</v>
      </c>
      <c r="F706" s="1">
        <v>23</v>
      </c>
      <c r="G706" s="1">
        <v>13</v>
      </c>
      <c r="H706" s="1">
        <v>5</v>
      </c>
      <c r="I706" s="3">
        <f t="shared" si="8"/>
        <v>41</v>
      </c>
    </row>
    <row r="707" spans="1:9" x14ac:dyDescent="0.25">
      <c r="A707" s="2">
        <f t="shared" si="7"/>
        <v>229</v>
      </c>
      <c r="B707" s="1" t="s">
        <v>198</v>
      </c>
      <c r="C707" s="18">
        <v>44626</v>
      </c>
      <c r="D707" s="1" t="s">
        <v>71</v>
      </c>
      <c r="E707" s="1" t="s">
        <v>22</v>
      </c>
      <c r="F707" s="1">
        <v>23</v>
      </c>
      <c r="G707" s="1">
        <v>13</v>
      </c>
      <c r="H707" s="1">
        <v>4</v>
      </c>
      <c r="I707" s="3">
        <f t="shared" si="8"/>
        <v>40</v>
      </c>
    </row>
    <row r="708" spans="1:9" x14ac:dyDescent="0.25">
      <c r="A708" s="2">
        <f t="shared" si="7"/>
        <v>229</v>
      </c>
      <c r="B708" s="1" t="s">
        <v>170</v>
      </c>
      <c r="C708" s="18">
        <v>44493</v>
      </c>
      <c r="D708" s="1" t="s">
        <v>154</v>
      </c>
      <c r="E708" s="1" t="s">
        <v>22</v>
      </c>
      <c r="F708" s="1">
        <v>23</v>
      </c>
      <c r="G708" s="1">
        <v>13</v>
      </c>
      <c r="H708" s="1">
        <v>4</v>
      </c>
      <c r="I708" s="3">
        <f t="shared" si="8"/>
        <v>40</v>
      </c>
    </row>
    <row r="709" spans="1:9" x14ac:dyDescent="0.25">
      <c r="A709" s="2">
        <f t="shared" si="7"/>
        <v>229</v>
      </c>
      <c r="B709" s="1" t="s">
        <v>351</v>
      </c>
      <c r="C709" s="18">
        <v>45459</v>
      </c>
      <c r="D709" s="1" t="s">
        <v>149</v>
      </c>
      <c r="E709" s="1" t="s">
        <v>22</v>
      </c>
      <c r="F709" s="1">
        <v>22</v>
      </c>
      <c r="G709" s="1">
        <v>16</v>
      </c>
      <c r="H709" s="1">
        <v>2</v>
      </c>
      <c r="I709" s="3">
        <f t="shared" si="8"/>
        <v>40</v>
      </c>
    </row>
    <row r="710" spans="1:9" x14ac:dyDescent="0.25">
      <c r="A710" s="2">
        <f t="shared" si="7"/>
        <v>229</v>
      </c>
      <c r="B710" s="1" t="s">
        <v>433</v>
      </c>
      <c r="C710" s="18">
        <v>45802</v>
      </c>
      <c r="D710" s="1" t="s">
        <v>262</v>
      </c>
      <c r="E710" s="1" t="s">
        <v>22</v>
      </c>
      <c r="F710" s="1">
        <v>22</v>
      </c>
      <c r="G710" s="1">
        <v>15</v>
      </c>
      <c r="H710" s="1">
        <v>3</v>
      </c>
      <c r="I710" s="3">
        <f t="shared" si="8"/>
        <v>40</v>
      </c>
    </row>
    <row r="711" spans="1:9" x14ac:dyDescent="0.25">
      <c r="A711" s="2">
        <f t="shared" si="7"/>
        <v>233</v>
      </c>
      <c r="B711" s="29" t="s">
        <v>257</v>
      </c>
      <c r="C711" s="18">
        <v>44913</v>
      </c>
      <c r="D711" s="1" t="s">
        <v>69</v>
      </c>
      <c r="E711" s="1" t="s">
        <v>22</v>
      </c>
      <c r="F711" s="1">
        <v>20</v>
      </c>
      <c r="G711" s="1">
        <v>14</v>
      </c>
      <c r="H711" s="1">
        <v>5</v>
      </c>
      <c r="I711" s="3">
        <f t="shared" si="8"/>
        <v>39</v>
      </c>
    </row>
    <row r="712" spans="1:9" x14ac:dyDescent="0.25">
      <c r="A712" s="2">
        <f t="shared" si="7"/>
        <v>233</v>
      </c>
      <c r="B712" s="1" t="s">
        <v>24</v>
      </c>
      <c r="C712" s="18">
        <v>44409</v>
      </c>
      <c r="D712" s="1" t="s">
        <v>69</v>
      </c>
      <c r="E712" s="1" t="s">
        <v>22</v>
      </c>
      <c r="F712" s="1">
        <v>22</v>
      </c>
      <c r="G712" s="1">
        <v>12</v>
      </c>
      <c r="H712" s="1">
        <v>5</v>
      </c>
      <c r="I712" s="3">
        <f t="shared" si="8"/>
        <v>39</v>
      </c>
    </row>
    <row r="713" spans="1:9" x14ac:dyDescent="0.25">
      <c r="A713" s="2">
        <f t="shared" si="7"/>
        <v>235</v>
      </c>
      <c r="B713" s="1" t="s">
        <v>35</v>
      </c>
      <c r="C713" s="18">
        <v>44423</v>
      </c>
      <c r="D713" s="1" t="s">
        <v>72</v>
      </c>
      <c r="E713" s="1" t="s">
        <v>22</v>
      </c>
      <c r="F713" s="1">
        <v>22</v>
      </c>
      <c r="G713" s="1">
        <v>11</v>
      </c>
      <c r="H713" s="1">
        <v>5</v>
      </c>
      <c r="I713" s="3">
        <f t="shared" si="8"/>
        <v>38</v>
      </c>
    </row>
    <row r="714" spans="1:9" x14ac:dyDescent="0.25">
      <c r="A714" s="2">
        <f t="shared" si="7"/>
        <v>236</v>
      </c>
      <c r="B714" s="1" t="s">
        <v>242</v>
      </c>
      <c r="C714" s="18">
        <v>44843</v>
      </c>
      <c r="D714" s="1" t="s">
        <v>73</v>
      </c>
      <c r="E714" s="1" t="s">
        <v>22</v>
      </c>
      <c r="F714" s="1">
        <v>20</v>
      </c>
      <c r="G714" s="1">
        <v>14</v>
      </c>
      <c r="H714" s="1">
        <v>3</v>
      </c>
      <c r="I714" s="3">
        <f t="shared" si="8"/>
        <v>37</v>
      </c>
    </row>
    <row r="715" spans="1:9" x14ac:dyDescent="0.25">
      <c r="A715" s="2">
        <f t="shared" si="7"/>
        <v>237</v>
      </c>
      <c r="B715" s="1" t="s">
        <v>99</v>
      </c>
      <c r="C715" s="18">
        <v>44577</v>
      </c>
      <c r="D715" s="1" t="s">
        <v>154</v>
      </c>
      <c r="E715" s="1" t="s">
        <v>22</v>
      </c>
      <c r="F715" s="1">
        <v>19</v>
      </c>
      <c r="G715" s="1">
        <v>13</v>
      </c>
      <c r="H715" s="1">
        <v>4</v>
      </c>
      <c r="I715" s="3">
        <f t="shared" si="8"/>
        <v>36</v>
      </c>
    </row>
    <row r="716" spans="1:9" x14ac:dyDescent="0.25">
      <c r="A716" s="2">
        <f t="shared" si="7"/>
        <v>238</v>
      </c>
      <c r="B716" s="1" t="s">
        <v>243</v>
      </c>
      <c r="C716" s="18">
        <v>44843</v>
      </c>
      <c r="D716" s="1" t="s">
        <v>149</v>
      </c>
      <c r="E716" s="1" t="s">
        <v>22</v>
      </c>
      <c r="F716" s="1">
        <v>19</v>
      </c>
      <c r="G716" s="1">
        <v>13</v>
      </c>
      <c r="H716" s="1">
        <v>3</v>
      </c>
      <c r="I716" s="3">
        <f t="shared" si="8"/>
        <v>35</v>
      </c>
    </row>
    <row r="717" spans="1:9" x14ac:dyDescent="0.25">
      <c r="A717" s="2">
        <f t="shared" si="7"/>
        <v>239</v>
      </c>
      <c r="B717" s="1" t="s">
        <v>283</v>
      </c>
      <c r="C717" s="18">
        <v>45067</v>
      </c>
      <c r="D717" s="1" t="s">
        <v>149</v>
      </c>
      <c r="E717" s="1" t="s">
        <v>22</v>
      </c>
      <c r="F717" s="1">
        <v>17</v>
      </c>
      <c r="G717" s="1">
        <v>14</v>
      </c>
      <c r="H717" s="1">
        <v>3</v>
      </c>
      <c r="I717" s="3">
        <f t="shared" si="8"/>
        <v>34</v>
      </c>
    </row>
    <row r="718" spans="1:9" x14ac:dyDescent="0.25">
      <c r="A718" s="2"/>
      <c r="I718" s="3"/>
    </row>
    <row r="719" spans="1:9" x14ac:dyDescent="0.25">
      <c r="A719" s="2" t="s">
        <v>27</v>
      </c>
      <c r="B719" s="1" t="s">
        <v>28</v>
      </c>
      <c r="D719" s="1" t="s">
        <v>29</v>
      </c>
      <c r="E719" s="1" t="s">
        <v>29</v>
      </c>
      <c r="F719" s="4">
        <f>AVERAGE(F479:F718)</f>
        <v>27.305439330543933</v>
      </c>
      <c r="G719" s="4">
        <f>AVERAGE(G479:G718)</f>
        <v>17.98326359832636</v>
      </c>
      <c r="H719" s="4">
        <f>AVERAGE(H479:H718)</f>
        <v>5.7489539748953975</v>
      </c>
      <c r="I719" s="5">
        <f>AVERAGE(I479:I718)</f>
        <v>51.037656903765694</v>
      </c>
    </row>
    <row r="720" spans="1:9" x14ac:dyDescent="0.25">
      <c r="A720" s="39" t="s">
        <v>13</v>
      </c>
      <c r="B720" s="40"/>
      <c r="C720" s="40"/>
      <c r="D720" s="40"/>
      <c r="E720" s="40"/>
      <c r="F720" s="40"/>
      <c r="G720" s="40"/>
      <c r="H720" s="40"/>
      <c r="I720" s="41"/>
    </row>
    <row r="721" spans="1:18" s="14" customFormat="1" ht="30" x14ac:dyDescent="0.25">
      <c r="A721" s="10" t="s">
        <v>1</v>
      </c>
      <c r="B721" s="11" t="s">
        <v>0</v>
      </c>
      <c r="C721" s="11" t="s">
        <v>359</v>
      </c>
      <c r="D721" s="11" t="s">
        <v>65</v>
      </c>
      <c r="E721" s="11" t="s">
        <v>2</v>
      </c>
      <c r="F721" s="11" t="s">
        <v>3</v>
      </c>
      <c r="G721" s="11" t="s">
        <v>4</v>
      </c>
      <c r="H721" s="11" t="s">
        <v>5</v>
      </c>
      <c r="I721" s="22" t="s">
        <v>361</v>
      </c>
      <c r="J721" s="11"/>
      <c r="L721" s="1"/>
      <c r="M721" s="1"/>
      <c r="N721" s="1"/>
      <c r="O721" s="1"/>
      <c r="P721" s="1"/>
      <c r="Q721" s="1"/>
      <c r="R721" s="4"/>
    </row>
    <row r="722" spans="1:18" x14ac:dyDescent="0.25">
      <c r="A722" s="2">
        <f>RANK(I722,$I$722:$I$861,0)</f>
        <v>1</v>
      </c>
      <c r="B722" s="1" t="s">
        <v>89</v>
      </c>
      <c r="C722" s="18">
        <v>45011</v>
      </c>
      <c r="D722" s="1" t="s">
        <v>66</v>
      </c>
      <c r="E722" s="1" t="s">
        <v>17</v>
      </c>
      <c r="F722" s="1">
        <v>32</v>
      </c>
      <c r="G722" s="1">
        <v>23</v>
      </c>
      <c r="H722" s="1">
        <v>8</v>
      </c>
      <c r="I722" s="3">
        <f>SUM(F722:H722)</f>
        <v>63</v>
      </c>
    </row>
    <row r="723" spans="1:18" x14ac:dyDescent="0.25">
      <c r="A723" s="2">
        <f>RANK(I723,$I$722:$I$861,0)</f>
        <v>2</v>
      </c>
      <c r="B723" s="29" t="s">
        <v>495</v>
      </c>
      <c r="C723" s="18">
        <v>46082</v>
      </c>
      <c r="D723" s="1" t="s">
        <v>266</v>
      </c>
      <c r="E723" s="1" t="s">
        <v>17</v>
      </c>
      <c r="F723" s="1">
        <v>30</v>
      </c>
      <c r="G723" s="1">
        <v>21</v>
      </c>
      <c r="H723" s="1">
        <v>9</v>
      </c>
      <c r="I723" s="3">
        <f>SUM(F723:H723)</f>
        <v>60</v>
      </c>
    </row>
    <row r="724" spans="1:18" x14ac:dyDescent="0.25">
      <c r="A724" s="2">
        <f>RANK(I724,$I$722:$I$861,0)</f>
        <v>2</v>
      </c>
      <c r="B724" s="1" t="s">
        <v>504</v>
      </c>
      <c r="C724" s="18">
        <v>46124</v>
      </c>
      <c r="D724" s="1" t="s">
        <v>483</v>
      </c>
      <c r="E724" s="1" t="s">
        <v>17</v>
      </c>
      <c r="F724" s="1">
        <v>29</v>
      </c>
      <c r="G724" s="1">
        <v>24</v>
      </c>
      <c r="H724" s="1">
        <v>7</v>
      </c>
      <c r="I724" s="3">
        <f>SUM(F724:H724)</f>
        <v>60</v>
      </c>
    </row>
    <row r="725" spans="1:18" x14ac:dyDescent="0.25">
      <c r="A725" s="2">
        <f>RANK(I725,$I$722:$I$861,0)</f>
        <v>4</v>
      </c>
      <c r="B725" s="1" t="s">
        <v>124</v>
      </c>
      <c r="C725" s="18">
        <v>44325</v>
      </c>
      <c r="D725" s="1" t="s">
        <v>72</v>
      </c>
      <c r="E725" s="1" t="s">
        <v>17</v>
      </c>
      <c r="F725" s="1">
        <v>29</v>
      </c>
      <c r="G725" s="1">
        <v>22</v>
      </c>
      <c r="H725" s="1">
        <v>8</v>
      </c>
      <c r="I725" s="3">
        <f>SUM(F725:H725)</f>
        <v>59</v>
      </c>
    </row>
    <row r="726" spans="1:18" x14ac:dyDescent="0.25">
      <c r="A726" s="2">
        <f>RANK(I726,$I$722:$I$861,0)</f>
        <v>4</v>
      </c>
      <c r="B726" s="29" t="s">
        <v>197</v>
      </c>
      <c r="C726" s="18">
        <v>44621</v>
      </c>
      <c r="D726" s="1" t="s">
        <v>71</v>
      </c>
      <c r="E726" s="1" t="s">
        <v>17</v>
      </c>
      <c r="F726" s="1">
        <v>31</v>
      </c>
      <c r="G726" s="1">
        <v>23</v>
      </c>
      <c r="H726" s="1">
        <v>5</v>
      </c>
      <c r="I726" s="3">
        <f>SUM(F726:H726)</f>
        <v>59</v>
      </c>
    </row>
    <row r="727" spans="1:18" x14ac:dyDescent="0.25">
      <c r="A727" s="2">
        <f>RANK(I727,$I$722:$I$861,0)</f>
        <v>4</v>
      </c>
      <c r="B727" s="29" t="s">
        <v>414</v>
      </c>
      <c r="C727" s="18">
        <v>45725</v>
      </c>
      <c r="D727" s="1" t="s">
        <v>72</v>
      </c>
      <c r="E727" s="1" t="s">
        <v>17</v>
      </c>
      <c r="F727" s="1">
        <v>29</v>
      </c>
      <c r="G727" s="1">
        <v>24</v>
      </c>
      <c r="H727" s="1">
        <v>6</v>
      </c>
      <c r="I727" s="3">
        <f>SUM(F727:H727)</f>
        <v>59</v>
      </c>
    </row>
    <row r="728" spans="1:18" x14ac:dyDescent="0.25">
      <c r="A728" s="2">
        <f>RANK(I728,$I$722:$I$861,0)</f>
        <v>7</v>
      </c>
      <c r="B728" s="1" t="s">
        <v>209</v>
      </c>
      <c r="C728" s="18">
        <v>44668</v>
      </c>
      <c r="D728" s="1" t="s">
        <v>184</v>
      </c>
      <c r="E728" s="1" t="s">
        <v>17</v>
      </c>
      <c r="F728" s="1">
        <v>28</v>
      </c>
      <c r="G728" s="1">
        <v>23</v>
      </c>
      <c r="H728" s="1">
        <v>7</v>
      </c>
      <c r="I728" s="3">
        <f>SUM(F728:H728)</f>
        <v>58</v>
      </c>
    </row>
    <row r="729" spans="1:18" x14ac:dyDescent="0.25">
      <c r="A729" s="2">
        <f>RANK(I729,$I$722:$I$861,0)</f>
        <v>7</v>
      </c>
      <c r="B729" s="29" t="s">
        <v>372</v>
      </c>
      <c r="C729" s="18">
        <v>45550</v>
      </c>
      <c r="D729" s="1" t="s">
        <v>266</v>
      </c>
      <c r="E729" s="1" t="s">
        <v>17</v>
      </c>
      <c r="F729" s="1">
        <v>30</v>
      </c>
      <c r="G729" s="1">
        <v>21</v>
      </c>
      <c r="H729" s="1">
        <v>7</v>
      </c>
      <c r="I729" s="3">
        <f>SUM(F729:H729)</f>
        <v>58</v>
      </c>
    </row>
    <row r="730" spans="1:18" x14ac:dyDescent="0.25">
      <c r="A730" s="2">
        <f>RANK(I730,$I$722:$I$861,0)</f>
        <v>7</v>
      </c>
      <c r="B730" s="1" t="s">
        <v>443</v>
      </c>
      <c r="C730" s="18">
        <v>45844</v>
      </c>
      <c r="D730" s="1" t="s">
        <v>71</v>
      </c>
      <c r="E730" s="1" t="s">
        <v>17</v>
      </c>
      <c r="F730" s="1">
        <v>29</v>
      </c>
      <c r="G730" s="1">
        <v>23</v>
      </c>
      <c r="H730" s="1">
        <v>6</v>
      </c>
      <c r="I730" s="3">
        <f>SUM(F730:H730)</f>
        <v>58</v>
      </c>
      <c r="L730" s="14"/>
      <c r="M730" s="14"/>
      <c r="N730" s="14"/>
      <c r="O730" s="14"/>
      <c r="P730" s="14"/>
      <c r="Q730" s="14"/>
      <c r="R730" s="14"/>
    </row>
    <row r="731" spans="1:18" x14ac:dyDescent="0.25">
      <c r="A731" s="2">
        <f>RANK(I731,$I$722:$I$861,0)</f>
        <v>10</v>
      </c>
      <c r="B731" s="29" t="s">
        <v>403</v>
      </c>
      <c r="C731" s="18">
        <v>45669</v>
      </c>
      <c r="D731" s="1" t="s">
        <v>71</v>
      </c>
      <c r="E731" s="1" t="s">
        <v>17</v>
      </c>
      <c r="F731" s="1">
        <v>31</v>
      </c>
      <c r="G731" s="1">
        <v>18</v>
      </c>
      <c r="H731" s="1">
        <v>8</v>
      </c>
      <c r="I731" s="3">
        <f>SUM(F731:H731)</f>
        <v>57</v>
      </c>
    </row>
    <row r="732" spans="1:18" x14ac:dyDescent="0.25">
      <c r="A732" s="2">
        <f>RANK(I732,$I$722:$I$861,0)</f>
        <v>10</v>
      </c>
      <c r="B732" s="29" t="s">
        <v>484</v>
      </c>
      <c r="C732" s="18">
        <v>46040</v>
      </c>
      <c r="D732" s="1" t="s">
        <v>378</v>
      </c>
      <c r="E732" s="1" t="s">
        <v>17</v>
      </c>
      <c r="F732" s="1">
        <v>29</v>
      </c>
      <c r="G732" s="1">
        <v>23</v>
      </c>
      <c r="H732" s="1">
        <v>5</v>
      </c>
      <c r="I732" s="3">
        <f>SUM(F732:H732)</f>
        <v>57</v>
      </c>
    </row>
    <row r="733" spans="1:18" x14ac:dyDescent="0.25">
      <c r="A733" s="2">
        <f>RANK(I733,$I$722:$I$861,0)</f>
        <v>10</v>
      </c>
      <c r="B733" s="1" t="s">
        <v>535</v>
      </c>
      <c r="C733" s="18">
        <v>46299</v>
      </c>
      <c r="D733" s="1" t="s">
        <v>378</v>
      </c>
      <c r="E733" s="1" t="s">
        <v>17</v>
      </c>
      <c r="F733" s="1">
        <v>28</v>
      </c>
      <c r="G733" s="1">
        <v>24</v>
      </c>
      <c r="H733" s="1">
        <v>5</v>
      </c>
      <c r="I733" s="3">
        <f>SUM(F733:H733)</f>
        <v>57</v>
      </c>
    </row>
    <row r="734" spans="1:18" x14ac:dyDescent="0.25">
      <c r="A734" s="2">
        <f>RANK(I734,$I$722:$I$861,0)</f>
        <v>13</v>
      </c>
      <c r="B734" s="1" t="s">
        <v>64</v>
      </c>
      <c r="C734" s="18">
        <v>44409</v>
      </c>
      <c r="D734" s="1" t="s">
        <v>69</v>
      </c>
      <c r="E734" s="1" t="s">
        <v>17</v>
      </c>
      <c r="F734" s="1">
        <v>29</v>
      </c>
      <c r="G734" s="1">
        <v>19</v>
      </c>
      <c r="H734" s="1">
        <v>8</v>
      </c>
      <c r="I734" s="3">
        <f>SUM(F734:H734)</f>
        <v>56</v>
      </c>
    </row>
    <row r="735" spans="1:18" x14ac:dyDescent="0.25">
      <c r="A735" s="2">
        <f>RANK(I735,$I$722:$I$861,0)</f>
        <v>13</v>
      </c>
      <c r="B735" s="29" t="s">
        <v>432</v>
      </c>
      <c r="C735" s="18">
        <v>45795</v>
      </c>
      <c r="D735" s="1" t="s">
        <v>378</v>
      </c>
      <c r="E735" s="1" t="s">
        <v>17</v>
      </c>
      <c r="F735" s="1">
        <v>28</v>
      </c>
      <c r="G735" s="1">
        <v>23</v>
      </c>
      <c r="H735" s="1">
        <v>5</v>
      </c>
      <c r="I735" s="3">
        <f>SUM(F735:H735)</f>
        <v>56</v>
      </c>
    </row>
    <row r="736" spans="1:18" x14ac:dyDescent="0.25">
      <c r="A736" s="2">
        <f>RANK(I736,$I$722:$I$861,0)</f>
        <v>13</v>
      </c>
      <c r="B736" s="29" t="s">
        <v>457</v>
      </c>
      <c r="C736" s="18">
        <v>45914</v>
      </c>
      <c r="D736" s="1" t="s">
        <v>71</v>
      </c>
      <c r="E736" s="1" t="s">
        <v>17</v>
      </c>
      <c r="F736" s="1">
        <v>32</v>
      </c>
      <c r="G736" s="1">
        <v>18</v>
      </c>
      <c r="H736" s="1">
        <v>6</v>
      </c>
      <c r="I736" s="3">
        <f>SUM(F736:H736)</f>
        <v>56</v>
      </c>
    </row>
    <row r="737" spans="1:9" x14ac:dyDescent="0.25">
      <c r="A737" s="2">
        <f>RANK(I737,$I$722:$I$861,0)</f>
        <v>13</v>
      </c>
      <c r="B737" s="1" t="s">
        <v>466</v>
      </c>
      <c r="C737" s="18">
        <v>45963</v>
      </c>
      <c r="D737" s="1" t="s">
        <v>378</v>
      </c>
      <c r="E737" s="1" t="s">
        <v>17</v>
      </c>
      <c r="F737" s="1">
        <v>28</v>
      </c>
      <c r="G737" s="1">
        <v>23</v>
      </c>
      <c r="H737" s="1">
        <v>5</v>
      </c>
      <c r="I737" s="3">
        <f>SUM(F737:H737)</f>
        <v>56</v>
      </c>
    </row>
    <row r="738" spans="1:9" x14ac:dyDescent="0.25">
      <c r="A738" s="2">
        <f>RANK(I738,$I$722:$I$861,0)</f>
        <v>13</v>
      </c>
      <c r="B738" s="1" t="s">
        <v>536</v>
      </c>
      <c r="C738" s="18">
        <v>46299</v>
      </c>
      <c r="D738" s="1" t="s">
        <v>378</v>
      </c>
      <c r="E738" s="1" t="s">
        <v>17</v>
      </c>
      <c r="F738" s="1">
        <v>29</v>
      </c>
      <c r="G738" s="1">
        <v>22</v>
      </c>
      <c r="H738" s="1">
        <v>5</v>
      </c>
      <c r="I738" s="3">
        <f>SUM(F738:H738)</f>
        <v>56</v>
      </c>
    </row>
    <row r="739" spans="1:9" x14ac:dyDescent="0.25">
      <c r="A739" s="2">
        <f>RANK(I739,$I$722:$I$861,0)</f>
        <v>18</v>
      </c>
      <c r="B739" s="1" t="s">
        <v>101</v>
      </c>
      <c r="C739" s="18">
        <v>45011</v>
      </c>
      <c r="D739" s="1" t="s">
        <v>69</v>
      </c>
      <c r="E739" s="1" t="s">
        <v>17</v>
      </c>
      <c r="F739" s="1">
        <v>27</v>
      </c>
      <c r="G739" s="1">
        <v>22</v>
      </c>
      <c r="H739" s="1">
        <v>6</v>
      </c>
      <c r="I739" s="3">
        <f>SUM(F739:H739)</f>
        <v>55</v>
      </c>
    </row>
    <row r="740" spans="1:9" x14ac:dyDescent="0.25">
      <c r="A740" s="2">
        <f>RANK(I740,$I$722:$I$861,0)</f>
        <v>18</v>
      </c>
      <c r="B740" s="29" t="s">
        <v>265</v>
      </c>
      <c r="C740" s="18">
        <v>45320</v>
      </c>
      <c r="D740" s="1" t="s">
        <v>74</v>
      </c>
      <c r="E740" s="1" t="s">
        <v>17</v>
      </c>
      <c r="F740" s="1">
        <v>28</v>
      </c>
      <c r="G740" s="1">
        <v>22</v>
      </c>
      <c r="H740" s="1">
        <v>5</v>
      </c>
      <c r="I740" s="3">
        <f>SUM(F740:H740)</f>
        <v>55</v>
      </c>
    </row>
    <row r="741" spans="1:9" x14ac:dyDescent="0.25">
      <c r="A741" s="2">
        <f>RANK(I741,$I$722:$I$861,0)</f>
        <v>18</v>
      </c>
      <c r="B741" s="29" t="s">
        <v>224</v>
      </c>
      <c r="C741" s="18">
        <v>44752</v>
      </c>
      <c r="D741" s="1" t="s">
        <v>71</v>
      </c>
      <c r="E741" s="1" t="s">
        <v>17</v>
      </c>
      <c r="F741" s="1">
        <v>28</v>
      </c>
      <c r="G741" s="1">
        <v>20</v>
      </c>
      <c r="H741" s="1">
        <v>7</v>
      </c>
      <c r="I741" s="3">
        <f>SUM(F741:H741)</f>
        <v>55</v>
      </c>
    </row>
    <row r="742" spans="1:9" x14ac:dyDescent="0.25">
      <c r="A742" s="2">
        <f>RANK(I742,$I$722:$I$861,0)</f>
        <v>18</v>
      </c>
      <c r="B742" s="29" t="s">
        <v>141</v>
      </c>
      <c r="C742" s="18">
        <v>44416</v>
      </c>
      <c r="D742" s="1" t="s">
        <v>69</v>
      </c>
      <c r="E742" s="1" t="s">
        <v>17</v>
      </c>
      <c r="F742" s="1">
        <v>30</v>
      </c>
      <c r="G742" s="1">
        <v>19</v>
      </c>
      <c r="H742" s="1">
        <v>6</v>
      </c>
      <c r="I742" s="3">
        <f>SUM(F742:H742)</f>
        <v>55</v>
      </c>
    </row>
    <row r="743" spans="1:9" x14ac:dyDescent="0.25">
      <c r="A743" s="2">
        <f>RANK(I743,$I$722:$I$861,0)</f>
        <v>18</v>
      </c>
      <c r="B743" s="1" t="s">
        <v>349</v>
      </c>
      <c r="C743" s="18">
        <v>45459</v>
      </c>
      <c r="D743" s="1" t="s">
        <v>236</v>
      </c>
      <c r="E743" s="1" t="s">
        <v>17</v>
      </c>
      <c r="F743" s="1">
        <v>29</v>
      </c>
      <c r="G743" s="1">
        <v>18</v>
      </c>
      <c r="H743" s="1">
        <v>8</v>
      </c>
      <c r="I743" s="3">
        <f>SUM(F743:H743)</f>
        <v>55</v>
      </c>
    </row>
    <row r="744" spans="1:9" x14ac:dyDescent="0.25">
      <c r="A744" s="2">
        <f>RANK(I744,$I$722:$I$861,0)</f>
        <v>18</v>
      </c>
      <c r="B744" s="29" t="s">
        <v>137</v>
      </c>
      <c r="C744" s="18">
        <v>45011</v>
      </c>
      <c r="D744" s="1" t="s">
        <v>70</v>
      </c>
      <c r="E744" s="1" t="s">
        <v>17</v>
      </c>
      <c r="F744" s="1">
        <v>30</v>
      </c>
      <c r="G744" s="1">
        <v>17</v>
      </c>
      <c r="H744" s="1">
        <v>8</v>
      </c>
      <c r="I744" s="3">
        <f>SUM(F744:H744)</f>
        <v>55</v>
      </c>
    </row>
    <row r="745" spans="1:9" x14ac:dyDescent="0.25">
      <c r="A745" s="2">
        <f>RANK(I745,$I$722:$I$861,0)</f>
        <v>18</v>
      </c>
      <c r="B745" s="1" t="s">
        <v>337</v>
      </c>
      <c r="C745" s="18">
        <v>45368</v>
      </c>
      <c r="D745" s="1" t="s">
        <v>184</v>
      </c>
      <c r="E745" s="1" t="s">
        <v>17</v>
      </c>
      <c r="F745" s="1">
        <v>26</v>
      </c>
      <c r="G745" s="1">
        <v>22</v>
      </c>
      <c r="H745" s="1">
        <v>7</v>
      </c>
      <c r="I745" s="3">
        <f>SUM(F745:H745)</f>
        <v>55</v>
      </c>
    </row>
    <row r="746" spans="1:9" x14ac:dyDescent="0.25">
      <c r="A746" s="2">
        <f>RANK(I746,$I$722:$I$861,0)</f>
        <v>18</v>
      </c>
      <c r="B746" s="1" t="s">
        <v>459</v>
      </c>
      <c r="C746" s="18">
        <v>45921</v>
      </c>
      <c r="D746" s="1" t="s">
        <v>266</v>
      </c>
      <c r="E746" s="1" t="s">
        <v>17</v>
      </c>
      <c r="F746" s="1">
        <v>29</v>
      </c>
      <c r="G746" s="1">
        <v>19</v>
      </c>
      <c r="H746" s="1">
        <v>7</v>
      </c>
      <c r="I746" s="3">
        <f>SUM(F746:H746)</f>
        <v>55</v>
      </c>
    </row>
    <row r="747" spans="1:9" x14ac:dyDescent="0.25">
      <c r="A747" s="2">
        <f>RANK(I747,$I$722:$I$861,0)</f>
        <v>18</v>
      </c>
      <c r="B747" s="1" t="s">
        <v>494</v>
      </c>
      <c r="C747" s="18">
        <v>46075</v>
      </c>
      <c r="D747" s="1" t="s">
        <v>378</v>
      </c>
      <c r="E747" s="1" t="s">
        <v>17</v>
      </c>
      <c r="F747" s="1">
        <v>29</v>
      </c>
      <c r="G747" s="1">
        <v>19</v>
      </c>
      <c r="H747" s="1">
        <v>7</v>
      </c>
      <c r="I747" s="3">
        <f>SUM(F747:H747)</f>
        <v>55</v>
      </c>
    </row>
    <row r="748" spans="1:9" x14ac:dyDescent="0.25">
      <c r="A748" s="2">
        <f>RANK(I748,$I$722:$I$861,0)</f>
        <v>18</v>
      </c>
      <c r="B748" s="1" t="s">
        <v>503</v>
      </c>
      <c r="C748" s="18">
        <v>46124</v>
      </c>
      <c r="D748" s="1" t="s">
        <v>378</v>
      </c>
      <c r="E748" s="1" t="s">
        <v>17</v>
      </c>
      <c r="F748" s="1">
        <v>28</v>
      </c>
      <c r="G748" s="1">
        <v>22</v>
      </c>
      <c r="H748" s="1">
        <v>5</v>
      </c>
      <c r="I748" s="3">
        <f>SUM(F748:H748)</f>
        <v>55</v>
      </c>
    </row>
    <row r="749" spans="1:9" x14ac:dyDescent="0.25">
      <c r="A749" s="2">
        <f>RANK(I749,$I$722:$I$861,0)</f>
        <v>28</v>
      </c>
      <c r="B749" s="29" t="s">
        <v>232</v>
      </c>
      <c r="C749" s="18">
        <v>44794</v>
      </c>
      <c r="D749" s="1" t="s">
        <v>184</v>
      </c>
      <c r="E749" s="1" t="s">
        <v>17</v>
      </c>
      <c r="F749" s="1">
        <v>28</v>
      </c>
      <c r="G749" s="1">
        <v>20</v>
      </c>
      <c r="H749" s="1">
        <v>6</v>
      </c>
      <c r="I749" s="3">
        <f>SUM(F749:H749)</f>
        <v>54</v>
      </c>
    </row>
    <row r="750" spans="1:9" x14ac:dyDescent="0.25">
      <c r="A750" s="2">
        <f>RANK(I750,$I$722:$I$861,0)</f>
        <v>28</v>
      </c>
      <c r="B750" s="29" t="s">
        <v>117</v>
      </c>
      <c r="C750" s="18">
        <v>44304</v>
      </c>
      <c r="D750" s="1" t="s">
        <v>72</v>
      </c>
      <c r="E750" s="1" t="s">
        <v>17</v>
      </c>
      <c r="F750" s="1">
        <v>29</v>
      </c>
      <c r="G750" s="1">
        <v>17</v>
      </c>
      <c r="H750" s="1">
        <v>8</v>
      </c>
      <c r="I750" s="3">
        <f>SUM(F750:H750)</f>
        <v>54</v>
      </c>
    </row>
    <row r="751" spans="1:9" x14ac:dyDescent="0.25">
      <c r="A751" s="2">
        <f>RANK(I751,$I$722:$I$861,0)</f>
        <v>28</v>
      </c>
      <c r="B751" s="29" t="s">
        <v>264</v>
      </c>
      <c r="C751" s="18">
        <v>44941</v>
      </c>
      <c r="D751" s="1" t="s">
        <v>66</v>
      </c>
      <c r="E751" s="1" t="s">
        <v>17</v>
      </c>
      <c r="F751" s="1">
        <v>28</v>
      </c>
      <c r="G751" s="1">
        <v>20</v>
      </c>
      <c r="H751" s="1">
        <v>6</v>
      </c>
      <c r="I751" s="3">
        <f>SUM(F751:H751)</f>
        <v>54</v>
      </c>
    </row>
    <row r="752" spans="1:9" x14ac:dyDescent="0.25">
      <c r="A752" s="2">
        <f>RANK(I752,$I$722:$I$861,0)</f>
        <v>28</v>
      </c>
      <c r="B752" s="29" t="s">
        <v>180</v>
      </c>
      <c r="C752" s="18">
        <v>44528</v>
      </c>
      <c r="D752" s="1" t="s">
        <v>71</v>
      </c>
      <c r="E752" s="1" t="s">
        <v>17</v>
      </c>
      <c r="F752" s="1">
        <v>29</v>
      </c>
      <c r="G752" s="1">
        <v>19</v>
      </c>
      <c r="H752" s="1">
        <v>6</v>
      </c>
      <c r="I752" s="3">
        <f>SUM(F752:H752)</f>
        <v>54</v>
      </c>
    </row>
    <row r="753" spans="1:9" x14ac:dyDescent="0.25">
      <c r="A753" s="2">
        <f>RANK(I753,$I$722:$I$861,0)</f>
        <v>28</v>
      </c>
      <c r="B753" s="29" t="s">
        <v>136</v>
      </c>
      <c r="C753" s="18">
        <v>45011</v>
      </c>
      <c r="D753" s="1" t="s">
        <v>72</v>
      </c>
      <c r="E753" s="1" t="s">
        <v>17</v>
      </c>
      <c r="F753" s="1">
        <v>30</v>
      </c>
      <c r="G753" s="1">
        <v>17</v>
      </c>
      <c r="H753" s="1">
        <v>7</v>
      </c>
      <c r="I753" s="3">
        <f>SUM(F753:H753)</f>
        <v>54</v>
      </c>
    </row>
    <row r="754" spans="1:9" x14ac:dyDescent="0.25">
      <c r="A754" s="2">
        <f>RANK(I754,$I$722:$I$861,0)</f>
        <v>28</v>
      </c>
      <c r="B754" s="1" t="s">
        <v>480</v>
      </c>
      <c r="C754" s="18">
        <v>46033</v>
      </c>
      <c r="D754" s="1" t="s">
        <v>378</v>
      </c>
      <c r="E754" s="1" t="s">
        <v>17</v>
      </c>
      <c r="F754" s="1">
        <v>26</v>
      </c>
      <c r="G754" s="1">
        <v>23</v>
      </c>
      <c r="H754" s="1">
        <v>5</v>
      </c>
      <c r="I754" s="3">
        <f>SUM(F754:H754)</f>
        <v>54</v>
      </c>
    </row>
    <row r="755" spans="1:9" x14ac:dyDescent="0.25">
      <c r="A755" s="2">
        <f>RANK(I755,$I$722:$I$861,0)</f>
        <v>28</v>
      </c>
      <c r="B755" s="1" t="s">
        <v>502</v>
      </c>
      <c r="C755" s="18">
        <v>46117</v>
      </c>
      <c r="D755" s="1" t="s">
        <v>378</v>
      </c>
      <c r="E755" s="1" t="s">
        <v>17</v>
      </c>
      <c r="F755" s="1">
        <v>29</v>
      </c>
      <c r="G755" s="1">
        <v>19</v>
      </c>
      <c r="H755" s="1">
        <v>6</v>
      </c>
      <c r="I755" s="3">
        <f>SUM(F755:H755)</f>
        <v>54</v>
      </c>
    </row>
    <row r="756" spans="1:9" x14ac:dyDescent="0.25">
      <c r="A756" s="2">
        <f>RANK(I756,$I$722:$I$861,0)</f>
        <v>28</v>
      </c>
      <c r="B756" s="1" t="s">
        <v>522</v>
      </c>
      <c r="C756" s="18">
        <v>46229</v>
      </c>
      <c r="D756" s="1" t="s">
        <v>236</v>
      </c>
      <c r="E756" s="1" t="s">
        <v>17</v>
      </c>
      <c r="F756" s="1">
        <v>29</v>
      </c>
      <c r="G756" s="1">
        <v>21</v>
      </c>
      <c r="H756" s="1">
        <v>4</v>
      </c>
      <c r="I756" s="3">
        <f>SUM(F756:H756)</f>
        <v>54</v>
      </c>
    </row>
    <row r="757" spans="1:9" x14ac:dyDescent="0.25">
      <c r="A757" s="2">
        <f>RANK(I757,$I$722:$I$861,0)</f>
        <v>36</v>
      </c>
      <c r="B757" s="1" t="s">
        <v>218</v>
      </c>
      <c r="C757" s="18">
        <v>44731</v>
      </c>
      <c r="D757" s="1" t="s">
        <v>72</v>
      </c>
      <c r="E757" s="1" t="s">
        <v>17</v>
      </c>
      <c r="F757" s="1">
        <v>29</v>
      </c>
      <c r="G757" s="1">
        <v>18</v>
      </c>
      <c r="H757" s="1">
        <v>6</v>
      </c>
      <c r="I757" s="3">
        <f>SUM(F757:H757)</f>
        <v>53</v>
      </c>
    </row>
    <row r="758" spans="1:9" x14ac:dyDescent="0.25">
      <c r="A758" s="2">
        <f>RANK(I758,$I$722:$I$861,0)</f>
        <v>36</v>
      </c>
      <c r="B758" s="29" t="s">
        <v>217</v>
      </c>
      <c r="C758" s="18">
        <v>44724</v>
      </c>
      <c r="D758" s="1" t="s">
        <v>131</v>
      </c>
      <c r="E758" s="1" t="s">
        <v>17</v>
      </c>
      <c r="F758" s="1">
        <v>29</v>
      </c>
      <c r="G758" s="1">
        <v>18</v>
      </c>
      <c r="H758" s="1">
        <v>6</v>
      </c>
      <c r="I758" s="3">
        <f>SUM(F758:H758)</f>
        <v>53</v>
      </c>
    </row>
    <row r="759" spans="1:9" x14ac:dyDescent="0.25">
      <c r="A759" s="2">
        <f>RANK(I759,$I$722:$I$861,0)</f>
        <v>36</v>
      </c>
      <c r="B759" s="29" t="s">
        <v>159</v>
      </c>
      <c r="C759" s="18">
        <v>44458</v>
      </c>
      <c r="D759" s="1" t="s">
        <v>154</v>
      </c>
      <c r="E759" s="1" t="s">
        <v>17</v>
      </c>
      <c r="F759" s="1">
        <v>30</v>
      </c>
      <c r="G759" s="1">
        <v>16</v>
      </c>
      <c r="H759" s="1">
        <v>7</v>
      </c>
      <c r="I759" s="3">
        <f>SUM(F759:H759)</f>
        <v>53</v>
      </c>
    </row>
    <row r="760" spans="1:9" x14ac:dyDescent="0.25">
      <c r="A760" s="2">
        <f>RANK(I760,$I$722:$I$861,0)</f>
        <v>36</v>
      </c>
      <c r="B760" s="1" t="s">
        <v>281</v>
      </c>
      <c r="C760" s="18">
        <v>45067</v>
      </c>
      <c r="D760" s="1" t="s">
        <v>69</v>
      </c>
      <c r="E760" s="1" t="s">
        <v>17</v>
      </c>
      <c r="F760" s="1">
        <v>25</v>
      </c>
      <c r="G760" s="1">
        <v>23</v>
      </c>
      <c r="H760" s="1">
        <v>5</v>
      </c>
      <c r="I760" s="3">
        <f>SUM(F760:H760)</f>
        <v>53</v>
      </c>
    </row>
    <row r="761" spans="1:9" x14ac:dyDescent="0.25">
      <c r="A761" s="2">
        <f>RANK(I761,$I$722:$I$861,0)</f>
        <v>36</v>
      </c>
      <c r="B761" s="1" t="s">
        <v>151</v>
      </c>
      <c r="C761" s="18">
        <v>44417</v>
      </c>
      <c r="D761" s="1" t="s">
        <v>72</v>
      </c>
      <c r="E761" s="1" t="s">
        <v>17</v>
      </c>
      <c r="F761" s="1">
        <v>28</v>
      </c>
      <c r="G761" s="1">
        <v>18</v>
      </c>
      <c r="H761" s="1">
        <v>7</v>
      </c>
      <c r="I761" s="3">
        <f>SUM(F761:H761)</f>
        <v>53</v>
      </c>
    </row>
    <row r="762" spans="1:9" x14ac:dyDescent="0.25">
      <c r="A762" s="2">
        <f>RANK(I762,$I$722:$I$861,0)</f>
        <v>36</v>
      </c>
      <c r="B762" s="1" t="s">
        <v>310</v>
      </c>
      <c r="C762" s="18">
        <v>45235</v>
      </c>
      <c r="D762" s="1" t="s">
        <v>184</v>
      </c>
      <c r="E762" s="1" t="s">
        <v>17</v>
      </c>
      <c r="F762" s="1">
        <v>27</v>
      </c>
      <c r="G762" s="1">
        <v>20</v>
      </c>
      <c r="H762" s="1">
        <v>6</v>
      </c>
      <c r="I762" s="3">
        <f>SUM(F762:H762)</f>
        <v>53</v>
      </c>
    </row>
    <row r="763" spans="1:9" x14ac:dyDescent="0.25">
      <c r="A763" s="2">
        <f>RANK(I763,$I$722:$I$861,0)</f>
        <v>36</v>
      </c>
      <c r="B763" s="1" t="s">
        <v>301</v>
      </c>
      <c r="C763" s="18">
        <v>45193</v>
      </c>
      <c r="D763" s="1" t="s">
        <v>266</v>
      </c>
      <c r="E763" s="1" t="s">
        <v>17</v>
      </c>
      <c r="F763" s="1">
        <v>28</v>
      </c>
      <c r="G763" s="1">
        <v>18</v>
      </c>
      <c r="H763" s="1">
        <v>7</v>
      </c>
      <c r="I763" s="3">
        <f>SUM(F763:H763)</f>
        <v>53</v>
      </c>
    </row>
    <row r="764" spans="1:9" x14ac:dyDescent="0.25">
      <c r="A764" s="2">
        <f>RANK(I764,$I$722:$I$861,0)</f>
        <v>36</v>
      </c>
      <c r="B764" s="1" t="s">
        <v>179</v>
      </c>
      <c r="C764" s="18">
        <v>44521</v>
      </c>
      <c r="D764" s="1" t="s">
        <v>74</v>
      </c>
      <c r="E764" s="1" t="s">
        <v>17</v>
      </c>
      <c r="F764" s="1">
        <v>27</v>
      </c>
      <c r="G764" s="1">
        <v>20</v>
      </c>
      <c r="H764" s="1">
        <v>6</v>
      </c>
      <c r="I764" s="3">
        <f>SUM(F764:H764)</f>
        <v>53</v>
      </c>
    </row>
    <row r="765" spans="1:9" x14ac:dyDescent="0.25">
      <c r="A765" s="2">
        <f>RANK(I765,$I$722:$I$861,0)</f>
        <v>36</v>
      </c>
      <c r="B765" s="1" t="s">
        <v>111</v>
      </c>
      <c r="C765" s="18">
        <v>44276</v>
      </c>
      <c r="D765" s="1" t="s">
        <v>74</v>
      </c>
      <c r="E765" s="1" t="s">
        <v>17</v>
      </c>
      <c r="F765" s="1">
        <v>28</v>
      </c>
      <c r="G765" s="1">
        <v>20</v>
      </c>
      <c r="H765" s="1">
        <v>5</v>
      </c>
      <c r="I765" s="3">
        <f>SUM(F765:H765)</f>
        <v>53</v>
      </c>
    </row>
    <row r="766" spans="1:9" x14ac:dyDescent="0.25">
      <c r="A766" s="2">
        <f>RANK(I766,$I$722:$I$861,0)</f>
        <v>36</v>
      </c>
      <c r="B766" s="1" t="s">
        <v>156</v>
      </c>
      <c r="C766" s="18">
        <v>44451</v>
      </c>
      <c r="D766" s="1" t="s">
        <v>72</v>
      </c>
      <c r="E766" s="1" t="s">
        <v>17</v>
      </c>
      <c r="F766" s="1">
        <v>30</v>
      </c>
      <c r="G766" s="1">
        <v>15</v>
      </c>
      <c r="H766" s="1">
        <v>8</v>
      </c>
      <c r="I766" s="3">
        <f>SUM(F766:H766)</f>
        <v>53</v>
      </c>
    </row>
    <row r="767" spans="1:9" x14ac:dyDescent="0.25">
      <c r="A767" s="2">
        <f>RANK(I767,$I$722:$I$861,0)</f>
        <v>36</v>
      </c>
      <c r="B767" s="1" t="s">
        <v>221</v>
      </c>
      <c r="C767" s="18">
        <v>44745</v>
      </c>
      <c r="D767" s="1" t="s">
        <v>71</v>
      </c>
      <c r="E767" s="1" t="s">
        <v>17</v>
      </c>
      <c r="F767" s="1">
        <v>28</v>
      </c>
      <c r="G767" s="1">
        <v>20</v>
      </c>
      <c r="H767" s="1">
        <v>5</v>
      </c>
      <c r="I767" s="3">
        <f>SUM(F767:H767)</f>
        <v>53</v>
      </c>
    </row>
    <row r="768" spans="1:9" x14ac:dyDescent="0.25">
      <c r="A768" s="2">
        <f>RANK(I768,$I$722:$I$861,0)</f>
        <v>36</v>
      </c>
      <c r="B768" s="1" t="s">
        <v>417</v>
      </c>
      <c r="C768" s="18">
        <v>45732</v>
      </c>
      <c r="D768" s="1" t="s">
        <v>308</v>
      </c>
      <c r="E768" s="1" t="s">
        <v>17</v>
      </c>
      <c r="F768" s="1">
        <v>26</v>
      </c>
      <c r="G768" s="1">
        <v>21</v>
      </c>
      <c r="H768" s="1">
        <v>6</v>
      </c>
      <c r="I768" s="3">
        <f>SUM(F768:H768)</f>
        <v>53</v>
      </c>
    </row>
    <row r="769" spans="1:9" x14ac:dyDescent="0.25">
      <c r="A769" s="2">
        <f>RANK(I769,$I$722:$I$861,0)</f>
        <v>36</v>
      </c>
      <c r="B769" s="29" t="s">
        <v>463</v>
      </c>
      <c r="C769" s="18">
        <v>45941</v>
      </c>
      <c r="D769" s="1" t="s">
        <v>71</v>
      </c>
      <c r="E769" s="1" t="s">
        <v>17</v>
      </c>
      <c r="F769" s="1">
        <v>27</v>
      </c>
      <c r="G769" s="1">
        <v>21</v>
      </c>
      <c r="H769" s="1">
        <v>5</v>
      </c>
      <c r="I769" s="3">
        <f>SUM(F769:H769)</f>
        <v>53</v>
      </c>
    </row>
    <row r="770" spans="1:9" x14ac:dyDescent="0.25">
      <c r="A770" s="2">
        <f>RANK(I770,$I$722:$I$861,0)</f>
        <v>36</v>
      </c>
      <c r="B770" s="1" t="s">
        <v>472</v>
      </c>
      <c r="C770" s="18">
        <v>45991</v>
      </c>
      <c r="D770" s="1" t="s">
        <v>66</v>
      </c>
      <c r="E770" s="1" t="s">
        <v>17</v>
      </c>
      <c r="F770" s="1">
        <v>28</v>
      </c>
      <c r="G770" s="1">
        <v>20</v>
      </c>
      <c r="H770" s="1">
        <v>5</v>
      </c>
      <c r="I770" s="3">
        <f>SUM(F770:H770)</f>
        <v>53</v>
      </c>
    </row>
    <row r="771" spans="1:9" x14ac:dyDescent="0.25">
      <c r="A771" s="2">
        <f>RANK(I771,$I$722:$I$861,0)</f>
        <v>36</v>
      </c>
      <c r="B771" s="1" t="s">
        <v>491</v>
      </c>
      <c r="C771" s="18">
        <v>46061</v>
      </c>
      <c r="D771" s="1" t="s">
        <v>71</v>
      </c>
      <c r="E771" s="1" t="s">
        <v>17</v>
      </c>
      <c r="F771" s="1">
        <v>27</v>
      </c>
      <c r="G771" s="1">
        <v>21</v>
      </c>
      <c r="H771" s="1">
        <v>5</v>
      </c>
      <c r="I771" s="3">
        <f>SUM(F771:H771)</f>
        <v>53</v>
      </c>
    </row>
    <row r="772" spans="1:9" x14ac:dyDescent="0.25">
      <c r="A772" s="2">
        <f>RANK(I772,$I$722:$I$861,0)</f>
        <v>36</v>
      </c>
      <c r="B772" s="29" t="s">
        <v>511</v>
      </c>
      <c r="C772" s="18">
        <v>46145</v>
      </c>
      <c r="D772" s="1" t="s">
        <v>378</v>
      </c>
      <c r="E772" s="1" t="s">
        <v>17</v>
      </c>
      <c r="F772" s="1">
        <v>26</v>
      </c>
      <c r="G772" s="1">
        <v>23</v>
      </c>
      <c r="H772" s="1">
        <v>4</v>
      </c>
      <c r="I772" s="3">
        <f>SUM(F772:H772)</f>
        <v>53</v>
      </c>
    </row>
    <row r="773" spans="1:9" x14ac:dyDescent="0.25">
      <c r="A773" s="2">
        <f>RANK(I773,$I$722:$I$861,0)</f>
        <v>52</v>
      </c>
      <c r="B773" s="1" t="s">
        <v>165</v>
      </c>
      <c r="C773" s="18">
        <v>44479</v>
      </c>
      <c r="D773" s="1" t="s">
        <v>154</v>
      </c>
      <c r="E773" s="1" t="s">
        <v>17</v>
      </c>
      <c r="F773" s="1">
        <v>30</v>
      </c>
      <c r="G773" s="1">
        <v>16</v>
      </c>
      <c r="H773" s="1">
        <v>6</v>
      </c>
      <c r="I773" s="3">
        <f>SUM(F773:H773)</f>
        <v>52</v>
      </c>
    </row>
    <row r="774" spans="1:9" x14ac:dyDescent="0.25">
      <c r="A774" s="2">
        <f>RANK(I774,$I$722:$I$861,0)</f>
        <v>52</v>
      </c>
      <c r="B774" s="1" t="s">
        <v>294</v>
      </c>
      <c r="C774" s="18">
        <v>45130</v>
      </c>
      <c r="D774" s="1" t="s">
        <v>236</v>
      </c>
      <c r="E774" s="1" t="s">
        <v>17</v>
      </c>
      <c r="F774" s="1">
        <v>29</v>
      </c>
      <c r="G774" s="1">
        <v>18</v>
      </c>
      <c r="H774" s="1">
        <v>5</v>
      </c>
      <c r="I774" s="3">
        <f>SUM(F774:H774)</f>
        <v>52</v>
      </c>
    </row>
    <row r="775" spans="1:9" x14ac:dyDescent="0.25">
      <c r="A775" s="2">
        <f>RANK(I775,$I$722:$I$861,0)</f>
        <v>52</v>
      </c>
      <c r="B775" s="1" t="s">
        <v>153</v>
      </c>
      <c r="C775" s="18">
        <v>44437</v>
      </c>
      <c r="D775" s="1" t="s">
        <v>74</v>
      </c>
      <c r="E775" s="1" t="s">
        <v>17</v>
      </c>
      <c r="F775" s="1">
        <v>30</v>
      </c>
      <c r="G775" s="1">
        <v>16</v>
      </c>
      <c r="H775" s="1">
        <v>6</v>
      </c>
      <c r="I775" s="3">
        <f>SUM(F775:H775)</f>
        <v>52</v>
      </c>
    </row>
    <row r="776" spans="1:9" x14ac:dyDescent="0.25">
      <c r="A776" s="2">
        <f>RANK(I776,$I$722:$I$861,0)</f>
        <v>52</v>
      </c>
      <c r="B776" s="1" t="s">
        <v>146</v>
      </c>
      <c r="C776" s="18">
        <v>44423</v>
      </c>
      <c r="D776" s="1" t="s">
        <v>71</v>
      </c>
      <c r="E776" s="1" t="s">
        <v>17</v>
      </c>
      <c r="F776" s="1">
        <v>29</v>
      </c>
      <c r="G776" s="1">
        <v>17</v>
      </c>
      <c r="H776" s="1">
        <v>6</v>
      </c>
      <c r="I776" s="3">
        <f>SUM(F776:H776)</f>
        <v>52</v>
      </c>
    </row>
    <row r="777" spans="1:9" x14ac:dyDescent="0.25">
      <c r="A777" s="2">
        <f>RANK(I777,$I$722:$I$861,0)</f>
        <v>52</v>
      </c>
      <c r="B777" s="1" t="s">
        <v>424</v>
      </c>
      <c r="C777" s="18">
        <v>45753</v>
      </c>
      <c r="D777" s="1" t="s">
        <v>71</v>
      </c>
      <c r="E777" s="1" t="s">
        <v>17</v>
      </c>
      <c r="F777" s="1">
        <v>28</v>
      </c>
      <c r="G777" s="1">
        <v>18</v>
      </c>
      <c r="H777" s="1">
        <v>6</v>
      </c>
      <c r="I777" s="3">
        <f>SUM(F777:H777)</f>
        <v>52</v>
      </c>
    </row>
    <row r="778" spans="1:9" x14ac:dyDescent="0.25">
      <c r="A778" s="2">
        <f>RANK(I778,$I$722:$I$861,0)</f>
        <v>52</v>
      </c>
      <c r="B778" s="1" t="s">
        <v>462</v>
      </c>
      <c r="C778" s="18">
        <v>45935</v>
      </c>
      <c r="D778" s="1" t="s">
        <v>67</v>
      </c>
      <c r="E778" s="1" t="s">
        <v>17</v>
      </c>
      <c r="F778" s="1">
        <v>29</v>
      </c>
      <c r="G778" s="1">
        <v>18</v>
      </c>
      <c r="H778" s="1">
        <v>5</v>
      </c>
      <c r="I778" s="3">
        <f>SUM(F778:H778)</f>
        <v>52</v>
      </c>
    </row>
    <row r="779" spans="1:9" x14ac:dyDescent="0.25">
      <c r="A779" s="2">
        <f>RANK(I779,$I$722:$I$861,0)</f>
        <v>52</v>
      </c>
      <c r="B779" s="29" t="s">
        <v>527</v>
      </c>
      <c r="C779" s="18">
        <v>46264</v>
      </c>
      <c r="D779" s="1" t="s">
        <v>68</v>
      </c>
      <c r="E779" s="1" t="s">
        <v>17</v>
      </c>
      <c r="F779" s="1">
        <v>29</v>
      </c>
      <c r="G779" s="1">
        <v>19</v>
      </c>
      <c r="H779" s="1">
        <v>4</v>
      </c>
      <c r="I779" s="3">
        <f>SUM(F779:H779)</f>
        <v>52</v>
      </c>
    </row>
    <row r="780" spans="1:9" x14ac:dyDescent="0.25">
      <c r="A780" s="2">
        <f>RANK(I780,$I$722:$I$861,0)</f>
        <v>59</v>
      </c>
      <c r="B780" s="29" t="s">
        <v>121</v>
      </c>
      <c r="C780" s="18">
        <v>44318</v>
      </c>
      <c r="D780" s="1" t="s">
        <v>72</v>
      </c>
      <c r="E780" s="1" t="s">
        <v>17</v>
      </c>
      <c r="F780" s="1">
        <v>30</v>
      </c>
      <c r="G780" s="1">
        <v>14</v>
      </c>
      <c r="H780" s="1">
        <v>7</v>
      </c>
      <c r="I780" s="3">
        <f>SUM(F780:H780)</f>
        <v>51</v>
      </c>
    </row>
    <row r="781" spans="1:9" x14ac:dyDescent="0.25">
      <c r="A781" s="2">
        <f>RANK(I781,$I$722:$I$861,0)</f>
        <v>59</v>
      </c>
      <c r="B781" s="1" t="s">
        <v>231</v>
      </c>
      <c r="C781" s="18">
        <v>44787</v>
      </c>
      <c r="D781" s="1" t="s">
        <v>69</v>
      </c>
      <c r="E781" s="1" t="s">
        <v>17</v>
      </c>
      <c r="F781" s="1">
        <v>26</v>
      </c>
      <c r="G781" s="1">
        <v>20</v>
      </c>
      <c r="H781" s="1">
        <v>5</v>
      </c>
      <c r="I781" s="3">
        <f>SUM(F781:H781)</f>
        <v>51</v>
      </c>
    </row>
    <row r="782" spans="1:9" x14ac:dyDescent="0.25">
      <c r="A782" s="2">
        <f>RANK(I782,$I$722:$I$861,0)</f>
        <v>59</v>
      </c>
      <c r="B782" s="29" t="s">
        <v>318</v>
      </c>
      <c r="C782" s="18">
        <v>45270</v>
      </c>
      <c r="D782" s="1" t="s">
        <v>72</v>
      </c>
      <c r="E782" s="1" t="s">
        <v>17</v>
      </c>
      <c r="F782" s="1">
        <v>28</v>
      </c>
      <c r="G782" s="1">
        <v>17</v>
      </c>
      <c r="H782" s="1">
        <v>6</v>
      </c>
      <c r="I782" s="3">
        <f>SUM(F782:H782)</f>
        <v>51</v>
      </c>
    </row>
    <row r="783" spans="1:9" x14ac:dyDescent="0.25">
      <c r="A783" s="2">
        <f>RANK(I783,$I$722:$I$861,0)</f>
        <v>59</v>
      </c>
      <c r="B783" s="29" t="s">
        <v>31</v>
      </c>
      <c r="C783" s="18">
        <v>44409</v>
      </c>
      <c r="D783" s="1" t="s">
        <v>72</v>
      </c>
      <c r="E783" s="1" t="s">
        <v>17</v>
      </c>
      <c r="F783" s="1">
        <v>30</v>
      </c>
      <c r="G783" s="1">
        <v>16</v>
      </c>
      <c r="H783" s="1">
        <v>5</v>
      </c>
      <c r="I783" s="3">
        <f>SUM(F783:H783)</f>
        <v>51</v>
      </c>
    </row>
    <row r="784" spans="1:9" x14ac:dyDescent="0.25">
      <c r="A784" s="2">
        <f>RANK(I784,$I$722:$I$861,0)</f>
        <v>59</v>
      </c>
      <c r="B784" s="29" t="s">
        <v>276</v>
      </c>
      <c r="C784" s="18">
        <v>45032</v>
      </c>
      <c r="D784" s="1" t="s">
        <v>71</v>
      </c>
      <c r="E784" s="1" t="s">
        <v>17</v>
      </c>
      <c r="F784" s="1">
        <v>28</v>
      </c>
      <c r="G784" s="1">
        <v>18</v>
      </c>
      <c r="H784" s="1">
        <v>5</v>
      </c>
      <c r="I784" s="3">
        <f>SUM(F784:H784)</f>
        <v>51</v>
      </c>
    </row>
    <row r="785" spans="1:9" x14ac:dyDescent="0.25">
      <c r="A785" s="2">
        <f>RANK(I785,$I$722:$I$861,0)</f>
        <v>59</v>
      </c>
      <c r="B785" s="1" t="s">
        <v>140</v>
      </c>
      <c r="C785" s="18">
        <v>44409</v>
      </c>
      <c r="D785" s="1" t="s">
        <v>69</v>
      </c>
      <c r="E785" s="1" t="s">
        <v>17</v>
      </c>
      <c r="F785" s="1">
        <v>29</v>
      </c>
      <c r="G785" s="1">
        <v>15</v>
      </c>
      <c r="H785" s="1">
        <v>7</v>
      </c>
      <c r="I785" s="3">
        <f>SUM(F785:H785)</f>
        <v>51</v>
      </c>
    </row>
    <row r="786" spans="1:9" x14ac:dyDescent="0.25">
      <c r="A786" s="2">
        <f>RANK(I786,$I$722:$I$861,0)</f>
        <v>59</v>
      </c>
      <c r="B786" s="1" t="s">
        <v>37</v>
      </c>
      <c r="C786" s="18">
        <v>44409</v>
      </c>
      <c r="D786" s="1" t="s">
        <v>70</v>
      </c>
      <c r="E786" s="1" t="s">
        <v>17</v>
      </c>
      <c r="F786" s="1">
        <v>29</v>
      </c>
      <c r="G786" s="1">
        <v>16</v>
      </c>
      <c r="H786" s="1">
        <v>6</v>
      </c>
      <c r="I786" s="3">
        <f>SUM(F786:H786)</f>
        <v>51</v>
      </c>
    </row>
    <row r="787" spans="1:9" x14ac:dyDescent="0.25">
      <c r="A787" s="2">
        <f>RANK(I787,$I$722:$I$861,0)</f>
        <v>59</v>
      </c>
      <c r="B787" s="1" t="s">
        <v>256</v>
      </c>
      <c r="C787" s="18">
        <v>44906</v>
      </c>
      <c r="D787" s="1" t="s">
        <v>71</v>
      </c>
      <c r="E787" s="1" t="s">
        <v>17</v>
      </c>
      <c r="F787" s="1">
        <v>27</v>
      </c>
      <c r="G787" s="1">
        <v>19</v>
      </c>
      <c r="H787" s="1">
        <v>5</v>
      </c>
      <c r="I787" s="3">
        <f>SUM(F787:H787)</f>
        <v>51</v>
      </c>
    </row>
    <row r="788" spans="1:9" x14ac:dyDescent="0.25">
      <c r="A788" s="2">
        <f>RANK(I788,$I$722:$I$861,0)</f>
        <v>59</v>
      </c>
      <c r="B788" s="1" t="s">
        <v>250</v>
      </c>
      <c r="C788" s="18">
        <v>44871</v>
      </c>
      <c r="D788" s="1" t="s">
        <v>236</v>
      </c>
      <c r="E788" s="1" t="s">
        <v>17</v>
      </c>
      <c r="F788" s="1">
        <v>27</v>
      </c>
      <c r="G788" s="1">
        <v>18</v>
      </c>
      <c r="H788" s="1">
        <v>6</v>
      </c>
      <c r="I788" s="3">
        <f>SUM(F788:H788)</f>
        <v>51</v>
      </c>
    </row>
    <row r="789" spans="1:9" x14ac:dyDescent="0.25">
      <c r="A789" s="2">
        <f>RANK(I789,$I$722:$I$861,0)</f>
        <v>59</v>
      </c>
      <c r="B789" s="29" t="s">
        <v>60</v>
      </c>
      <c r="C789" s="18">
        <v>44156</v>
      </c>
      <c r="D789" s="1" t="s">
        <v>71</v>
      </c>
      <c r="E789" s="1" t="s">
        <v>17</v>
      </c>
      <c r="F789" s="1">
        <v>28</v>
      </c>
      <c r="G789" s="1">
        <v>16</v>
      </c>
      <c r="H789" s="1">
        <v>7</v>
      </c>
      <c r="I789" s="3">
        <f>SUM(F789:H789)</f>
        <v>51</v>
      </c>
    </row>
    <row r="790" spans="1:9" x14ac:dyDescent="0.25">
      <c r="A790" s="2">
        <f>RANK(I790,$I$722:$I$861,0)</f>
        <v>59</v>
      </c>
      <c r="B790" s="29" t="s">
        <v>324</v>
      </c>
      <c r="C790" s="18">
        <v>45298</v>
      </c>
      <c r="D790" s="1" t="s">
        <v>67</v>
      </c>
      <c r="E790" s="1" t="s">
        <v>17</v>
      </c>
      <c r="F790" s="1">
        <v>28</v>
      </c>
      <c r="G790" s="1">
        <v>17</v>
      </c>
      <c r="H790" s="1">
        <v>6</v>
      </c>
      <c r="I790" s="3">
        <f>SUM(F790:H790)</f>
        <v>51</v>
      </c>
    </row>
    <row r="791" spans="1:9" x14ac:dyDescent="0.25">
      <c r="A791" s="2">
        <f>RANK(I791,$I$722:$I$861,0)</f>
        <v>59</v>
      </c>
      <c r="B791" s="1" t="s">
        <v>391</v>
      </c>
      <c r="C791" s="18">
        <v>45627</v>
      </c>
      <c r="D791" s="1" t="s">
        <v>74</v>
      </c>
      <c r="E791" s="1" t="s">
        <v>17</v>
      </c>
      <c r="F791" s="1">
        <v>27</v>
      </c>
      <c r="G791" s="1">
        <v>20</v>
      </c>
      <c r="H791" s="1">
        <v>4</v>
      </c>
      <c r="I791" s="3">
        <f>SUM(F791:H791)</f>
        <v>51</v>
      </c>
    </row>
    <row r="792" spans="1:9" x14ac:dyDescent="0.25">
      <c r="A792" s="2">
        <f>RANK(I792,$I$722:$I$861,0)</f>
        <v>59</v>
      </c>
      <c r="B792" s="1" t="s">
        <v>397</v>
      </c>
      <c r="C792" s="18">
        <v>45648</v>
      </c>
      <c r="D792" s="1" t="s">
        <v>149</v>
      </c>
      <c r="E792" s="1" t="s">
        <v>17</v>
      </c>
      <c r="F792" s="1">
        <v>26</v>
      </c>
      <c r="G792" s="1">
        <v>22</v>
      </c>
      <c r="H792" s="1">
        <v>3</v>
      </c>
      <c r="I792" s="3">
        <f>SUM(F792:H792)</f>
        <v>51</v>
      </c>
    </row>
    <row r="793" spans="1:9" x14ac:dyDescent="0.25">
      <c r="A793" s="2">
        <f>RANK(I793,$I$722:$I$861,0)</f>
        <v>59</v>
      </c>
      <c r="B793" s="29" t="s">
        <v>464</v>
      </c>
      <c r="C793" s="18">
        <v>45956</v>
      </c>
      <c r="D793" s="1" t="s">
        <v>266</v>
      </c>
      <c r="E793" s="1" t="s">
        <v>17</v>
      </c>
      <c r="F793" s="1">
        <v>29</v>
      </c>
      <c r="G793" s="1">
        <v>17</v>
      </c>
      <c r="H793" s="1">
        <v>5</v>
      </c>
      <c r="I793" s="3">
        <f>SUM(F793:H793)</f>
        <v>51</v>
      </c>
    </row>
    <row r="794" spans="1:9" x14ac:dyDescent="0.25">
      <c r="A794" s="2">
        <f>RANK(I794,$I$722:$I$861,0)</f>
        <v>59</v>
      </c>
      <c r="B794" s="1" t="s">
        <v>481</v>
      </c>
      <c r="C794" s="18">
        <v>46033</v>
      </c>
      <c r="D794" s="1" t="s">
        <v>378</v>
      </c>
      <c r="E794" s="1" t="s">
        <v>17</v>
      </c>
      <c r="F794" s="1">
        <v>25</v>
      </c>
      <c r="G794" s="1">
        <v>21</v>
      </c>
      <c r="H794" s="1">
        <v>5</v>
      </c>
      <c r="I794" s="3">
        <f>SUM(F794:H794)</f>
        <v>51</v>
      </c>
    </row>
    <row r="795" spans="1:9" x14ac:dyDescent="0.25">
      <c r="A795" s="2">
        <f>RANK(I795,$I$722:$I$861,0)</f>
        <v>59</v>
      </c>
      <c r="B795" s="1" t="s">
        <v>500</v>
      </c>
      <c r="C795" s="18">
        <v>46103</v>
      </c>
      <c r="D795" s="1" t="s">
        <v>74</v>
      </c>
      <c r="E795" s="1" t="s">
        <v>17</v>
      </c>
      <c r="F795" s="1">
        <v>26</v>
      </c>
      <c r="G795" s="1">
        <v>20</v>
      </c>
      <c r="H795" s="1">
        <v>5</v>
      </c>
      <c r="I795" s="3">
        <f>SUM(F795:H795)</f>
        <v>51</v>
      </c>
    </row>
    <row r="796" spans="1:9" x14ac:dyDescent="0.25">
      <c r="A796" s="2">
        <f>RANK(I796,$I$722:$I$861,0)</f>
        <v>59</v>
      </c>
      <c r="B796" s="1" t="s">
        <v>517</v>
      </c>
      <c r="C796" s="18">
        <v>46201</v>
      </c>
      <c r="D796" s="1" t="s">
        <v>266</v>
      </c>
      <c r="E796" s="1" t="s">
        <v>17</v>
      </c>
      <c r="F796" s="1">
        <v>28</v>
      </c>
      <c r="G796" s="1">
        <v>18</v>
      </c>
      <c r="H796" s="1">
        <v>5</v>
      </c>
      <c r="I796" s="3">
        <f>SUM(F796:H796)</f>
        <v>51</v>
      </c>
    </row>
    <row r="797" spans="1:9" x14ac:dyDescent="0.25">
      <c r="A797" s="2">
        <f>RANK(I797,$I$722:$I$861,0)</f>
        <v>76</v>
      </c>
      <c r="B797" s="1" t="s">
        <v>181</v>
      </c>
      <c r="C797" s="18">
        <v>44535</v>
      </c>
      <c r="D797" s="1" t="s">
        <v>71</v>
      </c>
      <c r="E797" s="1" t="s">
        <v>17</v>
      </c>
      <c r="F797" s="1">
        <v>29</v>
      </c>
      <c r="G797" s="1">
        <v>16</v>
      </c>
      <c r="H797" s="1">
        <v>5</v>
      </c>
      <c r="I797" s="3">
        <f>SUM(F797:H797)</f>
        <v>50</v>
      </c>
    </row>
    <row r="798" spans="1:9" x14ac:dyDescent="0.25">
      <c r="A798" s="2">
        <f>RANK(I798,$I$722:$I$861,0)</f>
        <v>76</v>
      </c>
      <c r="B798" s="29" t="s">
        <v>343</v>
      </c>
      <c r="C798" s="18">
        <v>45410</v>
      </c>
      <c r="D798" s="1" t="s">
        <v>71</v>
      </c>
      <c r="E798" s="1" t="s">
        <v>17</v>
      </c>
      <c r="F798" s="1">
        <v>27</v>
      </c>
      <c r="G798" s="1">
        <v>18</v>
      </c>
      <c r="H798" s="1">
        <v>5</v>
      </c>
      <c r="I798" s="3">
        <f>SUM(F798:H798)</f>
        <v>50</v>
      </c>
    </row>
    <row r="799" spans="1:9" x14ac:dyDescent="0.25">
      <c r="A799" s="2">
        <f>RANK(I799,$I$722:$I$861,0)</f>
        <v>76</v>
      </c>
      <c r="B799" s="1" t="s">
        <v>254</v>
      </c>
      <c r="C799" s="18">
        <v>44885</v>
      </c>
      <c r="D799" s="1" t="s">
        <v>74</v>
      </c>
      <c r="E799" s="1" t="s">
        <v>17</v>
      </c>
      <c r="F799" s="1">
        <v>26</v>
      </c>
      <c r="G799" s="1">
        <v>19</v>
      </c>
      <c r="H799" s="1">
        <v>5</v>
      </c>
      <c r="I799" s="3">
        <f>SUM(F799:H799)</f>
        <v>50</v>
      </c>
    </row>
    <row r="800" spans="1:9" x14ac:dyDescent="0.25">
      <c r="A800" s="2">
        <f>RANK(I800,$I$722:$I$861,0)</f>
        <v>76</v>
      </c>
      <c r="B800" s="1" t="s">
        <v>115</v>
      </c>
      <c r="C800" s="18">
        <v>44297</v>
      </c>
      <c r="D800" s="1" t="s">
        <v>71</v>
      </c>
      <c r="E800" s="1" t="s">
        <v>17</v>
      </c>
      <c r="F800" s="1">
        <v>28</v>
      </c>
      <c r="G800" s="1">
        <v>15</v>
      </c>
      <c r="H800" s="1">
        <v>7</v>
      </c>
      <c r="I800" s="3">
        <f>SUM(F800:H800)</f>
        <v>50</v>
      </c>
    </row>
    <row r="801" spans="1:9" x14ac:dyDescent="0.25">
      <c r="A801" s="2">
        <f>RANK(I801,$I$722:$I$861,0)</f>
        <v>76</v>
      </c>
      <c r="B801" s="1" t="s">
        <v>362</v>
      </c>
      <c r="C801" s="18">
        <v>45515</v>
      </c>
      <c r="D801" s="1" t="s">
        <v>266</v>
      </c>
      <c r="E801" s="1" t="s">
        <v>17</v>
      </c>
      <c r="F801" s="1">
        <v>29</v>
      </c>
      <c r="G801" s="1">
        <v>16</v>
      </c>
      <c r="H801" s="1">
        <v>5</v>
      </c>
      <c r="I801" s="3">
        <f>SUM(F801:H801)</f>
        <v>50</v>
      </c>
    </row>
    <row r="802" spans="1:9" x14ac:dyDescent="0.25">
      <c r="A802" s="2">
        <f>RANK(I802,$I$722:$I$861,0)</f>
        <v>76</v>
      </c>
      <c r="B802" s="1" t="s">
        <v>267</v>
      </c>
      <c r="C802" s="18">
        <v>44962</v>
      </c>
      <c r="D802" s="1" t="s">
        <v>266</v>
      </c>
      <c r="E802" s="1" t="s">
        <v>17</v>
      </c>
      <c r="F802" s="1">
        <v>27</v>
      </c>
      <c r="G802" s="1">
        <v>18</v>
      </c>
      <c r="H802" s="1">
        <v>5</v>
      </c>
      <c r="I802" s="3">
        <f>SUM(F802:H802)</f>
        <v>50</v>
      </c>
    </row>
    <row r="803" spans="1:9" x14ac:dyDescent="0.25">
      <c r="A803" s="2">
        <f>RANK(I803,$I$722:$I$861,0)</f>
        <v>76</v>
      </c>
      <c r="B803" s="1" t="s">
        <v>18</v>
      </c>
      <c r="C803" s="18">
        <v>44409</v>
      </c>
      <c r="D803" s="1" t="s">
        <v>69</v>
      </c>
      <c r="E803" s="1" t="s">
        <v>17</v>
      </c>
      <c r="F803" s="1">
        <v>27</v>
      </c>
      <c r="G803" s="1">
        <v>16</v>
      </c>
      <c r="H803" s="1">
        <v>7</v>
      </c>
      <c r="I803" s="3">
        <f>SUM(F803:H803)</f>
        <v>50</v>
      </c>
    </row>
    <row r="804" spans="1:9" x14ac:dyDescent="0.25">
      <c r="A804" s="2">
        <f>RANK(I804,$I$722:$I$861,0)</f>
        <v>76</v>
      </c>
      <c r="B804" s="1" t="s">
        <v>195</v>
      </c>
      <c r="C804" s="18">
        <v>45220</v>
      </c>
      <c r="D804" s="1" t="s">
        <v>308</v>
      </c>
      <c r="E804" s="1" t="s">
        <v>17</v>
      </c>
      <c r="F804" s="1">
        <v>25</v>
      </c>
      <c r="G804" s="1">
        <v>22</v>
      </c>
      <c r="H804" s="1">
        <v>3</v>
      </c>
      <c r="I804" s="3">
        <f>SUM(F804:H804)</f>
        <v>50</v>
      </c>
    </row>
    <row r="805" spans="1:9" x14ac:dyDescent="0.25">
      <c r="A805" s="2">
        <f>RANK(I805,$I$722:$I$861,0)</f>
        <v>76</v>
      </c>
      <c r="B805" s="1" t="s">
        <v>434</v>
      </c>
      <c r="C805" s="18">
        <v>45802</v>
      </c>
      <c r="D805" s="1" t="s">
        <v>149</v>
      </c>
      <c r="E805" s="1" t="s">
        <v>17</v>
      </c>
      <c r="F805" s="1">
        <v>27</v>
      </c>
      <c r="G805" s="1">
        <v>18</v>
      </c>
      <c r="H805" s="1">
        <v>5</v>
      </c>
      <c r="I805" s="3">
        <f>SUM(F805:H805)</f>
        <v>50</v>
      </c>
    </row>
    <row r="806" spans="1:9" x14ac:dyDescent="0.25">
      <c r="A806" s="2">
        <f>RANK(I806,$I$722:$I$861,0)</f>
        <v>76</v>
      </c>
      <c r="B806" s="1" t="s">
        <v>439</v>
      </c>
      <c r="C806" s="18">
        <v>45830</v>
      </c>
      <c r="D806" s="1" t="s">
        <v>69</v>
      </c>
      <c r="E806" s="1" t="s">
        <v>17</v>
      </c>
      <c r="F806" s="1">
        <v>26</v>
      </c>
      <c r="G806" s="1">
        <v>19</v>
      </c>
      <c r="H806" s="1">
        <v>5</v>
      </c>
      <c r="I806" s="3">
        <f>SUM(F806:H806)</f>
        <v>50</v>
      </c>
    </row>
    <row r="807" spans="1:9" x14ac:dyDescent="0.25">
      <c r="A807" s="2">
        <f>RANK(I807,$I$722:$I$861,0)</f>
        <v>76</v>
      </c>
      <c r="B807" s="1" t="s">
        <v>440</v>
      </c>
      <c r="C807" s="18">
        <v>45830</v>
      </c>
      <c r="D807" s="1" t="s">
        <v>72</v>
      </c>
      <c r="E807" s="1" t="s">
        <v>17</v>
      </c>
      <c r="F807" s="1">
        <v>28</v>
      </c>
      <c r="G807" s="1">
        <v>17</v>
      </c>
      <c r="H807" s="1">
        <v>5</v>
      </c>
      <c r="I807" s="3">
        <f>SUM(F807:H807)</f>
        <v>50</v>
      </c>
    </row>
    <row r="808" spans="1:9" x14ac:dyDescent="0.25">
      <c r="A808" s="2">
        <f>RANK(I808,$I$722:$I$861,0)</f>
        <v>76</v>
      </c>
      <c r="B808" s="1" t="s">
        <v>473</v>
      </c>
      <c r="C808" s="18">
        <v>45991</v>
      </c>
      <c r="D808" s="1" t="s">
        <v>71</v>
      </c>
      <c r="E808" s="1" t="s">
        <v>17</v>
      </c>
      <c r="F808" s="1">
        <v>27</v>
      </c>
      <c r="G808" s="1">
        <v>19</v>
      </c>
      <c r="H808" s="1">
        <v>4</v>
      </c>
      <c r="I808" s="3">
        <f>SUM(F808:H808)</f>
        <v>50</v>
      </c>
    </row>
    <row r="809" spans="1:9" x14ac:dyDescent="0.25">
      <c r="A809" s="2">
        <f>RANK(I809,$I$722:$I$861,0)</f>
        <v>76</v>
      </c>
      <c r="B809" s="1" t="s">
        <v>528</v>
      </c>
      <c r="C809" s="18">
        <v>46271</v>
      </c>
      <c r="D809" s="1" t="s">
        <v>483</v>
      </c>
      <c r="E809" s="1" t="s">
        <v>17</v>
      </c>
      <c r="F809" s="1">
        <v>27</v>
      </c>
      <c r="G809" s="1">
        <v>18</v>
      </c>
      <c r="H809" s="1">
        <v>5</v>
      </c>
      <c r="I809" s="3">
        <f>SUM(F809:H809)</f>
        <v>50</v>
      </c>
    </row>
    <row r="810" spans="1:9" x14ac:dyDescent="0.25">
      <c r="A810" s="2">
        <f>RANK(I810,$I$722:$I$861,0)</f>
        <v>89</v>
      </c>
      <c r="B810" s="1" t="s">
        <v>353</v>
      </c>
      <c r="C810" s="18">
        <v>45053</v>
      </c>
      <c r="D810" s="1" t="s">
        <v>67</v>
      </c>
      <c r="E810" s="1" t="s">
        <v>17</v>
      </c>
      <c r="F810" s="1">
        <v>28</v>
      </c>
      <c r="G810" s="1">
        <v>16</v>
      </c>
      <c r="H810" s="1">
        <v>5</v>
      </c>
      <c r="I810" s="3">
        <f>SUM(F810:H810)</f>
        <v>49</v>
      </c>
    </row>
    <row r="811" spans="1:9" x14ac:dyDescent="0.25">
      <c r="A811" s="2">
        <f>RANK(I811,$I$722:$I$861,0)</f>
        <v>89</v>
      </c>
      <c r="B811" s="1" t="s">
        <v>91</v>
      </c>
      <c r="C811" s="18">
        <v>45011</v>
      </c>
      <c r="D811" s="1" t="s">
        <v>73</v>
      </c>
      <c r="E811" s="1" t="s">
        <v>17</v>
      </c>
      <c r="F811" s="1">
        <v>28</v>
      </c>
      <c r="G811" s="1">
        <v>15</v>
      </c>
      <c r="H811" s="1">
        <v>6</v>
      </c>
      <c r="I811" s="3">
        <f>SUM(F811:H811)</f>
        <v>49</v>
      </c>
    </row>
    <row r="812" spans="1:9" x14ac:dyDescent="0.25">
      <c r="A812" s="2">
        <f>RANK(I812,$I$722:$I$861,0)</f>
        <v>89</v>
      </c>
      <c r="B812" s="1" t="s">
        <v>329</v>
      </c>
      <c r="C812" s="18">
        <v>45319</v>
      </c>
      <c r="D812" s="1" t="s">
        <v>66</v>
      </c>
      <c r="E812" s="1" t="s">
        <v>17</v>
      </c>
      <c r="F812" s="1">
        <v>26</v>
      </c>
      <c r="G812" s="1">
        <v>18</v>
      </c>
      <c r="H812" s="1">
        <v>5</v>
      </c>
      <c r="I812" s="3">
        <f>SUM(F812:H812)</f>
        <v>49</v>
      </c>
    </row>
    <row r="813" spans="1:9" x14ac:dyDescent="0.25">
      <c r="A813" s="2">
        <f>RANK(I813,$I$722:$I$861,0)</f>
        <v>89</v>
      </c>
      <c r="B813" s="19" t="s">
        <v>142</v>
      </c>
      <c r="C813" s="20">
        <v>44353</v>
      </c>
      <c r="D813" s="1" t="s">
        <v>72</v>
      </c>
      <c r="E813" s="1" t="s">
        <v>17</v>
      </c>
      <c r="F813" s="1">
        <v>26</v>
      </c>
      <c r="G813" s="1">
        <v>18</v>
      </c>
      <c r="H813" s="1">
        <v>5</v>
      </c>
      <c r="I813" s="3">
        <f>SUM(F813:H813)</f>
        <v>49</v>
      </c>
    </row>
    <row r="814" spans="1:9" x14ac:dyDescent="0.25">
      <c r="A814" s="2">
        <f>RANK(I814,$I$722:$I$861,0)</f>
        <v>89</v>
      </c>
      <c r="B814" s="1" t="s">
        <v>147</v>
      </c>
      <c r="C814" s="18">
        <v>44423</v>
      </c>
      <c r="D814" s="1" t="s">
        <v>72</v>
      </c>
      <c r="E814" s="1" t="s">
        <v>17</v>
      </c>
      <c r="F814" s="1">
        <v>28</v>
      </c>
      <c r="G814" s="1">
        <v>14</v>
      </c>
      <c r="H814" s="1">
        <v>7</v>
      </c>
      <c r="I814" s="3">
        <f>SUM(F814:H814)</f>
        <v>49</v>
      </c>
    </row>
    <row r="815" spans="1:9" x14ac:dyDescent="0.25">
      <c r="A815" s="2">
        <f>RANK(I815,$I$722:$I$861,0)</f>
        <v>89</v>
      </c>
      <c r="B815" s="29" t="s">
        <v>16</v>
      </c>
      <c r="C815" s="18">
        <v>44409</v>
      </c>
      <c r="D815" s="1" t="s">
        <v>69</v>
      </c>
      <c r="E815" s="1" t="s">
        <v>17</v>
      </c>
      <c r="F815" s="1">
        <v>27</v>
      </c>
      <c r="G815" s="1">
        <v>17</v>
      </c>
      <c r="H815" s="1">
        <v>5</v>
      </c>
      <c r="I815" s="3">
        <f>SUM(F815:H815)</f>
        <v>49</v>
      </c>
    </row>
    <row r="816" spans="1:9" x14ac:dyDescent="0.25">
      <c r="A816" s="2">
        <f>RANK(I816,$I$722:$I$861,0)</f>
        <v>89</v>
      </c>
      <c r="B816" s="29" t="s">
        <v>407</v>
      </c>
      <c r="C816" s="18">
        <v>45683</v>
      </c>
      <c r="D816" s="1" t="s">
        <v>71</v>
      </c>
      <c r="E816" s="1" t="s">
        <v>17</v>
      </c>
      <c r="F816" s="1">
        <v>28</v>
      </c>
      <c r="G816" s="1">
        <v>15</v>
      </c>
      <c r="H816" s="1">
        <v>6</v>
      </c>
      <c r="I816" s="3">
        <f>SUM(F816:H816)</f>
        <v>49</v>
      </c>
    </row>
    <row r="817" spans="1:9" x14ac:dyDescent="0.25">
      <c r="A817" s="2">
        <f>RANK(I817,$I$722:$I$861,0)</f>
        <v>89</v>
      </c>
      <c r="B817" s="1" t="s">
        <v>435</v>
      </c>
      <c r="C817" s="18">
        <v>45802</v>
      </c>
      <c r="D817" s="1" t="s">
        <v>307</v>
      </c>
      <c r="E817" s="1" t="s">
        <v>17</v>
      </c>
      <c r="F817" s="1">
        <v>26</v>
      </c>
      <c r="G817" s="1">
        <v>19</v>
      </c>
      <c r="H817" s="1">
        <v>4</v>
      </c>
      <c r="I817" s="3">
        <f>SUM(F817:H817)</f>
        <v>49</v>
      </c>
    </row>
    <row r="818" spans="1:9" x14ac:dyDescent="0.25">
      <c r="A818" s="2">
        <f>RANK(I818,$I$722:$I$861,0)</f>
        <v>89</v>
      </c>
      <c r="B818" s="1" t="s">
        <v>458</v>
      </c>
      <c r="C818" s="18">
        <v>45921</v>
      </c>
      <c r="D818" s="1" t="s">
        <v>266</v>
      </c>
      <c r="E818" s="1" t="s">
        <v>17</v>
      </c>
      <c r="F818" s="1">
        <v>27</v>
      </c>
      <c r="G818" s="1">
        <v>17</v>
      </c>
      <c r="H818" s="1">
        <v>5</v>
      </c>
      <c r="I818" s="3">
        <f>SUM(F818:H818)</f>
        <v>49</v>
      </c>
    </row>
    <row r="819" spans="1:9" x14ac:dyDescent="0.25">
      <c r="A819" s="2">
        <f>RANK(I819,$I$722:$I$861,0)</f>
        <v>98</v>
      </c>
      <c r="B819" s="1" t="s">
        <v>106</v>
      </c>
      <c r="C819" s="18">
        <v>44703</v>
      </c>
      <c r="D819" s="1" t="s">
        <v>69</v>
      </c>
      <c r="E819" s="1" t="s">
        <v>17</v>
      </c>
      <c r="F819" s="1">
        <v>28</v>
      </c>
      <c r="G819" s="1">
        <v>16</v>
      </c>
      <c r="H819" s="1">
        <v>4</v>
      </c>
      <c r="I819" s="3">
        <f>SUM(F819:H819)</f>
        <v>48</v>
      </c>
    </row>
    <row r="820" spans="1:9" x14ac:dyDescent="0.25">
      <c r="A820" s="2">
        <f>RANK(I820,$I$722:$I$861,0)</f>
        <v>98</v>
      </c>
      <c r="B820" s="1" t="s">
        <v>219</v>
      </c>
      <c r="C820" s="18">
        <v>44731</v>
      </c>
      <c r="D820" s="1" t="s">
        <v>69</v>
      </c>
      <c r="E820" s="1" t="s">
        <v>17</v>
      </c>
      <c r="F820" s="1">
        <v>27</v>
      </c>
      <c r="G820" s="1">
        <v>16</v>
      </c>
      <c r="H820" s="1">
        <v>5</v>
      </c>
      <c r="I820" s="3">
        <f>SUM(F820:H820)</f>
        <v>48</v>
      </c>
    </row>
    <row r="821" spans="1:9" x14ac:dyDescent="0.25">
      <c r="A821" s="2">
        <f>RANK(I821,$I$722:$I$861,0)</f>
        <v>98</v>
      </c>
      <c r="B821" s="1" t="s">
        <v>212</v>
      </c>
      <c r="C821" s="18">
        <v>44703</v>
      </c>
      <c r="D821" s="1" t="s">
        <v>69</v>
      </c>
      <c r="E821" s="1" t="s">
        <v>17</v>
      </c>
      <c r="F821" s="1">
        <v>25</v>
      </c>
      <c r="G821" s="1">
        <v>19</v>
      </c>
      <c r="H821" s="1">
        <v>4</v>
      </c>
      <c r="I821" s="3">
        <f>SUM(F821:H821)</f>
        <v>48</v>
      </c>
    </row>
    <row r="822" spans="1:9" x14ac:dyDescent="0.25">
      <c r="A822" s="2">
        <f>RANK(I822,$I$722:$I$861,0)</f>
        <v>98</v>
      </c>
      <c r="B822" s="1" t="s">
        <v>127</v>
      </c>
      <c r="C822" s="18">
        <v>44344</v>
      </c>
      <c r="D822" s="1" t="s">
        <v>69</v>
      </c>
      <c r="E822" s="1" t="s">
        <v>17</v>
      </c>
      <c r="F822" s="1">
        <v>26</v>
      </c>
      <c r="G822" s="1">
        <v>19</v>
      </c>
      <c r="H822" s="1">
        <v>3</v>
      </c>
      <c r="I822" s="3">
        <f>SUM(F822:H822)</f>
        <v>48</v>
      </c>
    </row>
    <row r="823" spans="1:9" x14ac:dyDescent="0.25">
      <c r="A823" s="2">
        <f>RANK(I823,$I$722:$I$861,0)</f>
        <v>98</v>
      </c>
      <c r="B823" s="29" t="s">
        <v>467</v>
      </c>
      <c r="C823" s="18">
        <v>45969</v>
      </c>
      <c r="D823" s="1" t="s">
        <v>67</v>
      </c>
      <c r="E823" s="1" t="s">
        <v>17</v>
      </c>
      <c r="F823" s="1">
        <v>27</v>
      </c>
      <c r="G823" s="1">
        <v>16</v>
      </c>
      <c r="H823" s="1">
        <v>5</v>
      </c>
      <c r="I823" s="3">
        <f>SUM(F823:H823)</f>
        <v>48</v>
      </c>
    </row>
    <row r="824" spans="1:9" x14ac:dyDescent="0.25">
      <c r="A824" s="2">
        <f>RANK(I824,$I$722:$I$861,0)</f>
        <v>103</v>
      </c>
      <c r="B824" s="1" t="s">
        <v>323</v>
      </c>
      <c r="C824" s="18">
        <v>45291</v>
      </c>
      <c r="D824" s="1" t="s">
        <v>266</v>
      </c>
      <c r="E824" s="1" t="s">
        <v>17</v>
      </c>
      <c r="F824" s="1">
        <v>26</v>
      </c>
      <c r="G824" s="1">
        <v>17</v>
      </c>
      <c r="H824" s="1">
        <v>4</v>
      </c>
      <c r="I824" s="3">
        <f>SUM(F824:H824)</f>
        <v>47</v>
      </c>
    </row>
    <row r="825" spans="1:9" x14ac:dyDescent="0.25">
      <c r="A825" s="2">
        <f>RANK(I825,$I$722:$I$861,0)</f>
        <v>103</v>
      </c>
      <c r="B825" s="1" t="s">
        <v>393</v>
      </c>
      <c r="C825" s="18">
        <v>45641</v>
      </c>
      <c r="D825" s="1" t="s">
        <v>236</v>
      </c>
      <c r="E825" s="1" t="s">
        <v>17</v>
      </c>
      <c r="F825" s="1">
        <v>26</v>
      </c>
      <c r="G825" s="1">
        <v>16</v>
      </c>
      <c r="H825" s="1">
        <v>5</v>
      </c>
      <c r="I825" s="3">
        <f>SUM(F825:H825)</f>
        <v>47</v>
      </c>
    </row>
    <row r="826" spans="1:9" x14ac:dyDescent="0.25">
      <c r="A826" s="2">
        <f>RANK(I826,$I$722:$I$861,0)</f>
        <v>103</v>
      </c>
      <c r="B826" s="1" t="s">
        <v>401</v>
      </c>
      <c r="C826" s="18">
        <v>45662</v>
      </c>
      <c r="D826" s="1" t="s">
        <v>68</v>
      </c>
      <c r="E826" s="1" t="s">
        <v>17</v>
      </c>
      <c r="F826" s="1">
        <v>26</v>
      </c>
      <c r="G826" s="1">
        <v>15</v>
      </c>
      <c r="H826" s="1">
        <v>6</v>
      </c>
      <c r="I826" s="3">
        <f>SUM(F826:H826)</f>
        <v>47</v>
      </c>
    </row>
    <row r="827" spans="1:9" x14ac:dyDescent="0.25">
      <c r="A827" s="2">
        <f>RANK(I827,$I$722:$I$861,0)</f>
        <v>106</v>
      </c>
      <c r="B827" s="1" t="s">
        <v>202</v>
      </c>
      <c r="C827" s="18">
        <v>44640</v>
      </c>
      <c r="D827" s="1" t="s">
        <v>71</v>
      </c>
      <c r="E827" s="1" t="s">
        <v>17</v>
      </c>
      <c r="F827" s="1">
        <v>23</v>
      </c>
      <c r="G827" s="1">
        <v>19</v>
      </c>
      <c r="H827" s="1">
        <v>4</v>
      </c>
      <c r="I827" s="3">
        <f>SUM(F827:H827)</f>
        <v>46</v>
      </c>
    </row>
    <row r="828" spans="1:9" x14ac:dyDescent="0.25">
      <c r="A828" s="2">
        <f>RANK(I828,$I$722:$I$861,0)</f>
        <v>106</v>
      </c>
      <c r="B828" s="1" t="s">
        <v>120</v>
      </c>
      <c r="C828" s="18">
        <v>44311</v>
      </c>
      <c r="D828" s="1" t="s">
        <v>69</v>
      </c>
      <c r="E828" s="1" t="s">
        <v>17</v>
      </c>
      <c r="F828" s="1">
        <v>26</v>
      </c>
      <c r="G828" s="1">
        <v>14</v>
      </c>
      <c r="H828" s="1">
        <v>6</v>
      </c>
      <c r="I828" s="3">
        <f>SUM(F828:H828)</f>
        <v>46</v>
      </c>
    </row>
    <row r="829" spans="1:9" x14ac:dyDescent="0.25">
      <c r="A829" s="2">
        <f>RANK(I829,$I$722:$I$861,0)</f>
        <v>106</v>
      </c>
      <c r="B829" s="1" t="s">
        <v>110</v>
      </c>
      <c r="C829" s="18">
        <v>44276</v>
      </c>
      <c r="D829" s="1" t="s">
        <v>74</v>
      </c>
      <c r="E829" s="1" t="s">
        <v>17</v>
      </c>
      <c r="F829" s="1">
        <v>23</v>
      </c>
      <c r="G829" s="1">
        <v>19</v>
      </c>
      <c r="H829" s="1">
        <v>4</v>
      </c>
      <c r="I829" s="3">
        <f>SUM(F829:H829)</f>
        <v>46</v>
      </c>
    </row>
    <row r="830" spans="1:9" x14ac:dyDescent="0.25">
      <c r="A830" s="2">
        <f>RANK(I830,$I$722:$I$861,0)</f>
        <v>106</v>
      </c>
      <c r="B830" s="1" t="s">
        <v>341</v>
      </c>
      <c r="C830" s="18">
        <v>45389</v>
      </c>
      <c r="D830" s="1" t="s">
        <v>149</v>
      </c>
      <c r="E830" s="1" t="s">
        <v>17</v>
      </c>
      <c r="F830" s="1">
        <v>27</v>
      </c>
      <c r="G830" s="1">
        <v>14</v>
      </c>
      <c r="H830" s="1">
        <v>5</v>
      </c>
      <c r="I830" s="3">
        <f>SUM(F830:H830)</f>
        <v>46</v>
      </c>
    </row>
    <row r="831" spans="1:9" x14ac:dyDescent="0.25">
      <c r="A831" s="2">
        <f>RANK(I831,$I$722:$I$861,0)</f>
        <v>106</v>
      </c>
      <c r="B831" s="1" t="s">
        <v>216</v>
      </c>
      <c r="C831" s="18">
        <v>44717</v>
      </c>
      <c r="D831" s="1" t="s">
        <v>184</v>
      </c>
      <c r="E831" s="1" t="s">
        <v>17</v>
      </c>
      <c r="F831" s="1">
        <v>26</v>
      </c>
      <c r="G831" s="1">
        <v>15</v>
      </c>
      <c r="H831" s="1">
        <v>5</v>
      </c>
      <c r="I831" s="3">
        <f>SUM(F831:H831)</f>
        <v>46</v>
      </c>
    </row>
    <row r="832" spans="1:9" x14ac:dyDescent="0.25">
      <c r="A832" s="2">
        <f>RANK(I832,$I$722:$I$861,0)</f>
        <v>106</v>
      </c>
      <c r="B832" s="1" t="s">
        <v>143</v>
      </c>
      <c r="C832" s="18">
        <v>44423</v>
      </c>
      <c r="D832" s="1" t="s">
        <v>68</v>
      </c>
      <c r="E832" s="1" t="s">
        <v>17</v>
      </c>
      <c r="F832" s="1">
        <v>25</v>
      </c>
      <c r="G832" s="1">
        <v>16</v>
      </c>
      <c r="H832" s="1">
        <v>5</v>
      </c>
      <c r="I832" s="3">
        <f>SUM(F832:H832)</f>
        <v>46</v>
      </c>
    </row>
    <row r="833" spans="1:9" x14ac:dyDescent="0.25">
      <c r="A833" s="2">
        <f>RANK(I833,$I$722:$I$861,0)</f>
        <v>106</v>
      </c>
      <c r="B833" s="1" t="s">
        <v>102</v>
      </c>
      <c r="C833" s="18">
        <v>44703</v>
      </c>
      <c r="D833" s="1" t="s">
        <v>69</v>
      </c>
      <c r="E833" s="1" t="s">
        <v>17</v>
      </c>
      <c r="F833" s="1">
        <v>27</v>
      </c>
      <c r="G833" s="1">
        <v>14</v>
      </c>
      <c r="H833" s="1">
        <v>5</v>
      </c>
      <c r="I833" s="3">
        <f>SUM(F833:H833)</f>
        <v>46</v>
      </c>
    </row>
    <row r="834" spans="1:9" x14ac:dyDescent="0.25">
      <c r="A834" s="2">
        <f>RANK(I834,$I$722:$I$861,0)</f>
        <v>106</v>
      </c>
      <c r="B834" s="29" t="s">
        <v>92</v>
      </c>
      <c r="C834" s="18">
        <v>44213</v>
      </c>
      <c r="D834" s="1" t="s">
        <v>68</v>
      </c>
      <c r="E834" s="1" t="s">
        <v>17</v>
      </c>
      <c r="F834" s="1">
        <v>26</v>
      </c>
      <c r="G834" s="1">
        <v>16</v>
      </c>
      <c r="H834" s="1">
        <v>4</v>
      </c>
      <c r="I834" s="3">
        <f>SUM(F834:H834)</f>
        <v>46</v>
      </c>
    </row>
    <row r="835" spans="1:9" x14ac:dyDescent="0.25">
      <c r="A835" s="2">
        <f>RANK(I835,$I$722:$I$861,0)</f>
        <v>106</v>
      </c>
      <c r="B835" s="1" t="s">
        <v>326</v>
      </c>
      <c r="C835" s="18">
        <v>45305</v>
      </c>
      <c r="D835" s="1" t="s">
        <v>308</v>
      </c>
      <c r="E835" s="1" t="s">
        <v>17</v>
      </c>
      <c r="F835" s="1">
        <v>26</v>
      </c>
      <c r="G835" s="1">
        <v>16</v>
      </c>
      <c r="H835" s="1">
        <v>4</v>
      </c>
      <c r="I835" s="3">
        <f>SUM(F835:H835)</f>
        <v>46</v>
      </c>
    </row>
    <row r="836" spans="1:9" x14ac:dyDescent="0.25">
      <c r="A836" s="2">
        <f>RANK(I836,$I$722:$I$861,0)</f>
        <v>106</v>
      </c>
      <c r="B836" s="29" t="s">
        <v>306</v>
      </c>
      <c r="C836" s="18">
        <v>45214</v>
      </c>
      <c r="D836" s="1" t="s">
        <v>72</v>
      </c>
      <c r="E836" s="1" t="s">
        <v>17</v>
      </c>
      <c r="F836" s="1">
        <v>26</v>
      </c>
      <c r="G836" s="1">
        <v>16</v>
      </c>
      <c r="H836" s="1">
        <v>4</v>
      </c>
      <c r="I836" s="3">
        <f>SUM(F836:H836)</f>
        <v>46</v>
      </c>
    </row>
    <row r="837" spans="1:9" x14ac:dyDescent="0.25">
      <c r="A837" s="2">
        <f>RANK(I837,$I$722:$I$861,0)</f>
        <v>116</v>
      </c>
      <c r="B837" s="1" t="s">
        <v>251</v>
      </c>
      <c r="C837" s="18">
        <v>44871</v>
      </c>
      <c r="D837" s="1" t="s">
        <v>236</v>
      </c>
      <c r="E837" s="1" t="s">
        <v>17</v>
      </c>
      <c r="F837" s="1">
        <v>25</v>
      </c>
      <c r="G837" s="1">
        <v>16</v>
      </c>
      <c r="H837" s="1">
        <v>4</v>
      </c>
      <c r="I837" s="3">
        <f>SUM(F837:H837)</f>
        <v>45</v>
      </c>
    </row>
    <row r="838" spans="1:9" x14ac:dyDescent="0.25">
      <c r="A838" s="2">
        <f>RANK(I838,$I$722:$I$861,0)</f>
        <v>116</v>
      </c>
      <c r="B838" s="1" t="s">
        <v>114</v>
      </c>
      <c r="C838" s="18">
        <v>44703</v>
      </c>
      <c r="D838" s="1" t="s">
        <v>72</v>
      </c>
      <c r="E838" s="1" t="s">
        <v>17</v>
      </c>
      <c r="F838" s="1">
        <v>23</v>
      </c>
      <c r="G838" s="1">
        <v>18</v>
      </c>
      <c r="H838" s="1">
        <v>4</v>
      </c>
      <c r="I838" s="3">
        <f>SUM(F838:H838)</f>
        <v>45</v>
      </c>
    </row>
    <row r="839" spans="1:9" x14ac:dyDescent="0.25">
      <c r="A839" s="2">
        <f>RANK(I839,$I$722:$I$861,0)</f>
        <v>116</v>
      </c>
      <c r="B839" s="1" t="s">
        <v>367</v>
      </c>
      <c r="C839" s="18">
        <v>45543</v>
      </c>
      <c r="D839" s="1" t="s">
        <v>368</v>
      </c>
      <c r="E839" s="1" t="s">
        <v>17</v>
      </c>
      <c r="F839" s="1">
        <v>26</v>
      </c>
      <c r="G839" s="1">
        <v>14</v>
      </c>
      <c r="H839" s="1">
        <v>5</v>
      </c>
      <c r="I839" s="3">
        <f>SUM(F839:H839)</f>
        <v>45</v>
      </c>
    </row>
    <row r="840" spans="1:9" x14ac:dyDescent="0.25">
      <c r="A840" s="2">
        <f>RANK(I840,$I$722:$I$861,0)</f>
        <v>119</v>
      </c>
      <c r="B840" s="1" t="s">
        <v>83</v>
      </c>
      <c r="C840" s="18">
        <v>44577</v>
      </c>
      <c r="D840" s="1" t="s">
        <v>68</v>
      </c>
      <c r="E840" s="1" t="s">
        <v>17</v>
      </c>
      <c r="F840" s="1">
        <v>24</v>
      </c>
      <c r="G840" s="1">
        <v>14</v>
      </c>
      <c r="H840" s="1">
        <v>6</v>
      </c>
      <c r="I840" s="3">
        <f>SUM(F840:H840)</f>
        <v>44</v>
      </c>
    </row>
    <row r="841" spans="1:9" x14ac:dyDescent="0.25">
      <c r="A841" s="2">
        <f>RANK(I841,$I$722:$I$861,0)</f>
        <v>119</v>
      </c>
      <c r="B841" s="29" t="s">
        <v>172</v>
      </c>
      <c r="C841" s="18">
        <v>44500</v>
      </c>
      <c r="D841" s="1" t="s">
        <v>68</v>
      </c>
      <c r="E841" s="1" t="s">
        <v>17</v>
      </c>
      <c r="F841" s="1">
        <v>25</v>
      </c>
      <c r="G841" s="1">
        <v>15</v>
      </c>
      <c r="H841" s="1">
        <v>4</v>
      </c>
      <c r="I841" s="3">
        <f>SUM(F841:H841)</f>
        <v>44</v>
      </c>
    </row>
    <row r="842" spans="1:9" x14ac:dyDescent="0.25">
      <c r="A842" s="2">
        <f>RANK(I842,$I$722:$I$861,0)</f>
        <v>119</v>
      </c>
      <c r="B842" s="1" t="s">
        <v>161</v>
      </c>
      <c r="C842" s="18">
        <v>44465</v>
      </c>
      <c r="D842" s="1" t="s">
        <v>68</v>
      </c>
      <c r="E842" s="1" t="s">
        <v>17</v>
      </c>
      <c r="F842" s="1">
        <v>23</v>
      </c>
      <c r="G842" s="1">
        <v>17</v>
      </c>
      <c r="H842" s="1">
        <v>4</v>
      </c>
      <c r="I842" s="3">
        <f>SUM(F842:H842)</f>
        <v>44</v>
      </c>
    </row>
    <row r="843" spans="1:9" x14ac:dyDescent="0.25">
      <c r="A843" s="2">
        <f>RANK(I843,$I$722:$I$861,0)</f>
        <v>119</v>
      </c>
      <c r="B843" s="1" t="s">
        <v>322</v>
      </c>
      <c r="C843" s="18">
        <v>45291</v>
      </c>
      <c r="D843" s="1" t="s">
        <v>71</v>
      </c>
      <c r="E843" s="1" t="s">
        <v>17</v>
      </c>
      <c r="F843" s="1">
        <v>25</v>
      </c>
      <c r="G843" s="1">
        <v>15</v>
      </c>
      <c r="H843" s="1">
        <v>4</v>
      </c>
      <c r="I843" s="3">
        <f>SUM(F843:H843)</f>
        <v>44</v>
      </c>
    </row>
    <row r="844" spans="1:9" x14ac:dyDescent="0.25">
      <c r="A844" s="2">
        <f>RANK(I844,$I$722:$I$861,0)</f>
        <v>119</v>
      </c>
      <c r="B844" s="1" t="s">
        <v>404</v>
      </c>
      <c r="C844" s="18">
        <v>45676</v>
      </c>
      <c r="D844" s="1" t="s">
        <v>149</v>
      </c>
      <c r="E844" s="1" t="s">
        <v>17</v>
      </c>
      <c r="F844" s="1">
        <v>24</v>
      </c>
      <c r="G844" s="1">
        <v>16</v>
      </c>
      <c r="H844" s="1">
        <v>4</v>
      </c>
      <c r="I844" s="3">
        <f>SUM(F844:H844)</f>
        <v>44</v>
      </c>
    </row>
    <row r="845" spans="1:9" x14ac:dyDescent="0.25">
      <c r="A845" s="2">
        <f>RANK(I845,$I$722:$I$861,0)</f>
        <v>119</v>
      </c>
      <c r="B845" s="1" t="s">
        <v>418</v>
      </c>
      <c r="C845" s="18">
        <v>45732</v>
      </c>
      <c r="D845" s="1" t="s">
        <v>72</v>
      </c>
      <c r="E845" s="1" t="s">
        <v>17</v>
      </c>
      <c r="F845" s="1">
        <v>25</v>
      </c>
      <c r="G845" s="1">
        <v>18</v>
      </c>
      <c r="H845" s="1">
        <v>1</v>
      </c>
      <c r="I845" s="3">
        <f>SUM(F845:H845)</f>
        <v>44</v>
      </c>
    </row>
    <row r="846" spans="1:9" x14ac:dyDescent="0.25">
      <c r="A846" s="2">
        <f>RANK(I846,$I$722:$I$861,0)</f>
        <v>125</v>
      </c>
      <c r="B846" s="1" t="s">
        <v>57</v>
      </c>
      <c r="C846" s="18">
        <v>45011</v>
      </c>
      <c r="D846" s="1" t="s">
        <v>68</v>
      </c>
      <c r="E846" s="1" t="s">
        <v>17</v>
      </c>
      <c r="F846" s="1">
        <v>24</v>
      </c>
      <c r="G846" s="1">
        <v>15</v>
      </c>
      <c r="H846" s="1">
        <v>4</v>
      </c>
      <c r="I846" s="3">
        <f>SUM(F846:H846)</f>
        <v>43</v>
      </c>
    </row>
    <row r="847" spans="1:9" x14ac:dyDescent="0.25">
      <c r="A847" s="2">
        <f>RANK(I847,$I$722:$I$861,0)</f>
        <v>125</v>
      </c>
      <c r="B847" s="1" t="s">
        <v>246</v>
      </c>
      <c r="C847" s="18">
        <v>44843</v>
      </c>
      <c r="D847" s="1" t="s">
        <v>67</v>
      </c>
      <c r="E847" s="1" t="s">
        <v>17</v>
      </c>
      <c r="F847" s="1">
        <v>24</v>
      </c>
      <c r="G847" s="1">
        <v>14</v>
      </c>
      <c r="H847" s="1">
        <v>5</v>
      </c>
      <c r="I847" s="3">
        <f>SUM(F847:H847)</f>
        <v>43</v>
      </c>
    </row>
    <row r="848" spans="1:9" x14ac:dyDescent="0.25">
      <c r="A848" s="2">
        <f>RANK(I848,$I$722:$I$861,0)</f>
        <v>125</v>
      </c>
      <c r="B848" s="1" t="s">
        <v>199</v>
      </c>
      <c r="C848" s="18">
        <v>44626</v>
      </c>
      <c r="D848" s="1" t="s">
        <v>69</v>
      </c>
      <c r="E848" s="1" t="s">
        <v>17</v>
      </c>
      <c r="F848" s="1">
        <v>24</v>
      </c>
      <c r="G848" s="1">
        <v>14</v>
      </c>
      <c r="H848" s="1">
        <v>5</v>
      </c>
      <c r="I848" s="3">
        <f>SUM(F848:H848)</f>
        <v>43</v>
      </c>
    </row>
    <row r="849" spans="1:18" x14ac:dyDescent="0.25">
      <c r="A849" s="2">
        <f>RANK(I849,$I$722:$I$861,0)</f>
        <v>125</v>
      </c>
      <c r="B849" s="29" t="s">
        <v>521</v>
      </c>
      <c r="C849" s="18">
        <v>46222</v>
      </c>
      <c r="D849" s="1" t="s">
        <v>67</v>
      </c>
      <c r="E849" s="1" t="s">
        <v>17</v>
      </c>
      <c r="F849" s="1">
        <v>25</v>
      </c>
      <c r="G849" s="1">
        <v>15</v>
      </c>
      <c r="H849" s="1">
        <v>3</v>
      </c>
      <c r="I849" s="3">
        <f>SUM(F849:H849)</f>
        <v>43</v>
      </c>
    </row>
    <row r="850" spans="1:18" x14ac:dyDescent="0.25">
      <c r="A850" s="2">
        <f>RANK(I850,$I$722:$I$861,0)</f>
        <v>129</v>
      </c>
      <c r="B850" s="1" t="s">
        <v>53</v>
      </c>
      <c r="C850" s="18">
        <v>44451</v>
      </c>
      <c r="D850" s="1" t="s">
        <v>69</v>
      </c>
      <c r="E850" s="1" t="s">
        <v>17</v>
      </c>
      <c r="F850" s="1">
        <v>23</v>
      </c>
      <c r="G850" s="1">
        <v>16</v>
      </c>
      <c r="H850" s="1">
        <v>3</v>
      </c>
      <c r="I850" s="3">
        <f>SUM(F850:H850)</f>
        <v>42</v>
      </c>
    </row>
    <row r="851" spans="1:18" x14ac:dyDescent="0.25">
      <c r="A851" s="2">
        <f>RANK(I851,$I$722:$I$861,0)</f>
        <v>129</v>
      </c>
      <c r="B851" s="1" t="s">
        <v>123</v>
      </c>
      <c r="C851" s="18">
        <v>45011</v>
      </c>
      <c r="D851" s="1" t="s">
        <v>69</v>
      </c>
      <c r="E851" s="1" t="s">
        <v>17</v>
      </c>
      <c r="F851" s="1">
        <v>25</v>
      </c>
      <c r="G851" s="1">
        <v>13</v>
      </c>
      <c r="H851" s="1">
        <v>4</v>
      </c>
      <c r="I851" s="3">
        <f>SUM(F851:H851)</f>
        <v>42</v>
      </c>
    </row>
    <row r="852" spans="1:18" x14ac:dyDescent="0.25">
      <c r="A852" s="2">
        <f>RANK(I852,$I$722:$I$861,0)</f>
        <v>131</v>
      </c>
      <c r="B852" s="1" t="s">
        <v>207</v>
      </c>
      <c r="C852" s="18">
        <v>45220</v>
      </c>
      <c r="D852" s="1" t="s">
        <v>308</v>
      </c>
      <c r="E852" s="1" t="s">
        <v>17</v>
      </c>
      <c r="F852" s="1">
        <v>23</v>
      </c>
      <c r="G852" s="1">
        <v>17</v>
      </c>
      <c r="H852" s="1">
        <v>1</v>
      </c>
      <c r="I852" s="3">
        <f>SUM(F852:H852)</f>
        <v>41</v>
      </c>
    </row>
    <row r="853" spans="1:18" x14ac:dyDescent="0.25">
      <c r="A853" s="2">
        <f>RANK(I853,$I$722:$I$861,0)</f>
        <v>132</v>
      </c>
      <c r="B853" s="29" t="s">
        <v>176</v>
      </c>
      <c r="C853" s="18">
        <v>44514</v>
      </c>
      <c r="D853" s="1" t="s">
        <v>71</v>
      </c>
      <c r="E853" s="1" t="s">
        <v>17</v>
      </c>
      <c r="F853" s="1">
        <v>24</v>
      </c>
      <c r="G853" s="1">
        <v>11</v>
      </c>
      <c r="H853" s="1">
        <v>4</v>
      </c>
      <c r="I853" s="3">
        <f>SUM(F853:H853)</f>
        <v>39</v>
      </c>
    </row>
    <row r="854" spans="1:18" x14ac:dyDescent="0.25">
      <c r="A854" s="2">
        <f>RANK(I854,$I$722:$I$861,0)</f>
        <v>132</v>
      </c>
      <c r="B854" s="29" t="s">
        <v>354</v>
      </c>
      <c r="C854" s="18">
        <v>44269</v>
      </c>
      <c r="D854" s="1" t="s">
        <v>67</v>
      </c>
      <c r="E854" s="1" t="s">
        <v>17</v>
      </c>
      <c r="F854" s="1">
        <v>21</v>
      </c>
      <c r="G854" s="1">
        <v>14</v>
      </c>
      <c r="H854" s="1">
        <v>4</v>
      </c>
      <c r="I854" s="3">
        <f>SUM(F854:H854)</f>
        <v>39</v>
      </c>
    </row>
    <row r="855" spans="1:18" x14ac:dyDescent="0.25">
      <c r="A855" s="2">
        <f>RANK(I855,$I$722:$I$861,0)</f>
        <v>134</v>
      </c>
      <c r="B855" s="29" t="s">
        <v>383</v>
      </c>
      <c r="C855" s="18">
        <v>45585</v>
      </c>
      <c r="D855" s="1" t="s">
        <v>66</v>
      </c>
      <c r="E855" s="1" t="s">
        <v>17</v>
      </c>
      <c r="F855" s="1">
        <v>21</v>
      </c>
      <c r="G855" s="1">
        <v>14</v>
      </c>
      <c r="H855" s="1">
        <v>2</v>
      </c>
      <c r="I855" s="3">
        <f>SUM(F855:H855)</f>
        <v>37</v>
      </c>
    </row>
    <row r="856" spans="1:18" x14ac:dyDescent="0.25">
      <c r="A856" s="2">
        <f>RANK(I856,$I$722:$I$861,0)</f>
        <v>135</v>
      </c>
      <c r="B856" s="1" t="s">
        <v>427</v>
      </c>
      <c r="C856" s="18">
        <v>45781</v>
      </c>
      <c r="D856" s="1" t="s">
        <v>74</v>
      </c>
      <c r="E856" s="1" t="s">
        <v>17</v>
      </c>
      <c r="F856" s="1">
        <v>18</v>
      </c>
      <c r="G856" s="1">
        <v>15</v>
      </c>
      <c r="H856" s="1">
        <v>3</v>
      </c>
      <c r="I856" s="3">
        <f>SUM(F856:H856)</f>
        <v>36</v>
      </c>
    </row>
    <row r="857" spans="1:18" x14ac:dyDescent="0.25">
      <c r="A857" s="2">
        <f>RANK(I857,$I$722:$I$861,0)</f>
        <v>135</v>
      </c>
      <c r="B857" s="29" t="s">
        <v>475</v>
      </c>
      <c r="C857" s="18">
        <v>45998</v>
      </c>
      <c r="D857" s="1" t="s">
        <v>75</v>
      </c>
      <c r="E857" s="1" t="s">
        <v>17</v>
      </c>
      <c r="F857" s="1">
        <v>19</v>
      </c>
      <c r="G857" s="1">
        <v>14</v>
      </c>
      <c r="H857" s="1">
        <v>3</v>
      </c>
      <c r="I857" s="3">
        <f>SUM(F857:H857)</f>
        <v>36</v>
      </c>
    </row>
    <row r="858" spans="1:18" x14ac:dyDescent="0.25">
      <c r="A858" s="2">
        <f>RANK(I858,$I$722:$I$861,0)</f>
        <v>137</v>
      </c>
      <c r="B858" s="1" t="s">
        <v>61</v>
      </c>
      <c r="C858" s="18">
        <v>44577</v>
      </c>
      <c r="D858" s="1" t="s">
        <v>75</v>
      </c>
      <c r="E858" s="1" t="s">
        <v>17</v>
      </c>
      <c r="F858" s="1">
        <v>19</v>
      </c>
      <c r="G858" s="1">
        <v>13</v>
      </c>
      <c r="H858" s="1">
        <v>3</v>
      </c>
      <c r="I858" s="3">
        <f>SUM(F858:H858)</f>
        <v>35</v>
      </c>
    </row>
    <row r="859" spans="1:18" x14ac:dyDescent="0.25">
      <c r="A859" s="2">
        <f>RANK(I859,$I$722:$I$861,0)</f>
        <v>138</v>
      </c>
      <c r="B859" s="1" t="s">
        <v>241</v>
      </c>
      <c r="C859" s="18">
        <v>44843</v>
      </c>
      <c r="D859" s="1" t="s">
        <v>73</v>
      </c>
      <c r="E859" s="1" t="s">
        <v>17</v>
      </c>
      <c r="F859" s="1">
        <v>16</v>
      </c>
      <c r="G859" s="1">
        <v>14</v>
      </c>
      <c r="H859" s="1">
        <v>4</v>
      </c>
      <c r="I859" s="3">
        <f>SUM(F859:H859)</f>
        <v>34</v>
      </c>
    </row>
    <row r="860" spans="1:18" x14ac:dyDescent="0.25">
      <c r="A860" s="2">
        <f>RANK(I860,$I$722:$I$861,0)</f>
        <v>139</v>
      </c>
      <c r="B860" s="1" t="s">
        <v>26</v>
      </c>
      <c r="C860" s="18">
        <v>44409</v>
      </c>
      <c r="D860" s="1" t="s">
        <v>69</v>
      </c>
      <c r="E860" s="1" t="s">
        <v>17</v>
      </c>
      <c r="F860" s="1">
        <v>15</v>
      </c>
      <c r="G860" s="1">
        <v>12</v>
      </c>
      <c r="H860" s="1">
        <v>4</v>
      </c>
      <c r="I860" s="3">
        <f>SUM(F860:H860)</f>
        <v>31</v>
      </c>
    </row>
    <row r="861" spans="1:18" x14ac:dyDescent="0.25">
      <c r="A861" s="2"/>
      <c r="I861" s="3"/>
    </row>
    <row r="862" spans="1:18" x14ac:dyDescent="0.25">
      <c r="A862" s="2" t="s">
        <v>27</v>
      </c>
      <c r="B862" s="1" t="s">
        <v>28</v>
      </c>
      <c r="D862" s="1" t="s">
        <v>29</v>
      </c>
      <c r="E862" s="1" t="s">
        <v>29</v>
      </c>
      <c r="F862" s="4">
        <f>AVERAGE(F722:F861)</f>
        <v>26.870503597122301</v>
      </c>
      <c r="G862" s="4">
        <f t="shared" ref="G862:I862" si="9">AVERAGE(G722:G861)</f>
        <v>17.949640287769785</v>
      </c>
      <c r="H862" s="4">
        <f t="shared" si="9"/>
        <v>5.2589928057553958</v>
      </c>
      <c r="I862" s="5">
        <f t="shared" si="9"/>
        <v>50.079136690647481</v>
      </c>
    </row>
    <row r="863" spans="1:18" x14ac:dyDescent="0.25">
      <c r="A863" s="39" t="s">
        <v>14</v>
      </c>
      <c r="B863" s="40"/>
      <c r="C863" s="40"/>
      <c r="D863" s="40"/>
      <c r="E863" s="40"/>
      <c r="F863" s="40"/>
      <c r="G863" s="40"/>
      <c r="H863" s="40"/>
      <c r="I863" s="41"/>
    </row>
    <row r="864" spans="1:18" s="14" customFormat="1" ht="30" x14ac:dyDescent="0.25">
      <c r="A864" s="10" t="s">
        <v>1</v>
      </c>
      <c r="B864" s="11" t="s">
        <v>0</v>
      </c>
      <c r="C864" s="11" t="s">
        <v>359</v>
      </c>
      <c r="D864" s="11" t="s">
        <v>65</v>
      </c>
      <c r="E864" s="11" t="s">
        <v>2</v>
      </c>
      <c r="F864" s="11" t="s">
        <v>3</v>
      </c>
      <c r="G864" s="11" t="s">
        <v>4</v>
      </c>
      <c r="H864" s="11" t="s">
        <v>5</v>
      </c>
      <c r="I864" s="22" t="s">
        <v>361</v>
      </c>
      <c r="J864" s="11"/>
      <c r="L864" s="1"/>
      <c r="M864" s="1"/>
      <c r="N864" s="1"/>
      <c r="O864" s="1"/>
      <c r="P864" s="1"/>
      <c r="Q864" s="1"/>
      <c r="R864" s="4"/>
    </row>
    <row r="865" spans="1:18" x14ac:dyDescent="0.25">
      <c r="A865" s="2">
        <f t="shared" ref="A865:A892" si="10">RANK(I865,$I$865:$I$893,0)</f>
        <v>1</v>
      </c>
      <c r="B865" s="1" t="s">
        <v>278</v>
      </c>
      <c r="C865" s="18">
        <v>45039</v>
      </c>
      <c r="D865" s="1" t="s">
        <v>73</v>
      </c>
      <c r="E865" s="1" t="s">
        <v>33</v>
      </c>
      <c r="F865" s="1">
        <v>31</v>
      </c>
      <c r="G865" s="1">
        <v>23</v>
      </c>
      <c r="H865" s="1">
        <v>8</v>
      </c>
      <c r="I865" s="3">
        <f t="shared" ref="I865:I892" si="11">SUM(F865:H865)</f>
        <v>62</v>
      </c>
    </row>
    <row r="866" spans="1:18" x14ac:dyDescent="0.25">
      <c r="A866" s="2">
        <f t="shared" si="10"/>
        <v>2</v>
      </c>
      <c r="B866" s="29" t="s">
        <v>280</v>
      </c>
      <c r="C866" s="18">
        <v>45220</v>
      </c>
      <c r="D866" s="1" t="s">
        <v>307</v>
      </c>
      <c r="E866" s="1" t="s">
        <v>33</v>
      </c>
      <c r="F866" s="1">
        <v>33</v>
      </c>
      <c r="G866" s="1">
        <v>18</v>
      </c>
      <c r="H866" s="1">
        <v>9</v>
      </c>
      <c r="I866" s="3">
        <f t="shared" si="11"/>
        <v>60</v>
      </c>
    </row>
    <row r="867" spans="1:18" x14ac:dyDescent="0.25">
      <c r="A867" s="2">
        <f t="shared" si="10"/>
        <v>2</v>
      </c>
      <c r="B867" s="1" t="s">
        <v>303</v>
      </c>
      <c r="C867" s="18">
        <v>45207</v>
      </c>
      <c r="D867" s="1" t="s">
        <v>149</v>
      </c>
      <c r="E867" s="1" t="s">
        <v>33</v>
      </c>
      <c r="F867" s="1">
        <v>30</v>
      </c>
      <c r="G867" s="1">
        <v>23</v>
      </c>
      <c r="H867" s="1">
        <v>7</v>
      </c>
      <c r="I867" s="3">
        <f t="shared" si="11"/>
        <v>60</v>
      </c>
    </row>
    <row r="868" spans="1:18" x14ac:dyDescent="0.25">
      <c r="A868" s="2">
        <f t="shared" si="10"/>
        <v>4</v>
      </c>
      <c r="B868" s="1" t="s">
        <v>88</v>
      </c>
      <c r="C868" s="18">
        <v>44577</v>
      </c>
      <c r="D868" s="1" t="s">
        <v>66</v>
      </c>
      <c r="E868" s="1" t="s">
        <v>33</v>
      </c>
      <c r="F868" s="1">
        <v>28</v>
      </c>
      <c r="G868" s="1">
        <v>23</v>
      </c>
      <c r="H868" s="1">
        <v>8</v>
      </c>
      <c r="I868" s="3">
        <f t="shared" si="11"/>
        <v>59</v>
      </c>
    </row>
    <row r="869" spans="1:18" x14ac:dyDescent="0.25">
      <c r="A869" s="2">
        <f t="shared" si="10"/>
        <v>4</v>
      </c>
      <c r="B869" s="29" t="s">
        <v>238</v>
      </c>
      <c r="C869" s="18">
        <v>44822</v>
      </c>
      <c r="D869" s="1" t="s">
        <v>71</v>
      </c>
      <c r="E869" s="1" t="s">
        <v>33</v>
      </c>
      <c r="F869" s="1">
        <v>28</v>
      </c>
      <c r="G869" s="1">
        <v>23</v>
      </c>
      <c r="H869" s="1">
        <v>8</v>
      </c>
      <c r="I869" s="3">
        <f t="shared" si="11"/>
        <v>59</v>
      </c>
    </row>
    <row r="870" spans="1:18" x14ac:dyDescent="0.25">
      <c r="A870" s="2">
        <f t="shared" si="10"/>
        <v>4</v>
      </c>
      <c r="B870" s="29" t="s">
        <v>513</v>
      </c>
      <c r="C870" s="18">
        <v>46159</v>
      </c>
      <c r="D870" s="1" t="s">
        <v>483</v>
      </c>
      <c r="E870" s="1" t="s">
        <v>33</v>
      </c>
      <c r="F870" s="1">
        <v>33</v>
      </c>
      <c r="G870" s="1">
        <v>17</v>
      </c>
      <c r="H870" s="1">
        <v>9</v>
      </c>
      <c r="I870" s="3">
        <f t="shared" si="11"/>
        <v>59</v>
      </c>
    </row>
    <row r="871" spans="1:18" x14ac:dyDescent="0.25">
      <c r="A871" s="2">
        <f t="shared" si="10"/>
        <v>7</v>
      </c>
      <c r="B871" s="29" t="s">
        <v>496</v>
      </c>
      <c r="C871" s="18">
        <v>46096</v>
      </c>
      <c r="D871" s="1" t="s">
        <v>497</v>
      </c>
      <c r="E871" s="1" t="s">
        <v>33</v>
      </c>
      <c r="F871" s="1">
        <v>32</v>
      </c>
      <c r="G871" s="1">
        <v>17</v>
      </c>
      <c r="H871" s="1">
        <v>9</v>
      </c>
      <c r="I871" s="3">
        <f t="shared" si="11"/>
        <v>58</v>
      </c>
    </row>
    <row r="872" spans="1:18" x14ac:dyDescent="0.25">
      <c r="A872" s="2">
        <f t="shared" si="10"/>
        <v>8</v>
      </c>
      <c r="B872" s="1" t="s">
        <v>228</v>
      </c>
      <c r="C872" s="18">
        <v>44773</v>
      </c>
      <c r="D872" s="1" t="s">
        <v>68</v>
      </c>
      <c r="E872" s="1" t="s">
        <v>33</v>
      </c>
      <c r="F872" s="1">
        <v>29</v>
      </c>
      <c r="G872" s="1">
        <v>21</v>
      </c>
      <c r="H872" s="1">
        <v>7</v>
      </c>
      <c r="I872" s="3">
        <f t="shared" si="11"/>
        <v>57</v>
      </c>
    </row>
    <row r="873" spans="1:18" x14ac:dyDescent="0.25">
      <c r="A873" s="2">
        <f t="shared" si="10"/>
        <v>8</v>
      </c>
      <c r="B873" s="1" t="s">
        <v>47</v>
      </c>
      <c r="C873" s="18">
        <v>44423</v>
      </c>
      <c r="D873" s="1" t="s">
        <v>69</v>
      </c>
      <c r="E873" s="1" t="s">
        <v>33</v>
      </c>
      <c r="F873" s="1">
        <v>29</v>
      </c>
      <c r="G873" s="1">
        <v>21</v>
      </c>
      <c r="H873" s="1">
        <v>7</v>
      </c>
      <c r="I873" s="3">
        <f t="shared" si="11"/>
        <v>57</v>
      </c>
      <c r="L873" s="14"/>
      <c r="M873" s="14"/>
      <c r="N873" s="14"/>
      <c r="O873" s="14"/>
      <c r="P873" s="14"/>
      <c r="Q873" s="14"/>
      <c r="R873" s="14"/>
    </row>
    <row r="874" spans="1:18" x14ac:dyDescent="0.25">
      <c r="A874" s="2">
        <f t="shared" si="10"/>
        <v>8</v>
      </c>
      <c r="B874" s="1" t="s">
        <v>350</v>
      </c>
      <c r="C874" s="18">
        <v>45459</v>
      </c>
      <c r="D874" s="1" t="s">
        <v>66</v>
      </c>
      <c r="E874" s="1" t="s">
        <v>33</v>
      </c>
      <c r="F874" s="1">
        <v>29</v>
      </c>
      <c r="G874" s="1">
        <v>21</v>
      </c>
      <c r="H874" s="1">
        <v>7</v>
      </c>
      <c r="I874" s="3">
        <f t="shared" si="11"/>
        <v>57</v>
      </c>
    </row>
    <row r="875" spans="1:18" x14ac:dyDescent="0.25">
      <c r="A875" s="2">
        <f t="shared" si="10"/>
        <v>11</v>
      </c>
      <c r="B875" s="1" t="s">
        <v>516</v>
      </c>
      <c r="C875" s="18">
        <v>46201</v>
      </c>
      <c r="D875" s="1" t="s">
        <v>497</v>
      </c>
      <c r="E875" s="1" t="s">
        <v>33</v>
      </c>
      <c r="F875" s="1">
        <v>31</v>
      </c>
      <c r="G875" s="1">
        <v>17</v>
      </c>
      <c r="H875" s="1">
        <v>8</v>
      </c>
      <c r="I875" s="3">
        <f t="shared" si="11"/>
        <v>56</v>
      </c>
    </row>
    <row r="876" spans="1:18" x14ac:dyDescent="0.25">
      <c r="A876" s="2">
        <f t="shared" si="10"/>
        <v>12</v>
      </c>
      <c r="B876" s="29" t="s">
        <v>252</v>
      </c>
      <c r="C876" s="18">
        <v>44878</v>
      </c>
      <c r="D876" s="1" t="s">
        <v>69</v>
      </c>
      <c r="E876" s="1" t="s">
        <v>33</v>
      </c>
      <c r="F876" s="1">
        <v>28</v>
      </c>
      <c r="G876" s="1">
        <v>19</v>
      </c>
      <c r="H876" s="1">
        <v>8</v>
      </c>
      <c r="I876" s="3">
        <f t="shared" si="11"/>
        <v>55</v>
      </c>
    </row>
    <row r="877" spans="1:18" x14ac:dyDescent="0.25">
      <c r="A877" s="2">
        <f t="shared" si="10"/>
        <v>12</v>
      </c>
      <c r="B877" s="1" t="s">
        <v>313</v>
      </c>
      <c r="C877" s="18">
        <v>45249</v>
      </c>
      <c r="D877" s="1" t="s">
        <v>74</v>
      </c>
      <c r="E877" s="1" t="s">
        <v>33</v>
      </c>
      <c r="F877" s="1">
        <v>29</v>
      </c>
      <c r="G877" s="1">
        <v>19</v>
      </c>
      <c r="H877" s="1">
        <v>7</v>
      </c>
      <c r="I877" s="3">
        <f t="shared" si="11"/>
        <v>55</v>
      </c>
    </row>
    <row r="878" spans="1:18" x14ac:dyDescent="0.25">
      <c r="A878" s="2">
        <f t="shared" si="10"/>
        <v>12</v>
      </c>
      <c r="B878" s="1" t="s">
        <v>371</v>
      </c>
      <c r="C878" s="18">
        <v>45543</v>
      </c>
      <c r="D878" s="1" t="s">
        <v>66</v>
      </c>
      <c r="E878" s="1" t="s">
        <v>33</v>
      </c>
      <c r="F878" s="1">
        <v>28</v>
      </c>
      <c r="G878" s="1">
        <v>21</v>
      </c>
      <c r="H878" s="1">
        <v>6</v>
      </c>
      <c r="I878" s="3">
        <f t="shared" si="11"/>
        <v>55</v>
      </c>
    </row>
    <row r="879" spans="1:18" x14ac:dyDescent="0.25">
      <c r="A879" s="2">
        <f t="shared" si="10"/>
        <v>12</v>
      </c>
      <c r="B879" s="1" t="s">
        <v>453</v>
      </c>
      <c r="C879" s="18">
        <v>45886</v>
      </c>
      <c r="D879" s="1" t="s">
        <v>309</v>
      </c>
      <c r="E879" s="1" t="s">
        <v>33</v>
      </c>
      <c r="F879" s="1">
        <v>30</v>
      </c>
      <c r="G879" s="1">
        <v>19</v>
      </c>
      <c r="H879" s="1">
        <v>6</v>
      </c>
      <c r="I879" s="3">
        <f t="shared" si="11"/>
        <v>55</v>
      </c>
    </row>
    <row r="880" spans="1:18" x14ac:dyDescent="0.25">
      <c r="A880" s="2">
        <f t="shared" si="10"/>
        <v>16</v>
      </c>
      <c r="B880" s="1" t="s">
        <v>381</v>
      </c>
      <c r="C880" s="18">
        <v>45578</v>
      </c>
      <c r="D880" s="1" t="s">
        <v>154</v>
      </c>
      <c r="E880" s="1" t="s">
        <v>33</v>
      </c>
      <c r="F880" s="1">
        <v>29</v>
      </c>
      <c r="G880" s="1">
        <v>18</v>
      </c>
      <c r="H880" s="1">
        <v>6</v>
      </c>
      <c r="I880" s="3">
        <f t="shared" si="11"/>
        <v>53</v>
      </c>
    </row>
    <row r="881" spans="1:18" x14ac:dyDescent="0.25">
      <c r="A881" s="2">
        <f t="shared" si="10"/>
        <v>16</v>
      </c>
      <c r="B881" s="1" t="s">
        <v>386</v>
      </c>
      <c r="C881" s="18">
        <v>45613</v>
      </c>
      <c r="D881" s="1" t="s">
        <v>307</v>
      </c>
      <c r="E881" s="1" t="s">
        <v>33</v>
      </c>
      <c r="F881" s="1">
        <v>28</v>
      </c>
      <c r="G881" s="1">
        <v>18</v>
      </c>
      <c r="H881" s="1">
        <v>7</v>
      </c>
      <c r="I881" s="3">
        <f t="shared" si="11"/>
        <v>53</v>
      </c>
    </row>
    <row r="882" spans="1:18" x14ac:dyDescent="0.25">
      <c r="A882" s="2">
        <f t="shared" si="10"/>
        <v>18</v>
      </c>
      <c r="B882" s="1" t="s">
        <v>290</v>
      </c>
      <c r="C882" s="18">
        <v>45102</v>
      </c>
      <c r="D882" s="1" t="s">
        <v>68</v>
      </c>
      <c r="E882" s="1" t="s">
        <v>33</v>
      </c>
      <c r="F882" s="1">
        <v>29</v>
      </c>
      <c r="G882" s="1">
        <v>17</v>
      </c>
      <c r="H882" s="1">
        <v>6</v>
      </c>
      <c r="I882" s="3">
        <f t="shared" si="11"/>
        <v>52</v>
      </c>
    </row>
    <row r="883" spans="1:18" x14ac:dyDescent="0.25">
      <c r="A883" s="2">
        <f t="shared" si="10"/>
        <v>18</v>
      </c>
      <c r="B883" s="29" t="s">
        <v>425</v>
      </c>
      <c r="C883" s="18">
        <v>45764</v>
      </c>
      <c r="D883" s="1" t="s">
        <v>67</v>
      </c>
      <c r="E883" s="1" t="s">
        <v>33</v>
      </c>
      <c r="F883" s="1">
        <v>28</v>
      </c>
      <c r="G883" s="1">
        <v>18</v>
      </c>
      <c r="H883" s="1">
        <v>6</v>
      </c>
      <c r="I883" s="3">
        <f t="shared" si="11"/>
        <v>52</v>
      </c>
    </row>
    <row r="884" spans="1:18" x14ac:dyDescent="0.25">
      <c r="A884" s="2">
        <f t="shared" si="10"/>
        <v>20</v>
      </c>
      <c r="B884" s="1" t="s">
        <v>237</v>
      </c>
      <c r="C884" s="18">
        <v>44815</v>
      </c>
      <c r="D884" s="1" t="s">
        <v>236</v>
      </c>
      <c r="E884" s="1" t="s">
        <v>33</v>
      </c>
      <c r="F884" s="1">
        <v>27</v>
      </c>
      <c r="G884" s="1">
        <v>17</v>
      </c>
      <c r="H884" s="1">
        <v>7</v>
      </c>
      <c r="I884" s="3">
        <f t="shared" si="11"/>
        <v>51</v>
      </c>
    </row>
    <row r="885" spans="1:18" x14ac:dyDescent="0.25">
      <c r="A885" s="2">
        <f t="shared" si="10"/>
        <v>21</v>
      </c>
      <c r="B885" s="1" t="s">
        <v>408</v>
      </c>
      <c r="C885" s="18">
        <v>45690</v>
      </c>
      <c r="D885" s="1" t="s">
        <v>309</v>
      </c>
      <c r="E885" s="1" t="s">
        <v>33</v>
      </c>
      <c r="F885" s="1">
        <v>28</v>
      </c>
      <c r="G885" s="1">
        <v>16</v>
      </c>
      <c r="H885" s="1">
        <v>6</v>
      </c>
      <c r="I885" s="3">
        <f t="shared" si="11"/>
        <v>50</v>
      </c>
    </row>
    <row r="886" spans="1:18" x14ac:dyDescent="0.25">
      <c r="A886" s="2">
        <f t="shared" si="10"/>
        <v>21</v>
      </c>
      <c r="B886" s="1" t="s">
        <v>431</v>
      </c>
      <c r="C886" s="18">
        <v>45781</v>
      </c>
      <c r="D886" s="1" t="s">
        <v>71</v>
      </c>
      <c r="E886" s="1" t="s">
        <v>33</v>
      </c>
      <c r="F886" s="1">
        <v>27</v>
      </c>
      <c r="G886" s="1">
        <v>21</v>
      </c>
      <c r="H886" s="1">
        <v>2</v>
      </c>
      <c r="I886" s="3">
        <f t="shared" si="11"/>
        <v>50</v>
      </c>
    </row>
    <row r="887" spans="1:18" x14ac:dyDescent="0.25">
      <c r="A887" s="2">
        <f t="shared" si="10"/>
        <v>23</v>
      </c>
      <c r="B887" s="1" t="s">
        <v>402</v>
      </c>
      <c r="C887" s="18">
        <v>45662</v>
      </c>
      <c r="D887" s="1" t="s">
        <v>74</v>
      </c>
      <c r="E887" s="1" t="s">
        <v>33</v>
      </c>
      <c r="F887" s="1">
        <v>26</v>
      </c>
      <c r="G887" s="1">
        <v>18</v>
      </c>
      <c r="H887" s="1">
        <v>5</v>
      </c>
      <c r="I887" s="3">
        <f t="shared" si="11"/>
        <v>49</v>
      </c>
    </row>
    <row r="888" spans="1:18" x14ac:dyDescent="0.25">
      <c r="A888" s="2">
        <f t="shared" si="10"/>
        <v>23</v>
      </c>
      <c r="B888" s="1" t="s">
        <v>499</v>
      </c>
      <c r="C888" s="18">
        <v>46103</v>
      </c>
      <c r="D888" s="1" t="s">
        <v>74</v>
      </c>
      <c r="E888" s="1" t="s">
        <v>33</v>
      </c>
      <c r="F888" s="1">
        <v>26</v>
      </c>
      <c r="G888" s="1">
        <v>18</v>
      </c>
      <c r="H888" s="1">
        <v>5</v>
      </c>
      <c r="I888" s="3">
        <f t="shared" si="11"/>
        <v>49</v>
      </c>
    </row>
    <row r="889" spans="1:18" x14ac:dyDescent="0.25">
      <c r="A889" s="2">
        <f t="shared" si="10"/>
        <v>25</v>
      </c>
      <c r="B889" s="1" t="s">
        <v>287</v>
      </c>
      <c r="C889" s="18">
        <v>45081</v>
      </c>
      <c r="D889" s="1" t="s">
        <v>236</v>
      </c>
      <c r="E889" s="1" t="s">
        <v>33</v>
      </c>
      <c r="F889" s="1">
        <v>26</v>
      </c>
      <c r="G889" s="1">
        <v>16</v>
      </c>
      <c r="H889" s="1">
        <v>6</v>
      </c>
      <c r="I889" s="3">
        <f t="shared" si="11"/>
        <v>48</v>
      </c>
    </row>
    <row r="890" spans="1:18" x14ac:dyDescent="0.25">
      <c r="A890" s="2">
        <f t="shared" si="10"/>
        <v>25</v>
      </c>
      <c r="B890" s="1" t="s">
        <v>43</v>
      </c>
      <c r="C890" s="18">
        <v>44423</v>
      </c>
      <c r="D890" s="1" t="s">
        <v>71</v>
      </c>
      <c r="E890" s="1" t="s">
        <v>33</v>
      </c>
      <c r="F890" s="1">
        <v>26</v>
      </c>
      <c r="G890" s="1">
        <v>16</v>
      </c>
      <c r="H890" s="1">
        <v>6</v>
      </c>
      <c r="I890" s="3">
        <f t="shared" si="11"/>
        <v>48</v>
      </c>
    </row>
    <row r="891" spans="1:18" x14ac:dyDescent="0.25">
      <c r="A891" s="2">
        <f t="shared" si="10"/>
        <v>27</v>
      </c>
      <c r="B891" s="1" t="s">
        <v>201</v>
      </c>
      <c r="C891" s="18">
        <v>44640</v>
      </c>
      <c r="D891" s="1" t="s">
        <v>66</v>
      </c>
      <c r="E891" s="1" t="s">
        <v>33</v>
      </c>
      <c r="F891" s="1">
        <v>24</v>
      </c>
      <c r="G891" s="1">
        <v>15</v>
      </c>
      <c r="H891" s="1">
        <v>5</v>
      </c>
      <c r="I891" s="3">
        <f t="shared" si="11"/>
        <v>44</v>
      </c>
    </row>
    <row r="892" spans="1:18" x14ac:dyDescent="0.25">
      <c r="A892" s="2">
        <f t="shared" si="10"/>
        <v>28</v>
      </c>
      <c r="B892" s="1" t="s">
        <v>32</v>
      </c>
      <c r="C892" s="18">
        <v>44423</v>
      </c>
      <c r="D892" s="1" t="s">
        <v>68</v>
      </c>
      <c r="E892" s="1" t="s">
        <v>33</v>
      </c>
      <c r="F892" s="1">
        <v>21</v>
      </c>
      <c r="G892" s="1">
        <v>16</v>
      </c>
      <c r="H892" s="1">
        <v>6</v>
      </c>
      <c r="I892" s="3">
        <f t="shared" si="11"/>
        <v>43</v>
      </c>
    </row>
    <row r="893" spans="1:18" x14ac:dyDescent="0.25">
      <c r="A893" s="2"/>
      <c r="I893" s="3"/>
    </row>
    <row r="894" spans="1:18" x14ac:dyDescent="0.25">
      <c r="A894" s="2" t="s">
        <v>27</v>
      </c>
      <c r="B894" s="1" t="s">
        <v>28</v>
      </c>
      <c r="D894" s="1" t="s">
        <v>29</v>
      </c>
      <c r="E894" s="1" t="s">
        <v>29</v>
      </c>
      <c r="F894" s="4">
        <f>AVERAGE(F865:F893)</f>
        <v>28.321428571428573</v>
      </c>
      <c r="G894" s="4">
        <f t="shared" ref="G894:I894" si="12">AVERAGE(G865:G893)</f>
        <v>18.785714285714285</v>
      </c>
      <c r="H894" s="4">
        <f t="shared" si="12"/>
        <v>6.6785714285714288</v>
      </c>
      <c r="I894" s="5">
        <f t="shared" si="12"/>
        <v>53.785714285714285</v>
      </c>
    </row>
    <row r="895" spans="1:18" x14ac:dyDescent="0.25">
      <c r="A895" s="39" t="s">
        <v>15</v>
      </c>
      <c r="B895" s="40"/>
      <c r="C895" s="40"/>
      <c r="D895" s="40"/>
      <c r="E895" s="40"/>
      <c r="F895" s="40"/>
      <c r="G895" s="40"/>
      <c r="H895" s="40"/>
      <c r="I895" s="41"/>
    </row>
    <row r="896" spans="1:18" s="14" customFormat="1" ht="30" x14ac:dyDescent="0.25">
      <c r="A896" s="10" t="s">
        <v>1</v>
      </c>
      <c r="B896" s="11" t="s">
        <v>0</v>
      </c>
      <c r="C896" s="11" t="s">
        <v>359</v>
      </c>
      <c r="D896" s="11" t="s">
        <v>65</v>
      </c>
      <c r="E896" s="11" t="s">
        <v>2</v>
      </c>
      <c r="F896" s="11" t="s">
        <v>3</v>
      </c>
      <c r="G896" s="11" t="s">
        <v>4</v>
      </c>
      <c r="H896" s="11" t="s">
        <v>5</v>
      </c>
      <c r="I896" s="22" t="s">
        <v>361</v>
      </c>
      <c r="J896" s="11"/>
      <c r="L896" s="1"/>
      <c r="M896" s="1"/>
      <c r="N896" s="1"/>
      <c r="O896" s="1"/>
      <c r="P896" s="1"/>
      <c r="Q896" s="1"/>
      <c r="R896" s="4"/>
    </row>
    <row r="897" spans="1:18" x14ac:dyDescent="0.25">
      <c r="A897" s="2">
        <f t="shared" ref="A897:A919" si="13">RANK(I897,$I$897:$I$920,0)</f>
        <v>1</v>
      </c>
      <c r="B897" s="29" t="s">
        <v>19</v>
      </c>
      <c r="C897" s="18">
        <v>44409</v>
      </c>
      <c r="D897" s="1" t="s">
        <v>66</v>
      </c>
      <c r="E897" s="1" t="s">
        <v>20</v>
      </c>
      <c r="F897" s="1">
        <v>28</v>
      </c>
      <c r="G897" s="1">
        <v>24</v>
      </c>
      <c r="H897" s="1">
        <v>9</v>
      </c>
      <c r="I897" s="3">
        <f t="shared" ref="I897:I919" si="14">SUM(F897:H897)</f>
        <v>61</v>
      </c>
    </row>
    <row r="898" spans="1:18" x14ac:dyDescent="0.25">
      <c r="A898" s="2">
        <f t="shared" si="13"/>
        <v>2</v>
      </c>
      <c r="B898" s="29" t="s">
        <v>477</v>
      </c>
      <c r="C898" s="18">
        <v>46011</v>
      </c>
      <c r="D898" s="1" t="s">
        <v>378</v>
      </c>
      <c r="E898" s="1" t="s">
        <v>20</v>
      </c>
      <c r="F898" s="1">
        <v>30</v>
      </c>
      <c r="G898" s="1">
        <v>24</v>
      </c>
      <c r="H898" s="1">
        <v>5</v>
      </c>
      <c r="I898" s="3">
        <f t="shared" si="14"/>
        <v>59</v>
      </c>
    </row>
    <row r="899" spans="1:18" x14ac:dyDescent="0.25">
      <c r="A899" s="2">
        <f t="shared" si="13"/>
        <v>2</v>
      </c>
      <c r="B899" s="1" t="s">
        <v>532</v>
      </c>
      <c r="C899" s="18">
        <v>46285</v>
      </c>
      <c r="D899" s="1" t="s">
        <v>483</v>
      </c>
      <c r="E899" s="1" t="s">
        <v>20</v>
      </c>
      <c r="F899" s="1">
        <v>30</v>
      </c>
      <c r="G899" s="1">
        <v>22</v>
      </c>
      <c r="H899" s="1">
        <v>7</v>
      </c>
      <c r="I899" s="3">
        <f t="shared" si="14"/>
        <v>59</v>
      </c>
    </row>
    <row r="900" spans="1:18" x14ac:dyDescent="0.25">
      <c r="A900" s="2">
        <f t="shared" si="13"/>
        <v>4</v>
      </c>
      <c r="B900" s="1" t="s">
        <v>227</v>
      </c>
      <c r="C900" s="18">
        <v>44773</v>
      </c>
      <c r="D900" s="1" t="s">
        <v>68</v>
      </c>
      <c r="E900" s="1" t="s">
        <v>20</v>
      </c>
      <c r="F900" s="1">
        <v>28</v>
      </c>
      <c r="G900" s="1">
        <v>21</v>
      </c>
      <c r="H900" s="1">
        <v>8</v>
      </c>
      <c r="I900" s="3">
        <f t="shared" si="14"/>
        <v>57</v>
      </c>
    </row>
    <row r="901" spans="1:18" x14ac:dyDescent="0.25">
      <c r="A901" s="2">
        <f t="shared" si="13"/>
        <v>4</v>
      </c>
      <c r="B901" s="1" t="s">
        <v>445</v>
      </c>
      <c r="C901" s="18">
        <v>45844</v>
      </c>
      <c r="D901" s="1" t="s">
        <v>66</v>
      </c>
      <c r="E901" s="1" t="s">
        <v>20</v>
      </c>
      <c r="F901" s="1">
        <v>29</v>
      </c>
      <c r="G901" s="1">
        <v>19</v>
      </c>
      <c r="H901" s="1">
        <v>9</v>
      </c>
      <c r="I901" s="3">
        <f t="shared" si="14"/>
        <v>57</v>
      </c>
    </row>
    <row r="902" spans="1:18" x14ac:dyDescent="0.25">
      <c r="A902" s="2">
        <f t="shared" si="13"/>
        <v>6</v>
      </c>
      <c r="B902" s="1" t="s">
        <v>325</v>
      </c>
      <c r="C902" s="18">
        <v>45305</v>
      </c>
      <c r="D902" s="1" t="s">
        <v>307</v>
      </c>
      <c r="E902" s="1" t="s">
        <v>20</v>
      </c>
      <c r="F902" s="1">
        <v>28</v>
      </c>
      <c r="G902" s="1">
        <v>22</v>
      </c>
      <c r="H902" s="1">
        <v>6</v>
      </c>
      <c r="I902" s="3">
        <f t="shared" si="14"/>
        <v>56</v>
      </c>
    </row>
    <row r="903" spans="1:18" x14ac:dyDescent="0.25">
      <c r="A903" s="2">
        <f t="shared" si="13"/>
        <v>7</v>
      </c>
      <c r="B903" s="1" t="s">
        <v>299</v>
      </c>
      <c r="C903" s="18">
        <v>45172</v>
      </c>
      <c r="D903" s="1" t="s">
        <v>68</v>
      </c>
      <c r="E903" s="1" t="s">
        <v>20</v>
      </c>
      <c r="F903" s="1">
        <v>27</v>
      </c>
      <c r="G903" s="1">
        <v>21</v>
      </c>
      <c r="H903" s="1">
        <v>7</v>
      </c>
      <c r="I903" s="3">
        <f t="shared" si="14"/>
        <v>55</v>
      </c>
    </row>
    <row r="904" spans="1:18" x14ac:dyDescent="0.25">
      <c r="A904" s="2">
        <f t="shared" si="13"/>
        <v>7</v>
      </c>
      <c r="B904" s="1" t="s">
        <v>512</v>
      </c>
      <c r="C904" s="18">
        <v>46152</v>
      </c>
      <c r="D904" s="1" t="s">
        <v>483</v>
      </c>
      <c r="E904" s="1" t="s">
        <v>20</v>
      </c>
      <c r="F904" s="1">
        <v>30</v>
      </c>
      <c r="G904" s="1">
        <v>17</v>
      </c>
      <c r="H904" s="1">
        <v>8</v>
      </c>
      <c r="I904" s="3">
        <f t="shared" si="14"/>
        <v>55</v>
      </c>
    </row>
    <row r="905" spans="1:18" x14ac:dyDescent="0.25">
      <c r="A905" s="2">
        <f t="shared" si="13"/>
        <v>9</v>
      </c>
      <c r="B905" s="29" t="s">
        <v>358</v>
      </c>
      <c r="C905" s="18">
        <v>45508</v>
      </c>
      <c r="D905" s="1" t="s">
        <v>74</v>
      </c>
      <c r="E905" s="1" t="s">
        <v>20</v>
      </c>
      <c r="F905" s="1">
        <v>29</v>
      </c>
      <c r="G905" s="1">
        <v>16</v>
      </c>
      <c r="H905" s="1">
        <v>8</v>
      </c>
      <c r="I905" s="3">
        <f t="shared" si="14"/>
        <v>53</v>
      </c>
      <c r="L905" s="14"/>
      <c r="M905" s="14"/>
      <c r="N905" s="14"/>
      <c r="O905" s="14"/>
      <c r="P905" s="14"/>
      <c r="Q905" s="14"/>
      <c r="R905" s="14"/>
    </row>
    <row r="906" spans="1:18" x14ac:dyDescent="0.25">
      <c r="A906" s="2">
        <f t="shared" si="13"/>
        <v>9</v>
      </c>
      <c r="B906" s="1" t="s">
        <v>370</v>
      </c>
      <c r="C906" s="18">
        <v>45543</v>
      </c>
      <c r="D906" s="1" t="s">
        <v>66</v>
      </c>
      <c r="E906" s="1" t="s">
        <v>20</v>
      </c>
      <c r="F906" s="1">
        <v>26</v>
      </c>
      <c r="G906" s="1">
        <v>21</v>
      </c>
      <c r="H906" s="1">
        <v>6</v>
      </c>
      <c r="I906" s="3">
        <f t="shared" si="14"/>
        <v>53</v>
      </c>
    </row>
    <row r="907" spans="1:18" x14ac:dyDescent="0.25">
      <c r="A907" s="2">
        <f t="shared" si="13"/>
        <v>11</v>
      </c>
      <c r="B907" s="29" t="s">
        <v>316</v>
      </c>
      <c r="C907" s="18">
        <v>45256</v>
      </c>
      <c r="D907" s="1" t="s">
        <v>307</v>
      </c>
      <c r="E907" s="1" t="s">
        <v>20</v>
      </c>
      <c r="F907" s="1">
        <v>26</v>
      </c>
      <c r="G907" s="1">
        <v>18</v>
      </c>
      <c r="H907" s="1">
        <v>7</v>
      </c>
      <c r="I907" s="3">
        <f t="shared" si="14"/>
        <v>51</v>
      </c>
    </row>
    <row r="908" spans="1:18" x14ac:dyDescent="0.25">
      <c r="A908" s="2">
        <f t="shared" si="13"/>
        <v>11</v>
      </c>
      <c r="B908" s="1" t="s">
        <v>311</v>
      </c>
      <c r="C908" s="18">
        <v>45235</v>
      </c>
      <c r="D908" s="1" t="s">
        <v>307</v>
      </c>
      <c r="E908" s="1" t="s">
        <v>20</v>
      </c>
      <c r="F908" s="1">
        <v>26</v>
      </c>
      <c r="G908" s="1">
        <v>18</v>
      </c>
      <c r="H908" s="1">
        <v>7</v>
      </c>
      <c r="I908" s="3">
        <f t="shared" si="14"/>
        <v>51</v>
      </c>
    </row>
    <row r="909" spans="1:18" x14ac:dyDescent="0.25">
      <c r="A909" s="2">
        <f t="shared" si="13"/>
        <v>11</v>
      </c>
      <c r="B909" s="1" t="s">
        <v>498</v>
      </c>
      <c r="C909" s="18">
        <v>46103</v>
      </c>
      <c r="D909" s="1" t="s">
        <v>74</v>
      </c>
      <c r="E909" s="1" t="s">
        <v>20</v>
      </c>
      <c r="F909" s="1">
        <v>25</v>
      </c>
      <c r="G909" s="1">
        <v>22</v>
      </c>
      <c r="H909" s="1">
        <v>4</v>
      </c>
      <c r="I909" s="3">
        <f t="shared" si="14"/>
        <v>51</v>
      </c>
    </row>
    <row r="910" spans="1:18" x14ac:dyDescent="0.25">
      <c r="A910" s="2">
        <f t="shared" si="13"/>
        <v>14</v>
      </c>
      <c r="B910" s="1" t="s">
        <v>373</v>
      </c>
      <c r="C910" s="18">
        <v>45557</v>
      </c>
      <c r="D910" s="1" t="s">
        <v>73</v>
      </c>
      <c r="E910" s="1" t="s">
        <v>20</v>
      </c>
      <c r="F910" s="1">
        <v>27</v>
      </c>
      <c r="G910" s="1">
        <v>17</v>
      </c>
      <c r="H910" s="1">
        <v>6</v>
      </c>
      <c r="I910" s="3">
        <f t="shared" si="14"/>
        <v>50</v>
      </c>
    </row>
    <row r="911" spans="1:18" x14ac:dyDescent="0.25">
      <c r="A911" s="2">
        <f t="shared" si="13"/>
        <v>14</v>
      </c>
      <c r="B911" s="29" t="s">
        <v>515</v>
      </c>
      <c r="C911" s="18">
        <v>46194</v>
      </c>
      <c r="D911" s="1" t="s">
        <v>71</v>
      </c>
      <c r="E911" s="1" t="s">
        <v>20</v>
      </c>
      <c r="F911" s="1">
        <v>26</v>
      </c>
      <c r="G911" s="1">
        <v>20</v>
      </c>
      <c r="H911" s="1">
        <v>4</v>
      </c>
      <c r="I911" s="3">
        <f t="shared" si="14"/>
        <v>50</v>
      </c>
    </row>
    <row r="912" spans="1:18" x14ac:dyDescent="0.25">
      <c r="A912" s="2">
        <f t="shared" si="13"/>
        <v>14</v>
      </c>
      <c r="B912" s="1" t="s">
        <v>530</v>
      </c>
      <c r="C912" s="18">
        <v>46271</v>
      </c>
      <c r="D912" s="1" t="s">
        <v>236</v>
      </c>
      <c r="E912" s="1" t="s">
        <v>20</v>
      </c>
      <c r="F912" s="1">
        <v>27</v>
      </c>
      <c r="G912" s="1">
        <v>17</v>
      </c>
      <c r="H912" s="1">
        <v>6</v>
      </c>
      <c r="I912" s="3">
        <f t="shared" si="14"/>
        <v>50</v>
      </c>
    </row>
    <row r="913" spans="1:18" x14ac:dyDescent="0.25">
      <c r="A913" s="2">
        <f t="shared" si="13"/>
        <v>17</v>
      </c>
      <c r="B913" s="1" t="s">
        <v>289</v>
      </c>
      <c r="C913" s="18">
        <v>45102</v>
      </c>
      <c r="D913" s="1" t="s">
        <v>68</v>
      </c>
      <c r="E913" s="1" t="s">
        <v>20</v>
      </c>
      <c r="F913" s="1">
        <v>27</v>
      </c>
      <c r="G913" s="1">
        <v>17</v>
      </c>
      <c r="H913" s="1">
        <v>5</v>
      </c>
      <c r="I913" s="3">
        <f t="shared" si="14"/>
        <v>49</v>
      </c>
    </row>
    <row r="914" spans="1:18" x14ac:dyDescent="0.25">
      <c r="A914" s="2">
        <f t="shared" si="13"/>
        <v>17</v>
      </c>
      <c r="B914" s="1" t="s">
        <v>388</v>
      </c>
      <c r="C914" s="18">
        <v>45613</v>
      </c>
      <c r="D914" s="1" t="s">
        <v>66</v>
      </c>
      <c r="E914" s="1" t="s">
        <v>20</v>
      </c>
      <c r="F914" s="1">
        <v>26</v>
      </c>
      <c r="G914" s="1">
        <v>17</v>
      </c>
      <c r="H914" s="1">
        <v>6</v>
      </c>
      <c r="I914" s="3">
        <f t="shared" si="14"/>
        <v>49</v>
      </c>
    </row>
    <row r="915" spans="1:18" x14ac:dyDescent="0.25">
      <c r="A915" s="2">
        <f t="shared" si="13"/>
        <v>19</v>
      </c>
      <c r="B915" s="29" t="s">
        <v>412</v>
      </c>
      <c r="C915" s="18">
        <v>45711</v>
      </c>
      <c r="D915" s="1" t="s">
        <v>236</v>
      </c>
      <c r="E915" s="1" t="s">
        <v>20</v>
      </c>
      <c r="F915" s="1">
        <v>27</v>
      </c>
      <c r="G915" s="1">
        <v>16</v>
      </c>
      <c r="H915" s="1">
        <v>5</v>
      </c>
      <c r="I915" s="3">
        <f t="shared" si="14"/>
        <v>48</v>
      </c>
    </row>
    <row r="916" spans="1:18" x14ac:dyDescent="0.25">
      <c r="A916" s="2">
        <f t="shared" si="13"/>
        <v>20</v>
      </c>
      <c r="B916" s="1" t="s">
        <v>30</v>
      </c>
      <c r="C916" s="18">
        <v>44423</v>
      </c>
      <c r="D916" s="1" t="s">
        <v>68</v>
      </c>
      <c r="E916" s="1" t="s">
        <v>20</v>
      </c>
      <c r="F916" s="1">
        <v>24</v>
      </c>
      <c r="G916" s="1">
        <v>17</v>
      </c>
      <c r="H916" s="1">
        <v>6</v>
      </c>
      <c r="I916" s="3">
        <f t="shared" si="14"/>
        <v>47</v>
      </c>
    </row>
    <row r="917" spans="1:18" x14ac:dyDescent="0.25">
      <c r="A917" s="2">
        <f t="shared" si="13"/>
        <v>21</v>
      </c>
      <c r="B917" s="29" t="s">
        <v>461</v>
      </c>
      <c r="C917" s="18">
        <v>45925</v>
      </c>
      <c r="D917" s="1" t="s">
        <v>67</v>
      </c>
      <c r="E917" s="1" t="s">
        <v>20</v>
      </c>
      <c r="F917" s="1">
        <v>25</v>
      </c>
      <c r="G917" s="1">
        <v>18</v>
      </c>
      <c r="H917" s="1">
        <v>3</v>
      </c>
      <c r="I917" s="3">
        <f t="shared" si="14"/>
        <v>46</v>
      </c>
    </row>
    <row r="918" spans="1:18" x14ac:dyDescent="0.25">
      <c r="A918" s="2">
        <f t="shared" si="13"/>
        <v>22</v>
      </c>
      <c r="B918" s="1" t="s">
        <v>235</v>
      </c>
      <c r="C918" s="18">
        <v>44815</v>
      </c>
      <c r="D918" s="1" t="s">
        <v>236</v>
      </c>
      <c r="E918" s="1" t="s">
        <v>20</v>
      </c>
      <c r="F918" s="1">
        <v>27</v>
      </c>
      <c r="G918" s="1">
        <v>14</v>
      </c>
      <c r="H918" s="1">
        <v>4</v>
      </c>
      <c r="I918" s="3">
        <f t="shared" si="14"/>
        <v>45</v>
      </c>
    </row>
    <row r="919" spans="1:18" x14ac:dyDescent="0.25">
      <c r="A919" s="2">
        <f t="shared" si="13"/>
        <v>23</v>
      </c>
      <c r="B919" s="1" t="s">
        <v>48</v>
      </c>
      <c r="C919" s="18">
        <v>44451</v>
      </c>
      <c r="D919" s="1" t="s">
        <v>71</v>
      </c>
      <c r="E919" s="1" t="s">
        <v>20</v>
      </c>
      <c r="F919" s="1">
        <v>24</v>
      </c>
      <c r="G919" s="1">
        <v>14</v>
      </c>
      <c r="H919" s="1">
        <v>4</v>
      </c>
      <c r="I919" s="3">
        <f t="shared" si="14"/>
        <v>42</v>
      </c>
    </row>
    <row r="920" spans="1:18" x14ac:dyDescent="0.25">
      <c r="A920" s="2"/>
      <c r="I920" s="3"/>
    </row>
    <row r="921" spans="1:18" x14ac:dyDescent="0.25">
      <c r="A921" s="2" t="s">
        <v>27</v>
      </c>
      <c r="B921" s="1" t="s">
        <v>28</v>
      </c>
      <c r="D921" s="1" t="s">
        <v>29</v>
      </c>
      <c r="E921" s="1" t="s">
        <v>29</v>
      </c>
      <c r="F921" s="4">
        <f>AVERAGE(F897:F920)</f>
        <v>27.043478260869566</v>
      </c>
      <c r="G921" s="4">
        <f t="shared" ref="G921:I921" si="15">AVERAGE(G897:G920)</f>
        <v>18.782608695652176</v>
      </c>
      <c r="H921" s="4">
        <f t="shared" si="15"/>
        <v>6.0869565217391308</v>
      </c>
      <c r="I921" s="5">
        <f t="shared" si="15"/>
        <v>51.913043478260867</v>
      </c>
    </row>
    <row r="922" spans="1:18" x14ac:dyDescent="0.25">
      <c r="A922" s="39" t="s">
        <v>38</v>
      </c>
      <c r="B922" s="40"/>
      <c r="C922" s="40"/>
      <c r="D922" s="40"/>
      <c r="E922" s="40"/>
      <c r="F922" s="40"/>
      <c r="G922" s="40"/>
      <c r="H922" s="40"/>
      <c r="I922" s="41"/>
      <c r="K922"/>
    </row>
    <row r="923" spans="1:18" s="14" customFormat="1" ht="30" x14ac:dyDescent="0.25">
      <c r="A923" s="10" t="s">
        <v>1</v>
      </c>
      <c r="B923" s="11" t="s">
        <v>0</v>
      </c>
      <c r="C923" s="11" t="s">
        <v>359</v>
      </c>
      <c r="D923" s="11" t="s">
        <v>65</v>
      </c>
      <c r="E923" s="11" t="s">
        <v>2</v>
      </c>
      <c r="F923" s="11" t="s">
        <v>3</v>
      </c>
      <c r="G923" s="11" t="s">
        <v>4</v>
      </c>
      <c r="H923" s="11" t="s">
        <v>5</v>
      </c>
      <c r="I923" s="22" t="s">
        <v>361</v>
      </c>
      <c r="J923" s="11"/>
      <c r="L923" s="1"/>
      <c r="M923" s="1"/>
      <c r="N923" s="1"/>
      <c r="O923" s="1"/>
      <c r="P923" s="1"/>
      <c r="Q923" s="1"/>
      <c r="R923" s="4"/>
    </row>
    <row r="924" spans="1:18" x14ac:dyDescent="0.25">
      <c r="A924" s="2">
        <f t="shared" ref="A924:A963" si="16">RANK(I924,$I$924:$I$964,0)</f>
        <v>1</v>
      </c>
      <c r="B924" s="29" t="s">
        <v>330</v>
      </c>
      <c r="C924" s="18">
        <v>45326</v>
      </c>
      <c r="D924" s="1" t="s">
        <v>71</v>
      </c>
      <c r="E924" s="1" t="s">
        <v>40</v>
      </c>
      <c r="F924" s="1">
        <v>31</v>
      </c>
      <c r="G924" s="1">
        <v>19</v>
      </c>
      <c r="H924" s="1">
        <v>9</v>
      </c>
      <c r="I924" s="3">
        <f t="shared" ref="I924:I963" si="17">SUM(F924:H924)</f>
        <v>59</v>
      </c>
      <c r="K924"/>
    </row>
    <row r="925" spans="1:18" x14ac:dyDescent="0.25">
      <c r="A925" s="2">
        <f t="shared" si="16"/>
        <v>2</v>
      </c>
      <c r="B925" s="29" t="s">
        <v>223</v>
      </c>
      <c r="C925" s="18">
        <v>44752</v>
      </c>
      <c r="D925" s="1" t="s">
        <v>71</v>
      </c>
      <c r="E925" s="1" t="s">
        <v>40</v>
      </c>
      <c r="F925" s="1">
        <v>29</v>
      </c>
      <c r="G925" s="1">
        <v>19</v>
      </c>
      <c r="H925" s="1">
        <v>9</v>
      </c>
      <c r="I925" s="3">
        <f t="shared" si="17"/>
        <v>57</v>
      </c>
      <c r="K925"/>
    </row>
    <row r="926" spans="1:18" x14ac:dyDescent="0.25">
      <c r="A926" s="2">
        <f t="shared" si="16"/>
        <v>2</v>
      </c>
      <c r="B926" s="1" t="s">
        <v>490</v>
      </c>
      <c r="C926" s="18">
        <v>46061</v>
      </c>
      <c r="D926" s="1" t="s">
        <v>71</v>
      </c>
      <c r="E926" s="1" t="s">
        <v>40</v>
      </c>
      <c r="F926" s="1">
        <v>29</v>
      </c>
      <c r="G926" s="1">
        <v>19</v>
      </c>
      <c r="H926" s="1">
        <v>9</v>
      </c>
      <c r="I926" s="3">
        <f t="shared" si="17"/>
        <v>57</v>
      </c>
      <c r="K926"/>
    </row>
    <row r="927" spans="1:18" x14ac:dyDescent="0.25">
      <c r="A927" s="2">
        <f t="shared" si="16"/>
        <v>4</v>
      </c>
      <c r="B927" s="29" t="s">
        <v>270</v>
      </c>
      <c r="C927" s="18">
        <v>44938</v>
      </c>
      <c r="D927" s="1" t="s">
        <v>68</v>
      </c>
      <c r="E927" s="1" t="s">
        <v>40</v>
      </c>
      <c r="F927" s="1">
        <v>31</v>
      </c>
      <c r="G927" s="1">
        <v>15</v>
      </c>
      <c r="H927" s="1">
        <v>8</v>
      </c>
      <c r="I927" s="3">
        <f t="shared" si="17"/>
        <v>54</v>
      </c>
      <c r="K927"/>
    </row>
    <row r="928" spans="1:18" x14ac:dyDescent="0.25">
      <c r="A928" s="2">
        <f t="shared" si="16"/>
        <v>4</v>
      </c>
      <c r="B928" s="1" t="s">
        <v>42</v>
      </c>
      <c r="C928" s="18">
        <v>44409</v>
      </c>
      <c r="D928" s="1" t="s">
        <v>68</v>
      </c>
      <c r="E928" s="1" t="s">
        <v>40</v>
      </c>
      <c r="F928" s="1">
        <v>29</v>
      </c>
      <c r="G928" s="1">
        <v>16</v>
      </c>
      <c r="H928" s="1">
        <v>9</v>
      </c>
      <c r="I928" s="3">
        <f t="shared" si="17"/>
        <v>54</v>
      </c>
      <c r="K928"/>
    </row>
    <row r="929" spans="1:18" x14ac:dyDescent="0.25">
      <c r="A929" s="2">
        <f t="shared" si="16"/>
        <v>4</v>
      </c>
      <c r="B929" s="1" t="s">
        <v>399</v>
      </c>
      <c r="C929" s="18">
        <v>45662</v>
      </c>
      <c r="D929" s="1" t="s">
        <v>68</v>
      </c>
      <c r="E929" s="1" t="s">
        <v>40</v>
      </c>
      <c r="F929" s="1">
        <v>29</v>
      </c>
      <c r="G929" s="1">
        <v>17</v>
      </c>
      <c r="H929" s="1">
        <v>8</v>
      </c>
      <c r="I929" s="3">
        <f t="shared" si="17"/>
        <v>54</v>
      </c>
      <c r="K929"/>
    </row>
    <row r="930" spans="1:18" x14ac:dyDescent="0.25">
      <c r="A930" s="2">
        <f t="shared" si="16"/>
        <v>4</v>
      </c>
      <c r="B930" s="29" t="s">
        <v>524</v>
      </c>
      <c r="C930" s="18">
        <v>46235</v>
      </c>
      <c r="D930" s="1" t="s">
        <v>73</v>
      </c>
      <c r="E930" s="1" t="s">
        <v>40</v>
      </c>
      <c r="F930" s="1">
        <v>30</v>
      </c>
      <c r="G930" s="1">
        <v>17</v>
      </c>
      <c r="H930" s="1">
        <v>7</v>
      </c>
      <c r="I930" s="3">
        <f t="shared" si="17"/>
        <v>54</v>
      </c>
      <c r="K930"/>
    </row>
    <row r="931" spans="1:18" x14ac:dyDescent="0.25">
      <c r="A931" s="2">
        <f t="shared" si="16"/>
        <v>8</v>
      </c>
      <c r="B931" s="1" t="s">
        <v>41</v>
      </c>
      <c r="C931" s="18">
        <v>44409</v>
      </c>
      <c r="D931" s="1" t="s">
        <v>68</v>
      </c>
      <c r="E931" s="1" t="s">
        <v>40</v>
      </c>
      <c r="F931" s="1">
        <v>28</v>
      </c>
      <c r="G931" s="1">
        <v>16</v>
      </c>
      <c r="H931" s="1">
        <v>9</v>
      </c>
      <c r="I931" s="3">
        <f t="shared" si="17"/>
        <v>53</v>
      </c>
      <c r="K931"/>
      <c r="L931"/>
      <c r="M931"/>
      <c r="N931"/>
      <c r="O931"/>
      <c r="P931"/>
      <c r="Q931"/>
      <c r="R931"/>
    </row>
    <row r="932" spans="1:18" x14ac:dyDescent="0.25">
      <c r="A932" s="2">
        <f t="shared" si="16"/>
        <v>8</v>
      </c>
      <c r="B932" s="1" t="s">
        <v>400</v>
      </c>
      <c r="C932" s="18">
        <v>45662</v>
      </c>
      <c r="D932" s="1" t="s">
        <v>68</v>
      </c>
      <c r="E932" s="1" t="s">
        <v>40</v>
      </c>
      <c r="F932" s="1">
        <v>29</v>
      </c>
      <c r="G932" s="1">
        <v>17</v>
      </c>
      <c r="H932" s="1">
        <v>7</v>
      </c>
      <c r="I932" s="3">
        <f t="shared" si="17"/>
        <v>53</v>
      </c>
      <c r="K932"/>
      <c r="L932" s="14"/>
      <c r="M932" s="14"/>
      <c r="N932" s="14"/>
      <c r="O932" s="14"/>
      <c r="P932" s="14"/>
      <c r="Q932" s="14"/>
      <c r="R932" s="14"/>
    </row>
    <row r="933" spans="1:18" x14ac:dyDescent="0.25">
      <c r="A933" s="2">
        <f t="shared" si="16"/>
        <v>10</v>
      </c>
      <c r="B933" s="1" t="s">
        <v>273</v>
      </c>
      <c r="C933" s="18">
        <v>45025</v>
      </c>
      <c r="D933" s="1" t="s">
        <v>68</v>
      </c>
      <c r="E933" s="1" t="s">
        <v>40</v>
      </c>
      <c r="F933" s="1">
        <v>28</v>
      </c>
      <c r="G933" s="1">
        <v>16</v>
      </c>
      <c r="H933" s="1">
        <v>8</v>
      </c>
      <c r="I933" s="3">
        <f t="shared" si="17"/>
        <v>52</v>
      </c>
      <c r="K933"/>
      <c r="L933"/>
      <c r="M933"/>
      <c r="N933"/>
      <c r="O933"/>
      <c r="P933"/>
      <c r="Q933"/>
      <c r="R933"/>
    </row>
    <row r="934" spans="1:18" x14ac:dyDescent="0.25">
      <c r="A934" s="2">
        <f t="shared" si="16"/>
        <v>11</v>
      </c>
      <c r="B934" s="29" t="s">
        <v>233</v>
      </c>
      <c r="C934" s="18">
        <v>44811</v>
      </c>
      <c r="D934" s="1" t="s">
        <v>72</v>
      </c>
      <c r="E934" s="1" t="s">
        <v>40</v>
      </c>
      <c r="F934" s="1">
        <v>28</v>
      </c>
      <c r="G934" s="1">
        <v>16</v>
      </c>
      <c r="H934" s="1">
        <v>7</v>
      </c>
      <c r="I934" s="3">
        <f t="shared" si="17"/>
        <v>51</v>
      </c>
      <c r="K934"/>
      <c r="L934"/>
      <c r="M934"/>
      <c r="N934"/>
      <c r="O934"/>
      <c r="P934"/>
      <c r="Q934"/>
      <c r="R934"/>
    </row>
    <row r="935" spans="1:18" x14ac:dyDescent="0.25">
      <c r="A935" s="2">
        <f t="shared" si="16"/>
        <v>11</v>
      </c>
      <c r="B935" s="1" t="s">
        <v>187</v>
      </c>
      <c r="C935" s="18">
        <v>44577</v>
      </c>
      <c r="D935" s="1" t="s">
        <v>73</v>
      </c>
      <c r="E935" s="1" t="s">
        <v>40</v>
      </c>
      <c r="F935" s="1">
        <v>27</v>
      </c>
      <c r="G935" s="1">
        <v>17</v>
      </c>
      <c r="H935" s="1">
        <v>7</v>
      </c>
      <c r="I935" s="3">
        <f t="shared" si="17"/>
        <v>51</v>
      </c>
      <c r="K935"/>
      <c r="L935"/>
      <c r="M935"/>
      <c r="N935"/>
      <c r="O935"/>
      <c r="P935"/>
      <c r="Q935"/>
      <c r="R935"/>
    </row>
    <row r="936" spans="1:18" x14ac:dyDescent="0.25">
      <c r="A936" s="2">
        <f t="shared" si="16"/>
        <v>11</v>
      </c>
      <c r="B936" s="1" t="s">
        <v>103</v>
      </c>
      <c r="C936" s="18">
        <v>45011</v>
      </c>
      <c r="D936" s="1" t="s">
        <v>66</v>
      </c>
      <c r="E936" s="1" t="s">
        <v>40</v>
      </c>
      <c r="F936" s="1">
        <v>24</v>
      </c>
      <c r="G936" s="1">
        <v>22</v>
      </c>
      <c r="H936" s="1">
        <v>5</v>
      </c>
      <c r="I936" s="3">
        <f t="shared" si="17"/>
        <v>51</v>
      </c>
      <c r="K936"/>
      <c r="L936"/>
      <c r="M936"/>
      <c r="N936"/>
      <c r="O936"/>
      <c r="P936"/>
      <c r="Q936"/>
      <c r="R936"/>
    </row>
    <row r="937" spans="1:18" x14ac:dyDescent="0.25">
      <c r="A937" s="2">
        <f t="shared" si="16"/>
        <v>11</v>
      </c>
      <c r="B937" s="1" t="s">
        <v>374</v>
      </c>
      <c r="C937" s="18">
        <v>45557</v>
      </c>
      <c r="D937" s="1" t="s">
        <v>266</v>
      </c>
      <c r="E937" s="1" t="s">
        <v>40</v>
      </c>
      <c r="F937" s="1">
        <v>25</v>
      </c>
      <c r="G937" s="1">
        <v>21</v>
      </c>
      <c r="H937" s="1">
        <v>5</v>
      </c>
      <c r="I937" s="3">
        <f t="shared" si="17"/>
        <v>51</v>
      </c>
      <c r="K937"/>
      <c r="L937"/>
      <c r="M937"/>
      <c r="N937"/>
      <c r="O937"/>
      <c r="P937"/>
      <c r="Q937"/>
      <c r="R937"/>
    </row>
    <row r="938" spans="1:18" x14ac:dyDescent="0.25">
      <c r="A938" s="2">
        <f t="shared" si="16"/>
        <v>15</v>
      </c>
      <c r="B938" s="1" t="s">
        <v>423</v>
      </c>
      <c r="C938" s="18">
        <v>45753</v>
      </c>
      <c r="D938" s="1" t="s">
        <v>66</v>
      </c>
      <c r="E938" s="1" t="s">
        <v>40</v>
      </c>
      <c r="F938" s="1">
        <v>25</v>
      </c>
      <c r="G938" s="1">
        <v>21</v>
      </c>
      <c r="H938" s="1">
        <v>4</v>
      </c>
      <c r="I938" s="3">
        <f t="shared" si="17"/>
        <v>50</v>
      </c>
      <c r="K938"/>
      <c r="L938"/>
      <c r="M938"/>
      <c r="N938"/>
      <c r="O938"/>
      <c r="P938"/>
      <c r="Q938"/>
      <c r="R938"/>
    </row>
    <row r="939" spans="1:18" x14ac:dyDescent="0.25">
      <c r="A939" s="2">
        <f t="shared" si="16"/>
        <v>16</v>
      </c>
      <c r="B939" s="1" t="s">
        <v>59</v>
      </c>
      <c r="C939" s="18">
        <v>45011</v>
      </c>
      <c r="D939" s="1" t="s">
        <v>68</v>
      </c>
      <c r="E939" s="1" t="s">
        <v>40</v>
      </c>
      <c r="F939" s="1">
        <v>27</v>
      </c>
      <c r="G939" s="1">
        <v>15</v>
      </c>
      <c r="H939" s="1">
        <v>7</v>
      </c>
      <c r="I939" s="3">
        <f t="shared" si="17"/>
        <v>49</v>
      </c>
      <c r="K939"/>
      <c r="L939"/>
      <c r="M939"/>
      <c r="N939"/>
      <c r="O939"/>
      <c r="P939"/>
      <c r="Q939"/>
      <c r="R939"/>
    </row>
    <row r="940" spans="1:18" x14ac:dyDescent="0.25">
      <c r="A940" s="2">
        <f t="shared" si="16"/>
        <v>16</v>
      </c>
      <c r="B940" s="1" t="s">
        <v>315</v>
      </c>
      <c r="C940" s="18">
        <v>45249</v>
      </c>
      <c r="D940" s="1" t="s">
        <v>308</v>
      </c>
      <c r="E940" s="1" t="s">
        <v>40</v>
      </c>
      <c r="F940" s="1">
        <v>23</v>
      </c>
      <c r="G940" s="1">
        <v>23</v>
      </c>
      <c r="H940" s="1">
        <v>3</v>
      </c>
      <c r="I940" s="3">
        <f t="shared" si="17"/>
        <v>49</v>
      </c>
      <c r="K940"/>
      <c r="L940"/>
      <c r="M940"/>
      <c r="N940"/>
      <c r="O940"/>
      <c r="P940"/>
      <c r="Q940"/>
      <c r="R940"/>
    </row>
    <row r="941" spans="1:18" x14ac:dyDescent="0.25">
      <c r="A941" s="2">
        <f t="shared" si="16"/>
        <v>18</v>
      </c>
      <c r="B941" s="29" t="s">
        <v>288</v>
      </c>
      <c r="C941" s="18">
        <v>45088</v>
      </c>
      <c r="D941" s="1" t="s">
        <v>74</v>
      </c>
      <c r="E941" s="1" t="s">
        <v>40</v>
      </c>
      <c r="F941" s="1">
        <v>27</v>
      </c>
      <c r="G941" s="1">
        <v>16</v>
      </c>
      <c r="H941" s="1">
        <v>5</v>
      </c>
      <c r="I941" s="3">
        <f t="shared" si="17"/>
        <v>48</v>
      </c>
      <c r="K941"/>
      <c r="L941"/>
      <c r="M941"/>
      <c r="N941"/>
      <c r="O941"/>
      <c r="P941"/>
      <c r="Q941"/>
      <c r="R941"/>
    </row>
    <row r="942" spans="1:18" x14ac:dyDescent="0.25">
      <c r="A942" s="2">
        <f t="shared" si="16"/>
        <v>18</v>
      </c>
      <c r="B942" s="1" t="s">
        <v>382</v>
      </c>
      <c r="C942" s="18">
        <v>45648</v>
      </c>
      <c r="D942" s="1" t="s">
        <v>307</v>
      </c>
      <c r="E942" s="1" t="s">
        <v>40</v>
      </c>
      <c r="F942" s="1">
        <v>27</v>
      </c>
      <c r="G942" s="1">
        <v>16</v>
      </c>
      <c r="H942" s="1">
        <v>5</v>
      </c>
      <c r="I942" s="3">
        <f t="shared" si="17"/>
        <v>48</v>
      </c>
      <c r="K942"/>
      <c r="L942"/>
      <c r="M942"/>
      <c r="N942"/>
      <c r="O942"/>
      <c r="P942"/>
      <c r="Q942"/>
      <c r="R942"/>
    </row>
    <row r="943" spans="1:18" x14ac:dyDescent="0.25">
      <c r="A943" s="2">
        <f t="shared" si="16"/>
        <v>20</v>
      </c>
      <c r="B943" s="29" t="s">
        <v>192</v>
      </c>
      <c r="C943" s="18">
        <v>44598</v>
      </c>
      <c r="D943" s="1" t="s">
        <v>68</v>
      </c>
      <c r="E943" s="1" t="s">
        <v>40</v>
      </c>
      <c r="F943" s="1">
        <v>26</v>
      </c>
      <c r="G943" s="1">
        <v>17</v>
      </c>
      <c r="H943" s="1">
        <v>4</v>
      </c>
      <c r="I943" s="3">
        <f t="shared" si="17"/>
        <v>47</v>
      </c>
      <c r="K943"/>
      <c r="L943"/>
      <c r="M943"/>
      <c r="N943"/>
      <c r="O943"/>
      <c r="P943"/>
      <c r="Q943"/>
      <c r="R943"/>
    </row>
    <row r="944" spans="1:18" x14ac:dyDescent="0.25">
      <c r="A944" s="2">
        <f t="shared" si="16"/>
        <v>20</v>
      </c>
      <c r="B944" s="1" t="s">
        <v>334</v>
      </c>
      <c r="C944" s="18">
        <v>45347</v>
      </c>
      <c r="D944" s="1" t="s">
        <v>73</v>
      </c>
      <c r="E944" s="1" t="s">
        <v>40</v>
      </c>
      <c r="F944" s="1">
        <v>24</v>
      </c>
      <c r="G944" s="1">
        <v>18</v>
      </c>
      <c r="H944" s="1">
        <v>5</v>
      </c>
      <c r="I944" s="3">
        <f t="shared" si="17"/>
        <v>47</v>
      </c>
      <c r="K944"/>
      <c r="L944"/>
      <c r="M944"/>
      <c r="N944"/>
      <c r="O944"/>
      <c r="P944"/>
      <c r="Q944"/>
      <c r="R944"/>
    </row>
    <row r="945" spans="1:18" x14ac:dyDescent="0.25">
      <c r="A945" s="2">
        <f t="shared" si="16"/>
        <v>20</v>
      </c>
      <c r="B945" s="1" t="s">
        <v>160</v>
      </c>
      <c r="C945" s="18">
        <v>44465</v>
      </c>
      <c r="D945" s="1" t="s">
        <v>68</v>
      </c>
      <c r="E945" s="1" t="s">
        <v>40</v>
      </c>
      <c r="F945" s="1">
        <v>25</v>
      </c>
      <c r="G945" s="1">
        <v>17</v>
      </c>
      <c r="H945" s="1">
        <v>5</v>
      </c>
      <c r="I945" s="3">
        <f t="shared" si="17"/>
        <v>47</v>
      </c>
      <c r="K945"/>
      <c r="L945"/>
      <c r="M945"/>
      <c r="N945"/>
      <c r="O945"/>
      <c r="P945"/>
      <c r="Q945"/>
      <c r="R945"/>
    </row>
    <row r="946" spans="1:18" x14ac:dyDescent="0.25">
      <c r="A946" s="2">
        <f t="shared" si="16"/>
        <v>23</v>
      </c>
      <c r="B946" s="29" t="s">
        <v>293</v>
      </c>
      <c r="C946" s="18">
        <v>45220</v>
      </c>
      <c r="D946" s="1" t="s">
        <v>309</v>
      </c>
      <c r="E946" s="1" t="s">
        <v>40</v>
      </c>
      <c r="F946" s="1">
        <v>25</v>
      </c>
      <c r="G946" s="1">
        <v>16</v>
      </c>
      <c r="H946" s="1">
        <v>5</v>
      </c>
      <c r="I946" s="3">
        <f t="shared" si="17"/>
        <v>46</v>
      </c>
      <c r="K946"/>
      <c r="L946"/>
      <c r="M946"/>
      <c r="N946"/>
      <c r="O946"/>
      <c r="P946"/>
      <c r="Q946"/>
      <c r="R946"/>
    </row>
    <row r="947" spans="1:18" x14ac:dyDescent="0.25">
      <c r="A947" s="2">
        <f t="shared" si="16"/>
        <v>23</v>
      </c>
      <c r="B947" s="1" t="s">
        <v>382</v>
      </c>
      <c r="C947" s="18">
        <v>45578</v>
      </c>
      <c r="D947" s="1" t="s">
        <v>307</v>
      </c>
      <c r="E947" s="1" t="s">
        <v>40</v>
      </c>
      <c r="F947" s="1">
        <v>25</v>
      </c>
      <c r="G947" s="1">
        <v>17</v>
      </c>
      <c r="H947" s="1">
        <v>4</v>
      </c>
      <c r="I947" s="3">
        <f t="shared" si="17"/>
        <v>46</v>
      </c>
      <c r="K947"/>
      <c r="L947"/>
      <c r="M947"/>
      <c r="N947"/>
      <c r="O947"/>
      <c r="P947"/>
      <c r="Q947"/>
      <c r="R947"/>
    </row>
    <row r="948" spans="1:18" x14ac:dyDescent="0.25">
      <c r="A948" s="2">
        <f t="shared" si="16"/>
        <v>23</v>
      </c>
      <c r="B948" s="1" t="s">
        <v>395</v>
      </c>
      <c r="C948" s="18">
        <v>45641</v>
      </c>
      <c r="D948" s="1" t="s">
        <v>309</v>
      </c>
      <c r="E948" s="1" t="s">
        <v>40</v>
      </c>
      <c r="F948" s="1">
        <v>26</v>
      </c>
      <c r="G948" s="1">
        <v>16</v>
      </c>
      <c r="H948" s="1">
        <v>4</v>
      </c>
      <c r="I948" s="3">
        <f t="shared" si="17"/>
        <v>46</v>
      </c>
      <c r="K948"/>
      <c r="L948"/>
      <c r="M948"/>
      <c r="N948"/>
      <c r="O948"/>
      <c r="P948"/>
      <c r="Q948"/>
      <c r="R948"/>
    </row>
    <row r="949" spans="1:18" x14ac:dyDescent="0.25">
      <c r="A949" s="2">
        <f t="shared" si="16"/>
        <v>26</v>
      </c>
      <c r="B949" s="1" t="s">
        <v>112</v>
      </c>
      <c r="C949" s="18">
        <v>44703</v>
      </c>
      <c r="D949" s="1" t="s">
        <v>74</v>
      </c>
      <c r="E949" s="1" t="s">
        <v>40</v>
      </c>
      <c r="F949" s="1">
        <v>24</v>
      </c>
      <c r="G949" s="1">
        <v>14</v>
      </c>
      <c r="H949" s="1">
        <v>6</v>
      </c>
      <c r="I949" s="3">
        <f t="shared" si="17"/>
        <v>44</v>
      </c>
      <c r="K949"/>
      <c r="L949"/>
      <c r="M949"/>
      <c r="N949"/>
      <c r="O949"/>
      <c r="P949"/>
      <c r="Q949"/>
      <c r="R949"/>
    </row>
    <row r="950" spans="1:18" x14ac:dyDescent="0.25">
      <c r="A950" s="2">
        <f t="shared" si="16"/>
        <v>26</v>
      </c>
      <c r="B950" s="1" t="s">
        <v>428</v>
      </c>
      <c r="C950" s="18">
        <v>45781</v>
      </c>
      <c r="D950" s="1" t="s">
        <v>308</v>
      </c>
      <c r="E950" s="1" t="s">
        <v>40</v>
      </c>
      <c r="F950" s="1">
        <v>23</v>
      </c>
      <c r="G950" s="1">
        <v>18</v>
      </c>
      <c r="H950" s="1">
        <v>3</v>
      </c>
      <c r="I950" s="3">
        <f t="shared" si="17"/>
        <v>44</v>
      </c>
      <c r="K950"/>
      <c r="L950"/>
      <c r="M950"/>
      <c r="N950"/>
      <c r="O950"/>
      <c r="P950"/>
      <c r="Q950"/>
      <c r="R950"/>
    </row>
    <row r="951" spans="1:18" x14ac:dyDescent="0.25">
      <c r="A951" s="2">
        <f t="shared" si="16"/>
        <v>28</v>
      </c>
      <c r="B951" s="1" t="s">
        <v>355</v>
      </c>
      <c r="C951" s="18">
        <v>45172</v>
      </c>
      <c r="D951" s="1" t="s">
        <v>67</v>
      </c>
      <c r="E951" s="1" t="s">
        <v>40</v>
      </c>
      <c r="F951" s="1">
        <v>22</v>
      </c>
      <c r="G951" s="1">
        <v>17</v>
      </c>
      <c r="H951" s="1">
        <v>4</v>
      </c>
      <c r="I951" s="3">
        <f t="shared" si="17"/>
        <v>43</v>
      </c>
      <c r="K951"/>
      <c r="L951"/>
      <c r="M951"/>
      <c r="N951"/>
      <c r="O951"/>
      <c r="P951"/>
      <c r="Q951"/>
      <c r="R951"/>
    </row>
    <row r="952" spans="1:18" x14ac:dyDescent="0.25">
      <c r="A952" s="2">
        <f t="shared" si="16"/>
        <v>28</v>
      </c>
      <c r="B952" s="1" t="s">
        <v>104</v>
      </c>
      <c r="C952" s="18">
        <v>45011</v>
      </c>
      <c r="D952" s="1" t="s">
        <v>73</v>
      </c>
      <c r="E952" s="1" t="s">
        <v>40</v>
      </c>
      <c r="F952" s="1">
        <v>23</v>
      </c>
      <c r="G952" s="1">
        <v>15</v>
      </c>
      <c r="H952" s="1">
        <v>5</v>
      </c>
      <c r="I952" s="3">
        <f t="shared" si="17"/>
        <v>43</v>
      </c>
      <c r="K952"/>
      <c r="L952"/>
      <c r="M952"/>
      <c r="N952"/>
      <c r="O952"/>
      <c r="P952"/>
      <c r="Q952"/>
      <c r="R952"/>
    </row>
    <row r="953" spans="1:18" x14ac:dyDescent="0.25">
      <c r="A953" s="2">
        <f t="shared" si="16"/>
        <v>28</v>
      </c>
      <c r="B953" s="1" t="s">
        <v>344</v>
      </c>
      <c r="C953" s="18">
        <v>45417</v>
      </c>
      <c r="D953" s="1" t="s">
        <v>74</v>
      </c>
      <c r="E953" s="1" t="s">
        <v>40</v>
      </c>
      <c r="F953" s="1">
        <v>22</v>
      </c>
      <c r="G953" s="1">
        <v>17</v>
      </c>
      <c r="H953" s="1">
        <v>4</v>
      </c>
      <c r="I953" s="3">
        <f t="shared" si="17"/>
        <v>43</v>
      </c>
      <c r="K953"/>
      <c r="L953"/>
      <c r="M953"/>
      <c r="N953"/>
      <c r="O953"/>
      <c r="P953"/>
      <c r="Q953"/>
      <c r="R953"/>
    </row>
    <row r="954" spans="1:18" x14ac:dyDescent="0.25">
      <c r="A954" s="2">
        <f t="shared" si="16"/>
        <v>28</v>
      </c>
      <c r="B954" s="1" t="s">
        <v>244</v>
      </c>
      <c r="C954" s="18">
        <v>44843</v>
      </c>
      <c r="D954" s="1" t="s">
        <v>66</v>
      </c>
      <c r="E954" s="1" t="s">
        <v>40</v>
      </c>
      <c r="F954" s="1">
        <v>22</v>
      </c>
      <c r="G954" s="1">
        <v>17</v>
      </c>
      <c r="H954" s="1">
        <v>4</v>
      </c>
      <c r="I954" s="3">
        <f t="shared" si="17"/>
        <v>43</v>
      </c>
      <c r="K954"/>
      <c r="L954"/>
      <c r="M954"/>
      <c r="N954"/>
      <c r="O954"/>
      <c r="P954"/>
      <c r="Q954"/>
      <c r="R954"/>
    </row>
    <row r="955" spans="1:18" x14ac:dyDescent="0.25">
      <c r="A955" s="2">
        <f t="shared" si="16"/>
        <v>28</v>
      </c>
      <c r="B955" s="1" t="s">
        <v>442</v>
      </c>
      <c r="C955" s="18">
        <v>45844</v>
      </c>
      <c r="D955" s="1" t="s">
        <v>74</v>
      </c>
      <c r="E955" s="1" t="s">
        <v>40</v>
      </c>
      <c r="F955" s="1">
        <v>25</v>
      </c>
      <c r="G955" s="1">
        <v>15</v>
      </c>
      <c r="H955" s="1">
        <v>3</v>
      </c>
      <c r="I955" s="3">
        <f t="shared" si="17"/>
        <v>43</v>
      </c>
      <c r="K955"/>
      <c r="L955"/>
      <c r="M955"/>
      <c r="N955"/>
      <c r="O955"/>
      <c r="P955"/>
      <c r="Q955"/>
      <c r="R955"/>
    </row>
    <row r="956" spans="1:18" x14ac:dyDescent="0.25">
      <c r="A956" s="2">
        <f t="shared" si="16"/>
        <v>33</v>
      </c>
      <c r="B956" s="1" t="s">
        <v>305</v>
      </c>
      <c r="C956" s="18">
        <v>45207</v>
      </c>
      <c r="D956" s="1" t="s">
        <v>154</v>
      </c>
      <c r="E956" s="1" t="s">
        <v>40</v>
      </c>
      <c r="F956" s="1">
        <v>22</v>
      </c>
      <c r="G956" s="1">
        <v>15</v>
      </c>
      <c r="H956" s="1">
        <v>4</v>
      </c>
      <c r="I956" s="3">
        <f t="shared" si="17"/>
        <v>41</v>
      </c>
      <c r="K956"/>
      <c r="L956"/>
      <c r="M956"/>
      <c r="N956"/>
      <c r="O956"/>
      <c r="P956"/>
      <c r="Q956"/>
      <c r="R956"/>
    </row>
    <row r="957" spans="1:18" x14ac:dyDescent="0.25">
      <c r="A957" s="2">
        <f t="shared" si="16"/>
        <v>34</v>
      </c>
      <c r="B957" s="1" t="s">
        <v>84</v>
      </c>
      <c r="C957" s="18">
        <v>44577</v>
      </c>
      <c r="D957" s="1" t="s">
        <v>68</v>
      </c>
      <c r="E957" s="1" t="s">
        <v>40</v>
      </c>
      <c r="F957" s="1">
        <v>22</v>
      </c>
      <c r="G957" s="1">
        <v>14</v>
      </c>
      <c r="H957" s="1">
        <v>4</v>
      </c>
      <c r="I957" s="3">
        <f t="shared" si="17"/>
        <v>40</v>
      </c>
      <c r="K957"/>
      <c r="L957"/>
      <c r="M957"/>
      <c r="N957"/>
      <c r="O957"/>
      <c r="P957"/>
      <c r="Q957"/>
      <c r="R957"/>
    </row>
    <row r="958" spans="1:18" x14ac:dyDescent="0.25">
      <c r="A958" s="2">
        <f t="shared" si="16"/>
        <v>34</v>
      </c>
      <c r="B958" s="1" t="s">
        <v>274</v>
      </c>
      <c r="C958" s="18">
        <v>45025</v>
      </c>
      <c r="D958" s="1" t="s">
        <v>149</v>
      </c>
      <c r="E958" s="1" t="s">
        <v>40</v>
      </c>
      <c r="F958" s="1">
        <v>22</v>
      </c>
      <c r="G958" s="1">
        <v>14</v>
      </c>
      <c r="H958" s="1">
        <v>4</v>
      </c>
      <c r="I958" s="3">
        <f t="shared" si="17"/>
        <v>40</v>
      </c>
      <c r="K958"/>
      <c r="L958"/>
      <c r="M958"/>
      <c r="N958"/>
      <c r="O958"/>
      <c r="P958"/>
      <c r="Q958"/>
      <c r="R958"/>
    </row>
    <row r="959" spans="1:18" x14ac:dyDescent="0.25">
      <c r="A959" s="2">
        <f t="shared" si="16"/>
        <v>34</v>
      </c>
      <c r="B959" s="1" t="s">
        <v>39</v>
      </c>
      <c r="C959" s="18">
        <v>44423</v>
      </c>
      <c r="D959" s="1" t="s">
        <v>71</v>
      </c>
      <c r="E959" s="1" t="s">
        <v>40</v>
      </c>
      <c r="F959" s="1">
        <v>21</v>
      </c>
      <c r="G959" s="1">
        <v>15</v>
      </c>
      <c r="H959" s="1">
        <v>4</v>
      </c>
      <c r="I959" s="3">
        <f t="shared" si="17"/>
        <v>40</v>
      </c>
      <c r="K959"/>
      <c r="L959"/>
      <c r="M959"/>
      <c r="N959"/>
      <c r="O959"/>
      <c r="P959"/>
      <c r="Q959"/>
      <c r="R959"/>
    </row>
    <row r="960" spans="1:18" x14ac:dyDescent="0.25">
      <c r="A960" s="2">
        <f t="shared" si="16"/>
        <v>37</v>
      </c>
      <c r="B960" s="1" t="s">
        <v>240</v>
      </c>
      <c r="C960" s="18">
        <v>44843</v>
      </c>
      <c r="D960" s="1" t="s">
        <v>73</v>
      </c>
      <c r="E960" s="1" t="s">
        <v>40</v>
      </c>
      <c r="F960" s="1">
        <v>19</v>
      </c>
      <c r="G960" s="1">
        <v>14</v>
      </c>
      <c r="H960" s="1">
        <v>3</v>
      </c>
      <c r="I960" s="3">
        <f t="shared" si="17"/>
        <v>36</v>
      </c>
      <c r="K960"/>
      <c r="L960"/>
      <c r="M960"/>
      <c r="N960"/>
      <c r="O960"/>
      <c r="P960"/>
      <c r="Q960"/>
      <c r="R960"/>
    </row>
    <row r="961" spans="1:18" x14ac:dyDescent="0.25">
      <c r="A961" s="2">
        <f t="shared" si="16"/>
        <v>38</v>
      </c>
      <c r="B961" s="1" t="s">
        <v>63</v>
      </c>
      <c r="C961" s="18">
        <v>44577</v>
      </c>
      <c r="D961" s="1" t="s">
        <v>75</v>
      </c>
      <c r="E961" s="1" t="s">
        <v>40</v>
      </c>
      <c r="F961" s="1">
        <v>17</v>
      </c>
      <c r="G961" s="1">
        <v>13</v>
      </c>
      <c r="H961" s="1">
        <v>3</v>
      </c>
      <c r="I961" s="3">
        <f t="shared" si="17"/>
        <v>33</v>
      </c>
      <c r="K961"/>
      <c r="L961"/>
      <c r="M961"/>
      <c r="N961"/>
      <c r="O961"/>
      <c r="P961"/>
      <c r="Q961"/>
      <c r="R961"/>
    </row>
    <row r="962" spans="1:18" x14ac:dyDescent="0.25">
      <c r="A962" s="2">
        <f t="shared" si="16"/>
        <v>39</v>
      </c>
      <c r="B962" s="1" t="s">
        <v>304</v>
      </c>
      <c r="C962" s="18">
        <v>45207</v>
      </c>
      <c r="D962" s="1" t="s">
        <v>73</v>
      </c>
      <c r="E962" s="1" t="s">
        <v>40</v>
      </c>
      <c r="F962" s="1">
        <v>14</v>
      </c>
      <c r="G962" s="1">
        <v>13</v>
      </c>
      <c r="H962" s="1">
        <v>2</v>
      </c>
      <c r="I962" s="3">
        <f t="shared" si="17"/>
        <v>29</v>
      </c>
      <c r="K962"/>
      <c r="L962"/>
      <c r="M962"/>
      <c r="N962"/>
      <c r="O962"/>
      <c r="P962"/>
      <c r="Q962"/>
      <c r="R962"/>
    </row>
    <row r="963" spans="1:18" x14ac:dyDescent="0.25">
      <c r="A963" s="2">
        <f t="shared" si="16"/>
        <v>39</v>
      </c>
      <c r="B963" s="1" t="s">
        <v>245</v>
      </c>
      <c r="C963" s="18">
        <v>44843</v>
      </c>
      <c r="D963" s="1" t="s">
        <v>75</v>
      </c>
      <c r="E963" s="1" t="s">
        <v>40</v>
      </c>
      <c r="F963" s="1">
        <v>14</v>
      </c>
      <c r="G963" s="1">
        <v>12</v>
      </c>
      <c r="H963" s="1">
        <v>3</v>
      </c>
      <c r="I963" s="3">
        <f t="shared" si="17"/>
        <v>29</v>
      </c>
      <c r="K963"/>
      <c r="L963"/>
      <c r="M963"/>
      <c r="N963"/>
      <c r="O963"/>
      <c r="P963"/>
      <c r="Q963"/>
      <c r="R963"/>
    </row>
    <row r="964" spans="1:18" x14ac:dyDescent="0.25">
      <c r="A964" s="2"/>
      <c r="I964" s="3"/>
      <c r="K964"/>
      <c r="L964"/>
      <c r="M964"/>
      <c r="N964"/>
      <c r="O964"/>
      <c r="P964"/>
      <c r="Q964"/>
      <c r="R964"/>
    </row>
    <row r="965" spans="1:18" x14ac:dyDescent="0.25">
      <c r="A965" s="6" t="s">
        <v>27</v>
      </c>
      <c r="B965" s="7" t="s">
        <v>28</v>
      </c>
      <c r="C965" s="7"/>
      <c r="D965" s="7" t="s">
        <v>29</v>
      </c>
      <c r="E965" s="7" t="s">
        <v>29</v>
      </c>
      <c r="F965" s="8">
        <f>AVERAGE(F924:F964)</f>
        <v>24.725000000000001</v>
      </c>
      <c r="G965" s="8">
        <f t="shared" ref="G965:I965" si="18">AVERAGE(G924:G964)</f>
        <v>16.55</v>
      </c>
      <c r="H965" s="8">
        <f t="shared" si="18"/>
        <v>5.35</v>
      </c>
      <c r="I965" s="9">
        <f t="shared" si="18"/>
        <v>46.625</v>
      </c>
      <c r="L965"/>
      <c r="M965"/>
      <c r="N965"/>
      <c r="O965"/>
      <c r="P965"/>
      <c r="Q965"/>
      <c r="R965"/>
    </row>
    <row r="966" spans="1:18" x14ac:dyDescent="0.25">
      <c r="L966"/>
      <c r="M966"/>
      <c r="N966"/>
      <c r="O966"/>
      <c r="P966"/>
      <c r="Q966"/>
      <c r="R966"/>
    </row>
    <row r="967" spans="1:18" x14ac:dyDescent="0.25">
      <c r="L967"/>
      <c r="M967"/>
      <c r="N967"/>
      <c r="O967"/>
      <c r="P967"/>
      <c r="Q967"/>
      <c r="R967"/>
    </row>
    <row r="968" spans="1:18" x14ac:dyDescent="0.25">
      <c r="L968"/>
      <c r="M968"/>
      <c r="N968"/>
      <c r="O968"/>
      <c r="P968"/>
      <c r="Q968"/>
      <c r="R968"/>
    </row>
    <row r="969" spans="1:18" x14ac:dyDescent="0.25">
      <c r="L969"/>
      <c r="M969"/>
      <c r="N969"/>
      <c r="O969"/>
      <c r="P969"/>
      <c r="Q969"/>
      <c r="R969"/>
    </row>
    <row r="970" spans="1:18" x14ac:dyDescent="0.25">
      <c r="L970"/>
      <c r="M970"/>
      <c r="N970"/>
      <c r="O970"/>
      <c r="P970"/>
      <c r="Q970"/>
      <c r="R970"/>
    </row>
    <row r="971" spans="1:18" x14ac:dyDescent="0.25">
      <c r="L971"/>
      <c r="M971"/>
      <c r="N971"/>
      <c r="O971"/>
      <c r="P971"/>
      <c r="Q971"/>
      <c r="R971"/>
    </row>
    <row r="972" spans="1:18" x14ac:dyDescent="0.25">
      <c r="L972"/>
      <c r="M972"/>
      <c r="N972"/>
      <c r="O972"/>
      <c r="P972"/>
      <c r="Q972"/>
      <c r="R972"/>
    </row>
    <row r="973" spans="1:18" x14ac:dyDescent="0.25">
      <c r="L973"/>
      <c r="M973"/>
      <c r="N973"/>
      <c r="O973"/>
      <c r="P973"/>
      <c r="Q973"/>
      <c r="R973"/>
    </row>
  </sheetData>
  <sortState xmlns:xlrd2="http://schemas.microsoft.com/office/spreadsheetml/2017/richdata2" ref="A6:I474">
    <sortCondition ref="A6:A474"/>
  </sortState>
  <mergeCells count="12">
    <mergeCell ref="A863:I863"/>
    <mergeCell ref="A895:I895"/>
    <mergeCell ref="A922:I922"/>
    <mergeCell ref="H1:H3"/>
    <mergeCell ref="A4:I4"/>
    <mergeCell ref="L4:R4"/>
    <mergeCell ref="L35:R42"/>
    <mergeCell ref="A477:I477"/>
    <mergeCell ref="A720:I720"/>
    <mergeCell ref="A1:A3"/>
    <mergeCell ref="B1:F3"/>
    <mergeCell ref="I1:I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19B0-B0B3-4159-8DAB-4966119B93C3}">
  <dimension ref="A1:R973"/>
  <sheetViews>
    <sheetView zoomScale="90" zoomScaleNormal="90" workbookViewId="0">
      <selection activeCell="F20" sqref="F20"/>
    </sheetView>
  </sheetViews>
  <sheetFormatPr defaultRowHeight="15" x14ac:dyDescent="0.25"/>
  <cols>
    <col min="1" max="1" width="9.140625" style="1"/>
    <col min="2" max="2" width="37" style="1" bestFit="1" customWidth="1"/>
    <col min="3" max="3" width="10.7109375" style="1" bestFit="1" customWidth="1"/>
    <col min="4" max="4" width="14" style="1" bestFit="1" customWidth="1"/>
    <col min="5" max="5" width="12.42578125" style="1" bestFit="1" customWidth="1"/>
    <col min="6" max="6" width="9.140625" style="1"/>
    <col min="7" max="7" width="9.42578125" style="1" customWidth="1"/>
    <col min="8" max="8" width="9.140625" style="1" customWidth="1"/>
    <col min="9" max="9" width="10.42578125" style="1" customWidth="1"/>
    <col min="10" max="12" width="9.140625" style="1"/>
    <col min="13" max="13" width="19" style="1" bestFit="1" customWidth="1"/>
    <col min="14" max="14" width="15.42578125" style="1" bestFit="1" customWidth="1"/>
    <col min="15" max="16" width="9.140625" style="1"/>
    <col min="17" max="17" width="9.140625" style="4"/>
    <col min="18" max="18" width="10.140625" bestFit="1" customWidth="1"/>
  </cols>
  <sheetData>
    <row r="1" spans="1:18" ht="14.45" customHeight="1" x14ac:dyDescent="0.25">
      <c r="A1" s="45"/>
      <c r="B1" s="52" t="s">
        <v>80</v>
      </c>
      <c r="C1" s="53"/>
      <c r="D1" s="53"/>
      <c r="E1" s="53"/>
      <c r="F1" s="53"/>
      <c r="G1" s="23">
        <f t="shared" ref="G1" ca="1" si="0">TODAY()</f>
        <v>46299</v>
      </c>
      <c r="H1" s="47" t="s">
        <v>79</v>
      </c>
      <c r="I1" s="49">
        <v>30</v>
      </c>
    </row>
    <row r="2" spans="1:18" ht="14.45" customHeight="1" x14ac:dyDescent="0.25">
      <c r="A2" s="46"/>
      <c r="B2" s="54"/>
      <c r="C2" s="55"/>
      <c r="D2" s="55"/>
      <c r="E2" s="55"/>
      <c r="F2" s="55"/>
      <c r="G2" s="27"/>
      <c r="H2" s="48"/>
      <c r="I2" s="50"/>
      <c r="Q2" s="1"/>
      <c r="R2" s="1"/>
    </row>
    <row r="3" spans="1:18" ht="14.45" customHeight="1" x14ac:dyDescent="0.25">
      <c r="A3" s="46"/>
      <c r="B3" s="68"/>
      <c r="C3" s="69"/>
      <c r="D3" s="69"/>
      <c r="E3" s="69"/>
      <c r="F3" s="69"/>
      <c r="G3" s="28"/>
      <c r="H3" s="64"/>
      <c r="I3" s="51"/>
    </row>
    <row r="4" spans="1:18" ht="14.45" customHeight="1" x14ac:dyDescent="0.25">
      <c r="A4" s="39" t="s">
        <v>11</v>
      </c>
      <c r="B4" s="40"/>
      <c r="C4" s="40"/>
      <c r="D4" s="40"/>
      <c r="E4" s="40"/>
      <c r="F4" s="40"/>
      <c r="G4" s="40"/>
      <c r="H4" s="40"/>
      <c r="I4" s="41"/>
      <c r="L4" s="65" t="s">
        <v>81</v>
      </c>
      <c r="M4" s="66"/>
      <c r="N4" s="66"/>
      <c r="O4" s="66"/>
      <c r="P4" s="66"/>
      <c r="Q4" s="66"/>
      <c r="R4" s="67"/>
    </row>
    <row r="5" spans="1:18" s="14" customFormat="1" ht="30" x14ac:dyDescent="0.25">
      <c r="A5" s="12" t="s">
        <v>1</v>
      </c>
      <c r="B5" s="13" t="s">
        <v>0</v>
      </c>
      <c r="C5" s="13" t="s">
        <v>359</v>
      </c>
      <c r="D5" s="13" t="s">
        <v>65</v>
      </c>
      <c r="E5" s="13" t="s">
        <v>2</v>
      </c>
      <c r="F5" s="13" t="s">
        <v>6</v>
      </c>
      <c r="G5" s="13" t="s">
        <v>7</v>
      </c>
      <c r="H5" s="16" t="s">
        <v>361</v>
      </c>
      <c r="I5" s="17" t="s">
        <v>360</v>
      </c>
      <c r="J5" s="11"/>
      <c r="K5" s="11"/>
      <c r="L5" s="12" t="s">
        <v>1</v>
      </c>
      <c r="M5" s="13" t="s">
        <v>76</v>
      </c>
      <c r="N5" s="13" t="s">
        <v>77</v>
      </c>
      <c r="O5" s="13" t="s">
        <v>6</v>
      </c>
      <c r="P5" s="13" t="s">
        <v>7</v>
      </c>
      <c r="Q5" s="15" t="s">
        <v>361</v>
      </c>
      <c r="R5" s="17" t="s">
        <v>365</v>
      </c>
    </row>
    <row r="6" spans="1:18" x14ac:dyDescent="0.25">
      <c r="A6" s="2">
        <f ca="1">RANK(I6,$I$6:$I$475,0)</f>
        <v>1</v>
      </c>
      <c r="B6" s="29" t="s">
        <v>457</v>
      </c>
      <c r="C6" s="18">
        <v>45914</v>
      </c>
      <c r="D6" s="1" t="s">
        <v>71</v>
      </c>
      <c r="E6" s="1" t="s">
        <v>17</v>
      </c>
      <c r="F6" s="1">
        <v>17</v>
      </c>
      <c r="G6" s="1">
        <v>9</v>
      </c>
      <c r="H6" s="1">
        <f>SUM(F6:G6)</f>
        <v>26</v>
      </c>
      <c r="I6" s="5">
        <f ca="1">H6-(ROUNDDOWN((($G$1-C6)/365),1))</f>
        <v>25</v>
      </c>
      <c r="L6" s="2">
        <f t="shared" ref="L6:L33" ca="1" si="1">RANK(R6,$R$6:$R$33,0)</f>
        <v>1</v>
      </c>
      <c r="M6" s="1" t="s">
        <v>497</v>
      </c>
      <c r="N6" s="1">
        <f>(COUNTIF($D$6:$D$475,M6))</f>
        <v>2</v>
      </c>
      <c r="O6" s="4" cm="1">
        <f t="array" ref="O6">(SUMPRODUCT(($D$6:$D$475=M6)*$F$6:$F$475))/(COUNTIF($D$6:$D$475,M6))</f>
        <v>14.5</v>
      </c>
      <c r="P6" s="4" cm="1">
        <f t="array" ref="P6">(SUMPRODUCT(($D$6:$D$475=M6)*$G$6:$G$475))/(COUNTIF($D$6:$D$475,M6))</f>
        <v>5.5</v>
      </c>
      <c r="Q6" s="4" cm="1">
        <f t="array" ref="Q6">(SUMPRODUCT(($D$6:$D$475=M6)*$H$6:$H$475))/(COUNTIF($D$6:$D$475,M6))</f>
        <v>20</v>
      </c>
      <c r="R6" s="5" cm="1">
        <f t="array" aca="1" ref="R6" ca="1">(SUMPRODUCT(($D$6:$D$475=M6)*$I$6:$I$475))/(COUNTIF($D$6:$D$475,M6))</f>
        <v>19.649999999999999</v>
      </c>
    </row>
    <row r="7" spans="1:18" x14ac:dyDescent="0.25">
      <c r="A7" s="2">
        <f ca="1">RANK(I7,$I$6:$I$475,0)</f>
        <v>2</v>
      </c>
      <c r="B7" s="29" t="s">
        <v>255</v>
      </c>
      <c r="C7" s="18">
        <v>44899</v>
      </c>
      <c r="D7" s="1" t="s">
        <v>67</v>
      </c>
      <c r="E7" s="1" t="s">
        <v>22</v>
      </c>
      <c r="F7" s="1">
        <v>18</v>
      </c>
      <c r="G7" s="1">
        <v>10</v>
      </c>
      <c r="H7" s="1">
        <f>SUM(F7:G7)</f>
        <v>28</v>
      </c>
      <c r="I7" s="5">
        <f ca="1">H7-(ROUNDDOWN((($G$1-C7)/365),1))</f>
        <v>24.2</v>
      </c>
      <c r="L7" s="2">
        <f t="shared" ca="1" si="1"/>
        <v>2</v>
      </c>
      <c r="M7" s="1" t="s">
        <v>131</v>
      </c>
      <c r="N7" s="1">
        <f>(COUNTIF($D$6:$D$475,M7))</f>
        <v>2</v>
      </c>
      <c r="O7" s="4" cm="1">
        <f t="array" ref="O7">(SUMPRODUCT(($D$6:$D$475=M7)*$F$6:$F$475))/(COUNTIF($D$6:$D$475,M7))</f>
        <v>16</v>
      </c>
      <c r="P7" s="4" cm="1">
        <f t="array" ref="P7">(SUMPRODUCT(($D$6:$D$475=M7)*$G$6:$G$475))/(COUNTIF($D$6:$D$475,M7))</f>
        <v>7.5</v>
      </c>
      <c r="Q7" s="4" cm="1">
        <f t="array" ref="Q7">(SUMPRODUCT(($D$6:$D$475=M7)*$H$6:$H$475))/(COUNTIF($D$6:$D$475,M7))</f>
        <v>23.5</v>
      </c>
      <c r="R7" s="5" cm="1">
        <f t="array" aca="1" ref="R7" ca="1">(SUMPRODUCT(($D$6:$D$475=M7)*$I$6:$I$475))/(COUNTIF($D$6:$D$475,M7))</f>
        <v>18.7</v>
      </c>
    </row>
    <row r="8" spans="1:18" x14ac:dyDescent="0.25">
      <c r="A8" s="2">
        <f ca="1">RANK(I8,$I$6:$I$475,0)</f>
        <v>3</v>
      </c>
      <c r="B8" s="29" t="s">
        <v>297</v>
      </c>
      <c r="C8" s="18">
        <v>45144</v>
      </c>
      <c r="D8" s="1" t="s">
        <v>71</v>
      </c>
      <c r="E8" s="1" t="s">
        <v>22</v>
      </c>
      <c r="F8" s="1">
        <v>18</v>
      </c>
      <c r="G8" s="1">
        <v>9</v>
      </c>
      <c r="H8" s="1">
        <f>SUM(F8:G8)</f>
        <v>27</v>
      </c>
      <c r="I8" s="5">
        <f ca="1">H8-(ROUNDDOWN((($G$1-C8)/365),1))</f>
        <v>23.9</v>
      </c>
      <c r="L8" s="2">
        <f t="shared" ca="1" si="1"/>
        <v>3</v>
      </c>
      <c r="M8" s="1" t="s">
        <v>483</v>
      </c>
      <c r="N8" s="1">
        <f>(COUNTIF($D$6:$D$475,M8))</f>
        <v>10</v>
      </c>
      <c r="O8" s="4" cm="1">
        <f t="array" ref="O8">(SUMPRODUCT(($D$6:$D$475=M8)*$F$6:$F$475))/(COUNTIF($D$6:$D$475,M8))</f>
        <v>13.2</v>
      </c>
      <c r="P8" s="4" cm="1">
        <f t="array" ref="P8">(SUMPRODUCT(($D$6:$D$475=M8)*$G$6:$G$475))/(COUNTIF($D$6:$D$475,M8))</f>
        <v>5.6</v>
      </c>
      <c r="Q8" s="4" cm="1">
        <f t="array" ref="Q8">(SUMPRODUCT(($D$6:$D$475=M8)*$H$6:$H$475))/(COUNTIF($D$6:$D$475,M8))</f>
        <v>18.8</v>
      </c>
      <c r="R8" s="5" cm="1">
        <f t="array" aca="1" ref="R8" ca="1">(SUMPRODUCT(($D$6:$D$475=M8)*$I$6:$I$475))/(COUNTIF($D$6:$D$475,M8))</f>
        <v>18.520000000000003</v>
      </c>
    </row>
    <row r="9" spans="1:18" x14ac:dyDescent="0.25">
      <c r="A9" s="2">
        <f ca="1">RANK(I9,$I$6:$I$475,0)</f>
        <v>4</v>
      </c>
      <c r="B9" s="29" t="s">
        <v>441</v>
      </c>
      <c r="C9" s="18">
        <v>45836</v>
      </c>
      <c r="D9" s="1" t="s">
        <v>71</v>
      </c>
      <c r="E9" s="1" t="s">
        <v>22</v>
      </c>
      <c r="F9" s="1">
        <v>16</v>
      </c>
      <c r="G9" s="1">
        <v>9</v>
      </c>
      <c r="H9" s="1">
        <f>SUM(F9:G9)</f>
        <v>25</v>
      </c>
      <c r="I9" s="5">
        <f ca="1">H9-(ROUNDDOWN((($G$1-C9)/365),1))</f>
        <v>23.8</v>
      </c>
      <c r="L9" s="2">
        <f t="shared" ca="1" si="1"/>
        <v>4</v>
      </c>
      <c r="M9" s="1" t="s">
        <v>378</v>
      </c>
      <c r="N9" s="1">
        <f>(COUNTIF($D$6:$D$475,M9))</f>
        <v>23</v>
      </c>
      <c r="O9" s="4" cm="1">
        <f t="array" ref="O9">(SUMPRODUCT(($D$6:$D$475=M9)*$F$6:$F$475))/(COUNTIF($D$6:$D$475,M9))</f>
        <v>13.304347826086957</v>
      </c>
      <c r="P9" s="4" cm="1">
        <f t="array" ref="P9">(SUMPRODUCT(($D$6:$D$475=M9)*$G$6:$G$475))/(COUNTIF($D$6:$D$475,M9))</f>
        <v>5.6956521739130439</v>
      </c>
      <c r="Q9" s="4" cm="1">
        <f t="array" ref="Q9">(SUMPRODUCT(($D$6:$D$475=M9)*$H$6:$H$475))/(COUNTIF($D$6:$D$475,M9))</f>
        <v>19</v>
      </c>
      <c r="R9" s="5" cm="1">
        <f t="array" aca="1" ref="R9" ca="1">(SUMPRODUCT(($D$6:$D$475=M9)*$I$6:$I$475))/(COUNTIF($D$6:$D$475,M9))</f>
        <v>18.195652173913047</v>
      </c>
    </row>
    <row r="10" spans="1:18" x14ac:dyDescent="0.25">
      <c r="A10" s="2">
        <f ca="1">RANK(I10,$I$6:$I$475,0)</f>
        <v>5</v>
      </c>
      <c r="B10" s="29" t="s">
        <v>414</v>
      </c>
      <c r="C10" s="18">
        <v>45725</v>
      </c>
      <c r="D10" s="1" t="s">
        <v>72</v>
      </c>
      <c r="E10" s="1" t="s">
        <v>17</v>
      </c>
      <c r="F10" s="1">
        <v>15</v>
      </c>
      <c r="G10" s="1">
        <v>10</v>
      </c>
      <c r="H10" s="1">
        <f>SUM(F10:G10)</f>
        <v>25</v>
      </c>
      <c r="I10" s="5">
        <f ca="1">H10-(ROUNDDOWN((($G$1-C10)/365),1))</f>
        <v>23.5</v>
      </c>
      <c r="L10" s="2">
        <f t="shared" ca="1" si="1"/>
        <v>5</v>
      </c>
      <c r="M10" s="1" t="s">
        <v>377</v>
      </c>
      <c r="N10" s="1">
        <f>(COUNTIF($D$6:$D$475,M10))</f>
        <v>9</v>
      </c>
      <c r="O10" s="4" cm="1">
        <f t="array" ref="O10">(SUMPRODUCT(($D$6:$D$475=M10)*$F$6:$F$475))/(COUNTIF($D$6:$D$475,M10))</f>
        <v>12.888888888888889</v>
      </c>
      <c r="P10" s="4" cm="1">
        <f t="array" ref="P10">(SUMPRODUCT(($D$6:$D$475=M10)*$G$6:$G$475))/(COUNTIF($D$6:$D$475,M10))</f>
        <v>5.8888888888888893</v>
      </c>
      <c r="Q10" s="4" cm="1">
        <f t="array" ref="Q10">(SUMPRODUCT(($D$6:$D$475=M10)*$H$6:$H$475))/(COUNTIF($D$6:$D$475,M10))</f>
        <v>18.777777777777779</v>
      </c>
      <c r="R10" s="5" cm="1">
        <f t="array" aca="1" ref="R10" ca="1">(SUMPRODUCT(($D$6:$D$475=M10)*$I$6:$I$475))/(COUNTIF($D$6:$D$475,M10))</f>
        <v>17.722222222222218</v>
      </c>
    </row>
    <row r="11" spans="1:18" x14ac:dyDescent="0.25">
      <c r="A11" s="2">
        <f ca="1">RANK(I11,$I$6:$I$475,0)</f>
        <v>6</v>
      </c>
      <c r="B11" s="29" t="s">
        <v>372</v>
      </c>
      <c r="C11" s="18">
        <v>45550</v>
      </c>
      <c r="D11" s="1" t="s">
        <v>266</v>
      </c>
      <c r="E11" s="1" t="s">
        <v>17</v>
      </c>
      <c r="F11" s="1">
        <v>16</v>
      </c>
      <c r="G11" s="1">
        <v>8</v>
      </c>
      <c r="H11" s="1">
        <f>SUM(F11:G11)</f>
        <v>24</v>
      </c>
      <c r="I11" s="5">
        <f ca="1">H11-(ROUNDDOWN((($G$1-C11)/365),1))</f>
        <v>22</v>
      </c>
      <c r="L11" s="2">
        <f t="shared" ca="1" si="1"/>
        <v>6</v>
      </c>
      <c r="M11" s="1" t="s">
        <v>478</v>
      </c>
      <c r="N11" s="1">
        <f>(COUNTIF($D$6:$D$475,M11))</f>
        <v>1</v>
      </c>
      <c r="O11" s="4" cm="1">
        <f t="array" ref="O11">(SUMPRODUCT(($D$6:$D$475=M11)*$F$6:$F$475))/(COUNTIF($D$6:$D$475,M11))</f>
        <v>13</v>
      </c>
      <c r="P11" s="4" cm="1">
        <f t="array" ref="P11">(SUMPRODUCT(($D$6:$D$475=M11)*$G$6:$G$475))/(COUNTIF($D$6:$D$475,M11))</f>
        <v>5</v>
      </c>
      <c r="Q11" s="4" cm="1">
        <f t="array" ref="Q11">(SUMPRODUCT(($D$6:$D$475=M11)*$H$6:$H$475))/(COUNTIF($D$6:$D$475,M11))</f>
        <v>18</v>
      </c>
      <c r="R11" s="5" cm="1">
        <f t="array" aca="1" ref="R11" ca="1">(SUMPRODUCT(($D$6:$D$475=M11)*$I$6:$I$475))/(COUNTIF($D$6:$D$475,M11))</f>
        <v>17.2</v>
      </c>
    </row>
    <row r="12" spans="1:18" x14ac:dyDescent="0.25">
      <c r="A12" s="2">
        <f ca="1">RANK(I12,$I$6:$I$475,0)</f>
        <v>7</v>
      </c>
      <c r="B12" s="1" t="s">
        <v>519</v>
      </c>
      <c r="C12" s="18">
        <v>46215</v>
      </c>
      <c r="D12" s="1" t="s">
        <v>378</v>
      </c>
      <c r="E12" s="1" t="s">
        <v>22</v>
      </c>
      <c r="F12" s="1">
        <v>14</v>
      </c>
      <c r="G12" s="1">
        <v>8</v>
      </c>
      <c r="H12" s="1">
        <f>SUM(F12:G12)</f>
        <v>22</v>
      </c>
      <c r="I12" s="5">
        <f ca="1">H12-(ROUNDDOWN((($G$1-C12)/365),1))</f>
        <v>21.8</v>
      </c>
      <c r="L12" s="2">
        <f t="shared" ca="1" si="1"/>
        <v>7</v>
      </c>
      <c r="M12" s="1" t="s">
        <v>67</v>
      </c>
      <c r="N12" s="1">
        <f>(COUNTIF($D$6:$D$475,M12))</f>
        <v>16</v>
      </c>
      <c r="O12" s="4" cm="1">
        <f t="array" ref="O12">(SUMPRODUCT(($D$6:$D$475=M12)*$F$6:$F$475))/(COUNTIF($D$6:$D$475,M12))</f>
        <v>13.3125</v>
      </c>
      <c r="P12" s="4" cm="1">
        <f t="array" ref="P12">(SUMPRODUCT(($D$6:$D$475=M12)*$G$6:$G$475))/(COUNTIF($D$6:$D$475,M12))</f>
        <v>6.25</v>
      </c>
      <c r="Q12" s="4" cm="1">
        <f t="array" ref="Q12">(SUMPRODUCT(($D$6:$D$475=M12)*$H$6:$H$475))/(COUNTIF($D$6:$D$475,M12))</f>
        <v>19.5625</v>
      </c>
      <c r="R12" s="5" cm="1">
        <f t="array" aca="1" ref="R12" ca="1">(SUMPRODUCT(($D$6:$D$475=M12)*$I$6:$I$475))/(COUNTIF($D$6:$D$475,M12))</f>
        <v>16.987500000000004</v>
      </c>
    </row>
    <row r="13" spans="1:18" x14ac:dyDescent="0.25">
      <c r="A13" s="2">
        <f ca="1">RANK(I13,$I$6:$I$475,0)</f>
        <v>7</v>
      </c>
      <c r="B13" s="1" t="s">
        <v>445</v>
      </c>
      <c r="C13" s="18">
        <v>45844</v>
      </c>
      <c r="D13" s="1" t="s">
        <v>66</v>
      </c>
      <c r="E13" s="1" t="s">
        <v>20</v>
      </c>
      <c r="F13" s="1">
        <v>17</v>
      </c>
      <c r="G13" s="1">
        <v>6</v>
      </c>
      <c r="H13" s="1">
        <f>SUM(F13:G13)</f>
        <v>23</v>
      </c>
      <c r="I13" s="5">
        <f ca="1">H13-(ROUNDDOWN((($G$1-C13)/365),1))</f>
        <v>21.8</v>
      </c>
      <c r="L13" s="2">
        <f t="shared" ca="1" si="1"/>
        <v>8</v>
      </c>
      <c r="M13" s="1" t="s">
        <v>184</v>
      </c>
      <c r="N13" s="1">
        <f>(COUNTIF($D$6:$D$475,M13))</f>
        <v>8</v>
      </c>
      <c r="O13" s="4" cm="1">
        <f t="array" ref="O13">(SUMPRODUCT(($D$6:$D$475=M13)*$F$6:$F$475))/(COUNTIF($D$6:$D$475,M13))</f>
        <v>14.375</v>
      </c>
      <c r="P13" s="4" cm="1">
        <f t="array" ref="P13">(SUMPRODUCT(($D$6:$D$475=M13)*$G$6:$G$475))/(COUNTIF($D$6:$D$475,M13))</f>
        <v>6.125</v>
      </c>
      <c r="Q13" s="4" cm="1">
        <f t="array" ref="Q13">(SUMPRODUCT(($D$6:$D$475=M13)*$H$6:$H$475))/(COUNTIF($D$6:$D$475,M13))</f>
        <v>20.5</v>
      </c>
      <c r="R13" s="5" cm="1">
        <f t="array" aca="1" ref="R13" ca="1">(SUMPRODUCT(($D$6:$D$475=M13)*$I$6:$I$475))/(COUNTIF($D$6:$D$475,M13))</f>
        <v>16.637500000000003</v>
      </c>
    </row>
    <row r="14" spans="1:18" x14ac:dyDescent="0.25">
      <c r="A14" s="2">
        <f ca="1">RANK(I14,$I$6:$I$475,0)</f>
        <v>9</v>
      </c>
      <c r="B14" s="1" t="s">
        <v>101</v>
      </c>
      <c r="C14" s="18">
        <v>45011</v>
      </c>
      <c r="D14" s="1" t="s">
        <v>69</v>
      </c>
      <c r="E14" s="1" t="s">
        <v>17</v>
      </c>
      <c r="F14" s="1">
        <v>17</v>
      </c>
      <c r="G14" s="1">
        <v>8</v>
      </c>
      <c r="H14" s="1">
        <f>SUM(F14:G14)</f>
        <v>25</v>
      </c>
      <c r="I14" s="5">
        <f ca="1">H14-(ROUNDDOWN((($G$1-C14)/365),1))</f>
        <v>21.5</v>
      </c>
      <c r="L14" s="2">
        <f t="shared" ca="1" si="1"/>
        <v>9</v>
      </c>
      <c r="M14" s="1" t="s">
        <v>236</v>
      </c>
      <c r="N14" s="1">
        <f>(COUNTIF($D$6:$D$475,M14))</f>
        <v>15</v>
      </c>
      <c r="O14" s="4" cm="1">
        <f t="array" ref="O14">(SUMPRODUCT(($D$6:$D$475=M14)*$F$6:$F$475))/(COUNTIF($D$6:$D$475,M14))</f>
        <v>13.4</v>
      </c>
      <c r="P14" s="4" cm="1">
        <f t="array" ref="P14">(SUMPRODUCT(($D$6:$D$475=M14)*$G$6:$G$475))/(COUNTIF($D$6:$D$475,M14))</f>
        <v>6</v>
      </c>
      <c r="Q14" s="4" cm="1">
        <f t="array" ref="Q14">(SUMPRODUCT(($D$6:$D$475=M14)*$H$6:$H$475))/(COUNTIF($D$6:$D$475,M14))</f>
        <v>19.399999999999999</v>
      </c>
      <c r="R14" s="5" cm="1">
        <f t="array" aca="1" ref="R14" ca="1">(SUMPRODUCT(($D$6:$D$475=M14)*$I$6:$I$475))/(COUNTIF($D$6:$D$475,M14))</f>
        <v>16.626666666666665</v>
      </c>
    </row>
    <row r="15" spans="1:18" x14ac:dyDescent="0.25">
      <c r="A15" s="2">
        <f ca="1">RANK(I15,$I$6:$I$475,0)</f>
        <v>10</v>
      </c>
      <c r="B15" s="29" t="s">
        <v>330</v>
      </c>
      <c r="C15" s="18">
        <v>45326</v>
      </c>
      <c r="D15" s="1" t="s">
        <v>71</v>
      </c>
      <c r="E15" s="1" t="s">
        <v>40</v>
      </c>
      <c r="F15" s="1">
        <v>15</v>
      </c>
      <c r="G15" s="1">
        <v>9</v>
      </c>
      <c r="H15" s="1">
        <f>SUM(F15:G15)</f>
        <v>24</v>
      </c>
      <c r="I15" s="5">
        <f ca="1">H15-(ROUNDDOWN((($G$1-C15)/365),1))</f>
        <v>21.4</v>
      </c>
      <c r="L15" s="2">
        <f t="shared" ca="1" si="1"/>
        <v>10</v>
      </c>
      <c r="M15" s="1" t="s">
        <v>368</v>
      </c>
      <c r="N15" s="1">
        <f>(COUNTIF($D$6:$D$475,M15))</f>
        <v>5</v>
      </c>
      <c r="O15" s="4" cm="1">
        <f t="array" ref="O15">(SUMPRODUCT(($D$6:$D$475=M15)*$F$6:$F$475))/(COUNTIF($D$6:$D$475,M15))</f>
        <v>12.4</v>
      </c>
      <c r="P15" s="4" cm="1">
        <f t="array" ref="P15">(SUMPRODUCT(($D$6:$D$475=M15)*$G$6:$G$475))/(COUNTIF($D$6:$D$475,M15))</f>
        <v>5.6</v>
      </c>
      <c r="Q15" s="4" cm="1">
        <f t="array" ref="Q15">(SUMPRODUCT(($D$6:$D$475=M15)*$H$6:$H$475))/(COUNTIF($D$6:$D$475,M15))</f>
        <v>18</v>
      </c>
      <c r="R15" s="5" cm="1">
        <f t="array" aca="1" ref="R15" ca="1">(SUMPRODUCT(($D$6:$D$475=M15)*$I$6:$I$475))/(COUNTIF($D$6:$D$475,M15))</f>
        <v>16.479999999999997</v>
      </c>
    </row>
    <row r="16" spans="1:18" x14ac:dyDescent="0.25">
      <c r="A16" s="2">
        <f ca="1">RANK(I16,$I$6:$I$475,0)</f>
        <v>11</v>
      </c>
      <c r="B16" s="29" t="s">
        <v>403</v>
      </c>
      <c r="C16" s="18">
        <v>45669</v>
      </c>
      <c r="D16" s="1" t="s">
        <v>71</v>
      </c>
      <c r="E16" s="1" t="s">
        <v>17</v>
      </c>
      <c r="F16" s="1">
        <v>14</v>
      </c>
      <c r="G16" s="1">
        <v>9</v>
      </c>
      <c r="H16" s="1">
        <f>SUM(F16:G16)</f>
        <v>23</v>
      </c>
      <c r="I16" s="5">
        <f ca="1">H16-(ROUNDDOWN((($G$1-C16)/365),1))</f>
        <v>21.3</v>
      </c>
      <c r="L16" s="2">
        <f t="shared" ca="1" si="1"/>
        <v>11</v>
      </c>
      <c r="M16" s="1" t="s">
        <v>66</v>
      </c>
      <c r="N16" s="1">
        <f>(COUNTIF($D$6:$D$475,M16))</f>
        <v>19</v>
      </c>
      <c r="O16" s="4" cm="1">
        <f t="array" ref="O16">(SUMPRODUCT(($D$6:$D$475=M16)*$F$6:$F$475))/(COUNTIF($D$6:$D$475,M16))</f>
        <v>13.157894736842104</v>
      </c>
      <c r="P16" s="4" cm="1">
        <f t="array" ref="P16">(SUMPRODUCT(($D$6:$D$475=M16)*$G$6:$G$475))/(COUNTIF($D$6:$D$475,M16))</f>
        <v>5.6315789473684212</v>
      </c>
      <c r="Q16" s="4" cm="1">
        <f t="array" ref="Q16">(SUMPRODUCT(($D$6:$D$475=M16)*$H$6:$H$475))/(COUNTIF($D$6:$D$475,M16))</f>
        <v>18.789473684210527</v>
      </c>
      <c r="R16" s="5" cm="1">
        <f t="array" aca="1" ref="R16" ca="1">(SUMPRODUCT(($D$6:$D$475=M16)*$I$6:$I$475))/(COUNTIF($D$6:$D$475,M16))</f>
        <v>16.189473684210526</v>
      </c>
    </row>
    <row r="17" spans="1:18" x14ac:dyDescent="0.25">
      <c r="A17" s="2">
        <f ca="1">RANK(I17,$I$6:$I$475,0)</f>
        <v>11</v>
      </c>
      <c r="B17" s="29" t="s">
        <v>270</v>
      </c>
      <c r="C17" s="18">
        <v>44938</v>
      </c>
      <c r="D17" s="1" t="s">
        <v>68</v>
      </c>
      <c r="E17" s="1" t="s">
        <v>40</v>
      </c>
      <c r="F17" s="1">
        <v>15</v>
      </c>
      <c r="G17" s="1">
        <v>10</v>
      </c>
      <c r="H17" s="1">
        <f>SUM(F17:G17)</f>
        <v>25</v>
      </c>
      <c r="I17" s="5">
        <f ca="1">H17-(ROUNDDOWN((($G$1-C17)/365),1))</f>
        <v>21.3</v>
      </c>
      <c r="L17" s="2">
        <f t="shared" ca="1" si="1"/>
        <v>12</v>
      </c>
      <c r="M17" s="1" t="s">
        <v>379</v>
      </c>
      <c r="N17" s="1">
        <f>(COUNTIF($D$6:$D$475,M17))</f>
        <v>2</v>
      </c>
      <c r="O17" s="4" cm="1">
        <f t="array" ref="O17">(SUMPRODUCT(($D$6:$D$475=M17)*$F$6:$F$475))/(COUNTIF($D$6:$D$475,M17))</f>
        <v>13.5</v>
      </c>
      <c r="P17" s="4" cm="1">
        <f t="array" ref="P17">(SUMPRODUCT(($D$6:$D$475=M17)*$G$6:$G$475))/(COUNTIF($D$6:$D$475,M17))</f>
        <v>5</v>
      </c>
      <c r="Q17" s="4" cm="1">
        <f t="array" ref="Q17">(SUMPRODUCT(($D$6:$D$475=M17)*$H$6:$H$475))/(COUNTIF($D$6:$D$475,M17))</f>
        <v>18.5</v>
      </c>
      <c r="R17" s="5" cm="1">
        <f t="array" aca="1" ref="R17" ca="1">(SUMPRODUCT(($D$6:$D$475=M17)*$I$6:$I$475))/(COUNTIF($D$6:$D$475,M17))</f>
        <v>16.100000000000001</v>
      </c>
    </row>
    <row r="18" spans="1:18" x14ac:dyDescent="0.25">
      <c r="A18" s="2">
        <f ca="1">RANK(I18,$I$6:$I$475,0)</f>
        <v>11</v>
      </c>
      <c r="B18" s="29" t="s">
        <v>477</v>
      </c>
      <c r="C18" s="18">
        <v>46011</v>
      </c>
      <c r="D18" s="1" t="s">
        <v>378</v>
      </c>
      <c r="E18" s="1" t="s">
        <v>20</v>
      </c>
      <c r="F18" s="1">
        <v>15</v>
      </c>
      <c r="G18" s="1">
        <v>7</v>
      </c>
      <c r="H18" s="1">
        <f>SUM(F18:G18)</f>
        <v>22</v>
      </c>
      <c r="I18" s="5">
        <f ca="1">H18-(ROUNDDOWN((($G$1-C18)/365),1))</f>
        <v>21.3</v>
      </c>
      <c r="L18" s="2">
        <f t="shared" ca="1" si="1"/>
        <v>13</v>
      </c>
      <c r="M18" s="1" t="s">
        <v>266</v>
      </c>
      <c r="N18" s="1">
        <f>(COUNTIF($D$6:$D$475,M18))</f>
        <v>20</v>
      </c>
      <c r="O18" s="4" cm="1">
        <f t="array" ref="O18">(SUMPRODUCT(($D$6:$D$475=M18)*$F$6:$F$475))/(COUNTIF($D$6:$D$475,M18))</f>
        <v>12.8</v>
      </c>
      <c r="P18" s="4" cm="1">
        <f t="array" ref="P18">(SUMPRODUCT(($D$6:$D$475=M18)*$G$6:$G$475))/(COUNTIF($D$6:$D$475,M18))</f>
        <v>5.4</v>
      </c>
      <c r="Q18" s="4" cm="1">
        <f t="array" ref="Q18">(SUMPRODUCT(($D$6:$D$475=M18)*$H$6:$H$475))/(COUNTIF($D$6:$D$475,M18))</f>
        <v>18.2</v>
      </c>
      <c r="R18" s="5" cm="1">
        <f t="array" aca="1" ref="R18" ca="1">(SUMPRODUCT(($D$6:$D$475=M18)*$I$6:$I$475))/(COUNTIF($D$6:$D$475,M18))</f>
        <v>16.059999999999995</v>
      </c>
    </row>
    <row r="19" spans="1:18" x14ac:dyDescent="0.25">
      <c r="A19" s="2">
        <f ca="1">RANK(I19,$I$6:$I$475,0)</f>
        <v>14</v>
      </c>
      <c r="B19" s="1" t="s">
        <v>392</v>
      </c>
      <c r="C19" s="18">
        <v>45641</v>
      </c>
      <c r="D19" s="1" t="s">
        <v>368</v>
      </c>
      <c r="E19" s="1" t="s">
        <v>22</v>
      </c>
      <c r="F19" s="1">
        <v>15</v>
      </c>
      <c r="G19" s="1">
        <v>8</v>
      </c>
      <c r="H19" s="1">
        <f>SUM(F19:G19)</f>
        <v>23</v>
      </c>
      <c r="I19" s="5">
        <f ca="1">H19-(ROUNDDOWN((($G$1-C19)/365),1))</f>
        <v>21.2</v>
      </c>
      <c r="L19" s="2">
        <f t="shared" ca="1" si="1"/>
        <v>14</v>
      </c>
      <c r="M19" s="1" t="s">
        <v>307</v>
      </c>
      <c r="N19" s="1">
        <f>(COUNTIF($D$6:$D$475,M19))</f>
        <v>9</v>
      </c>
      <c r="O19" s="4" cm="1">
        <f t="array" ref="O19">(SUMPRODUCT(($D$6:$D$475=M19)*$F$6:$F$475))/(COUNTIF($D$6:$D$475,M19))</f>
        <v>12.111111111111111</v>
      </c>
      <c r="P19" s="4" cm="1">
        <f t="array" ref="P19">(SUMPRODUCT(($D$6:$D$475=M19)*$G$6:$G$475))/(COUNTIF($D$6:$D$475,M19))</f>
        <v>5.8888888888888893</v>
      </c>
      <c r="Q19" s="4" cm="1">
        <f t="array" ref="Q19">(SUMPRODUCT(($D$6:$D$475=M19)*$H$6:$H$475))/(COUNTIF($D$6:$D$475,M19))</f>
        <v>18</v>
      </c>
      <c r="R19" s="5" cm="1">
        <f t="array" aca="1" ref="R19" ca="1">(SUMPRODUCT(($D$6:$D$475=M19)*$I$6:$I$475))/(COUNTIF($D$6:$D$475,M19))</f>
        <v>15.700000000000001</v>
      </c>
    </row>
    <row r="20" spans="1:18" x14ac:dyDescent="0.25">
      <c r="A20" s="2">
        <f ca="1">RANK(I20,$I$6:$I$475,0)</f>
        <v>15</v>
      </c>
      <c r="B20" s="29" t="s">
        <v>464</v>
      </c>
      <c r="C20" s="18">
        <v>45956</v>
      </c>
      <c r="D20" s="1" t="s">
        <v>266</v>
      </c>
      <c r="E20" s="1" t="s">
        <v>17</v>
      </c>
      <c r="F20" s="1">
        <v>16</v>
      </c>
      <c r="G20" s="1">
        <v>6</v>
      </c>
      <c r="H20" s="1">
        <f>SUM(F20:G20)</f>
        <v>22</v>
      </c>
      <c r="I20" s="5">
        <f ca="1">H20-(ROUNDDOWN((($G$1-C20)/365),1))</f>
        <v>21.1</v>
      </c>
      <c r="L20" s="2">
        <f t="shared" ca="1" si="1"/>
        <v>15</v>
      </c>
      <c r="M20" s="1" t="s">
        <v>71</v>
      </c>
      <c r="N20" s="1">
        <f>(COUNTIF($D$6:$D$475,M20))</f>
        <v>70</v>
      </c>
      <c r="O20" s="4" cm="1">
        <f t="array" ref="O20">(SUMPRODUCT(($D$6:$D$475=M20)*$F$6:$F$475))/(COUNTIF($D$6:$D$475,M20))</f>
        <v>13.057142857142857</v>
      </c>
      <c r="P20" s="4" cm="1">
        <f t="array" ref="P20">(SUMPRODUCT(($D$6:$D$475=M20)*$G$6:$G$475))/(COUNTIF($D$6:$D$475,M20))</f>
        <v>5.9428571428571431</v>
      </c>
      <c r="Q20" s="4" cm="1">
        <f t="array" ref="Q20">(SUMPRODUCT(($D$6:$D$475=M20)*$H$6:$H$475))/(COUNTIF($D$6:$D$475,M20))</f>
        <v>19</v>
      </c>
      <c r="R20" s="5" cm="1">
        <f t="array" aca="1" ref="R20" ca="1">(SUMPRODUCT(($D$6:$D$475=M20)*$I$6:$I$475))/(COUNTIF($D$6:$D$475,M20))</f>
        <v>15.538571428571432</v>
      </c>
    </row>
    <row r="21" spans="1:18" x14ac:dyDescent="0.25">
      <c r="A21" s="2">
        <f ca="1">RANK(I21,$I$6:$I$475,0)</f>
        <v>16</v>
      </c>
      <c r="B21" s="1" t="s">
        <v>374</v>
      </c>
      <c r="C21" s="18">
        <v>45557</v>
      </c>
      <c r="D21" s="1" t="s">
        <v>266</v>
      </c>
      <c r="E21" s="1" t="s">
        <v>40</v>
      </c>
      <c r="F21" s="1">
        <v>15</v>
      </c>
      <c r="G21" s="1">
        <v>8</v>
      </c>
      <c r="H21" s="1">
        <f>SUM(F21:G21)</f>
        <v>23</v>
      </c>
      <c r="I21" s="5">
        <f ca="1">H21-(ROUNDDOWN((($G$1-C21)/365),1))</f>
        <v>21</v>
      </c>
      <c r="L21" s="2">
        <f t="shared" ca="1" si="1"/>
        <v>16</v>
      </c>
      <c r="M21" s="1" t="s">
        <v>154</v>
      </c>
      <c r="N21" s="1">
        <f>(COUNTIF($D$6:$D$475,M21))</f>
        <v>16</v>
      </c>
      <c r="O21" s="4" cm="1">
        <f t="array" ref="O21">(SUMPRODUCT(($D$6:$D$475=M21)*$F$6:$F$475))/(COUNTIF($D$6:$D$475,M21))</f>
        <v>12.75</v>
      </c>
      <c r="P21" s="4" cm="1">
        <f t="array" ref="P21">(SUMPRODUCT(($D$6:$D$475=M21)*$G$6:$G$475))/(COUNTIF($D$6:$D$475,M21))</f>
        <v>6</v>
      </c>
      <c r="Q21" s="4" cm="1">
        <f t="array" ref="Q21">(SUMPRODUCT(($D$6:$D$475=M21)*$H$6:$H$475))/(COUNTIF($D$6:$D$475,M21))</f>
        <v>18.75</v>
      </c>
      <c r="R21" s="5" cm="1">
        <f t="array" aca="1" ref="R21" ca="1">(SUMPRODUCT(($D$6:$D$475=M21)*$I$6:$I$475))/(COUNTIF($D$6:$D$475,M21))</f>
        <v>15.256249999999998</v>
      </c>
    </row>
    <row r="22" spans="1:18" x14ac:dyDescent="0.25">
      <c r="A22" s="2">
        <f ca="1">RANK(I22,$I$6:$I$475,0)</f>
        <v>16</v>
      </c>
      <c r="B22" s="1" t="s">
        <v>375</v>
      </c>
      <c r="C22" s="18">
        <v>45557</v>
      </c>
      <c r="D22" s="1" t="s">
        <v>71</v>
      </c>
      <c r="E22" s="1" t="s">
        <v>22</v>
      </c>
      <c r="F22" s="1">
        <v>16</v>
      </c>
      <c r="G22" s="1">
        <v>7</v>
      </c>
      <c r="H22" s="1">
        <f>SUM(F22:G22)</f>
        <v>23</v>
      </c>
      <c r="I22" s="5">
        <f ca="1">H22-(ROUNDDOWN((($G$1-C22)/365),1))</f>
        <v>21</v>
      </c>
      <c r="L22" s="2">
        <f t="shared" ca="1" si="1"/>
        <v>17</v>
      </c>
      <c r="M22" s="1" t="s">
        <v>74</v>
      </c>
      <c r="N22" s="1">
        <f>(COUNTIF($D$6:$D$475,M22))</f>
        <v>32</v>
      </c>
      <c r="O22" s="4" cm="1">
        <f t="array" ref="O22">(SUMPRODUCT(($D$6:$D$475=M22)*$F$6:$F$475))/(COUNTIF($D$6:$D$475,M22))</f>
        <v>12.90625</v>
      </c>
      <c r="P22" s="4" cm="1">
        <f t="array" ref="P22">(SUMPRODUCT(($D$6:$D$475=M22)*$G$6:$G$475))/(COUNTIF($D$6:$D$475,M22))</f>
        <v>5.5625</v>
      </c>
      <c r="Q22" s="4" cm="1">
        <f t="array" ref="Q22">(SUMPRODUCT(($D$6:$D$475=M22)*$H$6:$H$475))/(COUNTIF($D$6:$D$475,M22))</f>
        <v>18.46875</v>
      </c>
      <c r="R22" s="5" cm="1">
        <f t="array" aca="1" ref="R22" ca="1">(SUMPRODUCT(($D$6:$D$475=M22)*$I$6:$I$475))/(COUNTIF($D$6:$D$475,M22))</f>
        <v>15.196875</v>
      </c>
    </row>
    <row r="23" spans="1:18" x14ac:dyDescent="0.25">
      <c r="A23" s="2">
        <f ca="1">RANK(I23,$I$6:$I$475,0)</f>
        <v>16</v>
      </c>
      <c r="B23" s="29" t="s">
        <v>534</v>
      </c>
      <c r="C23" s="18">
        <v>46292</v>
      </c>
      <c r="D23" s="1" t="s">
        <v>378</v>
      </c>
      <c r="E23" s="1" t="s">
        <v>22</v>
      </c>
      <c r="F23" s="1">
        <v>15</v>
      </c>
      <c r="G23" s="1">
        <v>6</v>
      </c>
      <c r="H23" s="1">
        <f>SUM(F23:G23)</f>
        <v>21</v>
      </c>
      <c r="I23" s="5">
        <f ca="1">H23-(ROUNDDOWN((($G$1-C23)/365),1))</f>
        <v>21</v>
      </c>
      <c r="L23" s="2">
        <f t="shared" ca="1" si="1"/>
        <v>18</v>
      </c>
      <c r="M23" s="1" t="s">
        <v>68</v>
      </c>
      <c r="N23" s="1">
        <f>(COUNTIF($D$6:$D$475,M23))</f>
        <v>47</v>
      </c>
      <c r="O23" s="4" cm="1">
        <f t="array" ref="O23">(SUMPRODUCT(($D$6:$D$475=M23)*$F$6:$F$475))/(COUNTIF($D$6:$D$475,M23))</f>
        <v>12.382978723404255</v>
      </c>
      <c r="P23" s="4" cm="1">
        <f t="array" ref="P23">(SUMPRODUCT(($D$6:$D$475=M23)*$G$6:$G$475))/(COUNTIF($D$6:$D$475,M23))</f>
        <v>6.3617021276595747</v>
      </c>
      <c r="Q23" s="4" cm="1">
        <f t="array" ref="Q23">(SUMPRODUCT(($D$6:$D$475=M23)*$H$6:$H$475))/(COUNTIF($D$6:$D$475,M23))</f>
        <v>18.74468085106383</v>
      </c>
      <c r="R23" s="5" cm="1">
        <f t="array" aca="1" ref="R23" ca="1">(SUMPRODUCT(($D$6:$D$475=M23)*$I$6:$I$475))/(COUNTIF($D$6:$D$475,M23))</f>
        <v>15.142553191489361</v>
      </c>
    </row>
    <row r="24" spans="1:18" x14ac:dyDescent="0.25">
      <c r="A24" s="2">
        <f ca="1">RANK(I24,$I$6:$I$475,0)</f>
        <v>19</v>
      </c>
      <c r="B24" s="29" t="s">
        <v>455</v>
      </c>
      <c r="C24" s="18">
        <v>45893</v>
      </c>
      <c r="D24" s="1" t="s">
        <v>377</v>
      </c>
      <c r="E24" s="1" t="s">
        <v>22</v>
      </c>
      <c r="F24" s="1">
        <v>14</v>
      </c>
      <c r="G24" s="1">
        <v>8</v>
      </c>
      <c r="H24" s="1">
        <f>SUM(F24:G24)</f>
        <v>22</v>
      </c>
      <c r="I24" s="5">
        <f ca="1">H24-(ROUNDDOWN((($G$1-C24)/365),1))</f>
        <v>20.9</v>
      </c>
      <c r="L24" s="2">
        <f t="shared" ca="1" si="1"/>
        <v>19</v>
      </c>
      <c r="M24" s="1" t="s">
        <v>70</v>
      </c>
      <c r="N24" s="1">
        <f>(COUNTIF($D$6:$D$475,M24))</f>
        <v>6</v>
      </c>
      <c r="O24" s="4" cm="1">
        <f t="array" ref="O24">(SUMPRODUCT(($D$6:$D$475=M24)*$F$6:$F$475))/(COUNTIF($D$6:$D$475,M24))</f>
        <v>13.166666666666666</v>
      </c>
      <c r="P24" s="4" cm="1">
        <f t="array" ref="P24">(SUMPRODUCT(($D$6:$D$475=M24)*$G$6:$G$475))/(COUNTIF($D$6:$D$475,M24))</f>
        <v>6.333333333333333</v>
      </c>
      <c r="Q24" s="4" cm="1">
        <f t="array" ref="Q24">(SUMPRODUCT(($D$6:$D$475=M24)*$H$6:$H$475))/(COUNTIF($D$6:$D$475,M24))</f>
        <v>19.5</v>
      </c>
      <c r="R24" s="5" cm="1">
        <f t="array" aca="1" ref="R24" ca="1">(SUMPRODUCT(($D$6:$D$475=M24)*$I$6:$I$475))/(COUNTIF($D$6:$D$475,M24))</f>
        <v>14.883333333333333</v>
      </c>
    </row>
    <row r="25" spans="1:18" x14ac:dyDescent="0.25">
      <c r="A25" s="2">
        <f ca="1">RANK(I25,$I$6:$I$475,0)</f>
        <v>19</v>
      </c>
      <c r="B25" s="29" t="s">
        <v>452</v>
      </c>
      <c r="C25" s="18">
        <v>45879</v>
      </c>
      <c r="D25" s="1" t="s">
        <v>149</v>
      </c>
      <c r="E25" s="1" t="s">
        <v>22</v>
      </c>
      <c r="F25" s="1">
        <v>17</v>
      </c>
      <c r="G25" s="1">
        <v>5</v>
      </c>
      <c r="H25" s="1">
        <f>SUM(F25:G25)</f>
        <v>22</v>
      </c>
      <c r="I25" s="5">
        <f ca="1">H25-(ROUNDDOWN((($G$1-C25)/365),1))</f>
        <v>20.9</v>
      </c>
      <c r="L25" s="2">
        <f t="shared" ca="1" si="1"/>
        <v>20</v>
      </c>
      <c r="M25" s="1" t="s">
        <v>72</v>
      </c>
      <c r="N25" s="1">
        <f>(COUNTIF($D$6:$D$475,M25))</f>
        <v>30</v>
      </c>
      <c r="O25" s="4" cm="1">
        <f t="array" ref="O25">(SUMPRODUCT(($D$6:$D$475=M25)*$F$6:$F$475))/(COUNTIF($D$6:$D$475,M25))</f>
        <v>12.366666666666667</v>
      </c>
      <c r="P25" s="4" cm="1">
        <f t="array" ref="P25">(SUMPRODUCT(($D$6:$D$475=M25)*$G$6:$G$475))/(COUNTIF($D$6:$D$475,M25))</f>
        <v>6.2333333333333334</v>
      </c>
      <c r="Q25" s="4" cm="1">
        <f t="array" ref="Q25">(SUMPRODUCT(($D$6:$D$475=M25)*$H$6:$H$475))/(COUNTIF($D$6:$D$475,M25))</f>
        <v>18.600000000000001</v>
      </c>
      <c r="R25" s="5" cm="1">
        <f t="array" aca="1" ref="R25" ca="1">(SUMPRODUCT(($D$6:$D$475=M25)*$I$6:$I$475))/(COUNTIF($D$6:$D$475,M25))</f>
        <v>14.516666666666664</v>
      </c>
    </row>
    <row r="26" spans="1:18" ht="15" customHeight="1" x14ac:dyDescent="0.25">
      <c r="A26" s="2">
        <f ca="1">RANK(I26,$I$6:$I$475,0)</f>
        <v>19</v>
      </c>
      <c r="B26" s="29" t="s">
        <v>358</v>
      </c>
      <c r="C26" s="18">
        <v>45508</v>
      </c>
      <c r="D26" s="1" t="s">
        <v>74</v>
      </c>
      <c r="E26" s="1" t="s">
        <v>20</v>
      </c>
      <c r="F26" s="1">
        <v>17</v>
      </c>
      <c r="G26" s="1">
        <v>6</v>
      </c>
      <c r="H26" s="1">
        <f>SUM(F26:G26)</f>
        <v>23</v>
      </c>
      <c r="I26" s="5">
        <f ca="1">H26-(ROUNDDOWN((($G$1-C26)/365),1))</f>
        <v>20.9</v>
      </c>
      <c r="L26" s="2">
        <f t="shared" ca="1" si="1"/>
        <v>21</v>
      </c>
      <c r="M26" s="1" t="s">
        <v>309</v>
      </c>
      <c r="N26" s="1">
        <f>(COUNTIF($D$6:$D$475,M26))</f>
        <v>7</v>
      </c>
      <c r="O26" s="4" cm="1">
        <f t="array" ref="O26">(SUMPRODUCT(($D$6:$D$475=M26)*$F$6:$F$475))/(COUNTIF($D$6:$D$475,M26))</f>
        <v>10.857142857142858</v>
      </c>
      <c r="P26" s="4" cm="1">
        <f t="array" ref="P26">(SUMPRODUCT(($D$6:$D$475=M26)*$G$6:$G$475))/(COUNTIF($D$6:$D$475,M26))</f>
        <v>5.5714285714285712</v>
      </c>
      <c r="Q26" s="4" cm="1">
        <f t="array" ref="Q26">(SUMPRODUCT(($D$6:$D$475=M26)*$H$6:$H$475))/(COUNTIF($D$6:$D$475,M26))</f>
        <v>16.428571428571427</v>
      </c>
      <c r="R26" s="5" cm="1">
        <f t="array" aca="1" ref="R26" ca="1">(SUMPRODUCT(($D$6:$D$475=M26)*$I$6:$I$475))/(COUNTIF($D$6:$D$475,M26))</f>
        <v>14.385714285714286</v>
      </c>
    </row>
    <row r="27" spans="1:18" x14ac:dyDescent="0.25">
      <c r="A27" s="2">
        <f ca="1">RANK(I27,$I$6:$I$475,0)</f>
        <v>22</v>
      </c>
      <c r="B27" s="1" t="s">
        <v>512</v>
      </c>
      <c r="C27" s="18">
        <v>46152</v>
      </c>
      <c r="D27" s="1" t="s">
        <v>483</v>
      </c>
      <c r="E27" s="1" t="s">
        <v>20</v>
      </c>
      <c r="F27" s="1">
        <v>14</v>
      </c>
      <c r="G27" s="1">
        <v>7</v>
      </c>
      <c r="H27" s="1">
        <f>SUM(F27:G27)</f>
        <v>21</v>
      </c>
      <c r="I27" s="5">
        <f ca="1">H27-(ROUNDDOWN((($G$1-C27)/365),1))</f>
        <v>20.6</v>
      </c>
      <c r="L27" s="2">
        <f t="shared" ca="1" si="1"/>
        <v>22</v>
      </c>
      <c r="M27" s="1" t="s">
        <v>73</v>
      </c>
      <c r="N27" s="1">
        <f>(COUNTIF($D$6:$D$475,M27))</f>
        <v>19</v>
      </c>
      <c r="O27" s="4" cm="1">
        <f t="array" ref="O27">(SUMPRODUCT(($D$6:$D$475=M27)*$F$6:$F$475))/(COUNTIF($D$6:$D$475,M27))</f>
        <v>11.473684210526315</v>
      </c>
      <c r="P27" s="4" cm="1">
        <f t="array" ref="P27">(SUMPRODUCT(($D$6:$D$475=M27)*$G$6:$G$475))/(COUNTIF($D$6:$D$475,M27))</f>
        <v>5.6315789473684212</v>
      </c>
      <c r="Q27" s="4" cm="1">
        <f t="array" ref="Q27">(SUMPRODUCT(($D$6:$D$475=M27)*$H$6:$H$475))/(COUNTIF($D$6:$D$475,M27))</f>
        <v>17.105263157894736</v>
      </c>
      <c r="R27" s="5" cm="1">
        <f t="array" aca="1" ref="R27" ca="1">(SUMPRODUCT(($D$6:$D$475=M27)*$I$6:$I$475))/(COUNTIF($D$6:$D$475,M27))</f>
        <v>14.121052631578948</v>
      </c>
    </row>
    <row r="28" spans="1:18" x14ac:dyDescent="0.25">
      <c r="A28" s="2">
        <f ca="1">RANK(I28,$I$6:$I$475,0)</f>
        <v>22</v>
      </c>
      <c r="B28" s="29" t="s">
        <v>343</v>
      </c>
      <c r="C28" s="18">
        <v>45410</v>
      </c>
      <c r="D28" s="1" t="s">
        <v>71</v>
      </c>
      <c r="E28" s="1" t="s">
        <v>17</v>
      </c>
      <c r="F28" s="1">
        <v>16</v>
      </c>
      <c r="G28" s="1">
        <v>7</v>
      </c>
      <c r="H28" s="1">
        <f>SUM(F28:G28)</f>
        <v>23</v>
      </c>
      <c r="I28" s="5">
        <f ca="1">H28-(ROUNDDOWN((($G$1-C28)/365),1))</f>
        <v>20.6</v>
      </c>
      <c r="L28" s="2">
        <f t="shared" ca="1" si="1"/>
        <v>23</v>
      </c>
      <c r="M28" s="1" t="s">
        <v>69</v>
      </c>
      <c r="N28" s="1">
        <f>(COUNTIF($D$6:$D$475,M28))</f>
        <v>55</v>
      </c>
      <c r="O28" s="4" cm="1">
        <f t="array" ref="O28">(SUMPRODUCT(($D$6:$D$475=M28)*$F$6:$F$475))/(COUNTIF($D$6:$D$475,M28))</f>
        <v>12.290909090909091</v>
      </c>
      <c r="P28" s="4" cm="1">
        <f t="array" ref="P28">(SUMPRODUCT(($D$6:$D$475=M28)*$G$6:$G$475))/(COUNTIF($D$6:$D$475,M28))</f>
        <v>6.0909090909090908</v>
      </c>
      <c r="Q28" s="4" cm="1">
        <f t="array" ref="Q28">(SUMPRODUCT(($D$6:$D$475=M28)*$H$6:$H$475))/(COUNTIF($D$6:$D$475,M28))</f>
        <v>18.381818181818183</v>
      </c>
      <c r="R28" s="5" cm="1">
        <f t="array" aca="1" ref="R28" ca="1">(SUMPRODUCT(($D$6:$D$475=M28)*$I$6:$I$475))/(COUNTIF($D$6:$D$475,M28))</f>
        <v>13.905454545454544</v>
      </c>
    </row>
    <row r="29" spans="1:18" x14ac:dyDescent="0.25">
      <c r="A29" s="2">
        <f ca="1">RANK(I29,$I$6:$I$475,0)</f>
        <v>24</v>
      </c>
      <c r="B29" s="29" t="s">
        <v>265</v>
      </c>
      <c r="C29" s="18">
        <v>45320</v>
      </c>
      <c r="D29" s="1" t="s">
        <v>74</v>
      </c>
      <c r="E29" s="1" t="s">
        <v>17</v>
      </c>
      <c r="F29" s="1">
        <v>16</v>
      </c>
      <c r="G29" s="1">
        <v>7</v>
      </c>
      <c r="H29" s="1">
        <f>SUM(F29:G29)</f>
        <v>23</v>
      </c>
      <c r="I29" s="5">
        <f ca="1">H29-(ROUNDDOWN((($G$1-C29)/365),1))</f>
        <v>20.399999999999999</v>
      </c>
      <c r="L29" s="2">
        <f t="shared" ca="1" si="1"/>
        <v>24</v>
      </c>
      <c r="M29" s="1" t="s">
        <v>470</v>
      </c>
      <c r="N29" s="1">
        <f>(COUNTIF($D$6:$D$475,M29))</f>
        <v>1</v>
      </c>
      <c r="O29" s="4" cm="1">
        <f t="array" ref="O29">(SUMPRODUCT(($D$6:$D$475=M29)*$F$6:$F$475))/(COUNTIF($D$6:$D$475,M29))</f>
        <v>6</v>
      </c>
      <c r="P29" s="4" cm="1">
        <f t="array" ref="P29">(SUMPRODUCT(($D$6:$D$475=M29)*$G$6:$G$475))/(COUNTIF($D$6:$D$475,M29))</f>
        <v>9</v>
      </c>
      <c r="Q29" s="4" cm="1">
        <f t="array" ref="Q29">(SUMPRODUCT(($D$6:$D$475=M29)*$H$6:$H$475))/(COUNTIF($D$6:$D$475,M29))</f>
        <v>15</v>
      </c>
      <c r="R29" s="5" cm="1">
        <f t="array" aca="1" ref="R29" ca="1">(SUMPRODUCT(($D$6:$D$475=M29)*$I$6:$I$475))/(COUNTIF($D$6:$D$475,M29))</f>
        <v>13.6</v>
      </c>
    </row>
    <row r="30" spans="1:18" x14ac:dyDescent="0.25">
      <c r="A30" s="2">
        <f ca="1">RANK(I30,$I$6:$I$475,0)</f>
        <v>25</v>
      </c>
      <c r="B30" s="1" t="s">
        <v>482</v>
      </c>
      <c r="C30" s="18">
        <v>46033</v>
      </c>
      <c r="D30" s="1" t="s">
        <v>483</v>
      </c>
      <c r="E30" s="1" t="s">
        <v>22</v>
      </c>
      <c r="F30" s="1">
        <v>15</v>
      </c>
      <c r="G30" s="1">
        <v>6</v>
      </c>
      <c r="H30" s="1">
        <f>SUM(F30:G30)</f>
        <v>21</v>
      </c>
      <c r="I30" s="5">
        <f ca="1">H30-(ROUNDDOWN((($G$1-C30)/365),1))</f>
        <v>20.3</v>
      </c>
      <c r="L30" s="2">
        <f t="shared" ca="1" si="1"/>
        <v>25</v>
      </c>
      <c r="M30" s="1" t="s">
        <v>308</v>
      </c>
      <c r="N30" s="1">
        <f>(COUNTIF($D$6:$D$475,M30))</f>
        <v>9</v>
      </c>
      <c r="O30" s="4" cm="1">
        <f t="array" ref="O30">(SUMPRODUCT(($D$6:$D$475=M30)*$F$6:$F$475))/(COUNTIF($D$6:$D$475,M30))</f>
        <v>9.7777777777777786</v>
      </c>
      <c r="P30" s="4" cm="1">
        <f t="array" ref="P30">(SUMPRODUCT(($D$6:$D$475=M30)*$G$6:$G$475))/(COUNTIF($D$6:$D$475,M30))</f>
        <v>5</v>
      </c>
      <c r="Q30" s="4" cm="1">
        <f t="array" ref="Q30">(SUMPRODUCT(($D$6:$D$475=M30)*$H$6:$H$475))/(COUNTIF($D$6:$D$475,M30))</f>
        <v>14.777777777777779</v>
      </c>
      <c r="R30" s="5" cm="1">
        <f t="array" aca="1" ref="R30" ca="1">(SUMPRODUCT(($D$6:$D$475=M30)*$I$6:$I$475))/(COUNTIF($D$6:$D$475,M30))</f>
        <v>12.388888888888888</v>
      </c>
    </row>
    <row r="31" spans="1:18" x14ac:dyDescent="0.25">
      <c r="A31" s="2">
        <f ca="1">RANK(I31,$I$6:$I$475,0)</f>
        <v>26</v>
      </c>
      <c r="B31" s="29" t="s">
        <v>389</v>
      </c>
      <c r="C31" s="18">
        <v>45620</v>
      </c>
      <c r="D31" s="1" t="s">
        <v>378</v>
      </c>
      <c r="E31" s="1" t="s">
        <v>22</v>
      </c>
      <c r="F31" s="1">
        <v>16</v>
      </c>
      <c r="G31" s="1">
        <v>6</v>
      </c>
      <c r="H31" s="1">
        <f>SUM(F31:G31)</f>
        <v>22</v>
      </c>
      <c r="I31" s="5">
        <f ca="1">H31-(ROUNDDOWN((($G$1-C31)/365),1))</f>
        <v>20.2</v>
      </c>
      <c r="L31" s="2">
        <f t="shared" ca="1" si="1"/>
        <v>26</v>
      </c>
      <c r="M31" s="1" t="s">
        <v>262</v>
      </c>
      <c r="N31" s="1">
        <f>(COUNTIF($D$6:$D$475,M31))</f>
        <v>2</v>
      </c>
      <c r="O31" s="4" cm="1">
        <f t="array" ref="O31">(SUMPRODUCT(($D$6:$D$475=M31)*$F$6:$F$475))/(COUNTIF($D$6:$D$475,M31))</f>
        <v>8</v>
      </c>
      <c r="P31" s="4" cm="1">
        <f t="array" ref="P31">(SUMPRODUCT(($D$6:$D$475=M31)*$G$6:$G$475))/(COUNTIF($D$6:$D$475,M31))</f>
        <v>4.5</v>
      </c>
      <c r="Q31" s="4" cm="1">
        <f t="array" ref="Q31">(SUMPRODUCT(($D$6:$D$475=M31)*$H$6:$H$475))/(COUNTIF($D$6:$D$475,M31))</f>
        <v>12.5</v>
      </c>
      <c r="R31" s="5" cm="1">
        <f t="array" aca="1" ref="R31" ca="1">(SUMPRODUCT(($D$6:$D$475=M31)*$I$6:$I$475))/(COUNTIF($D$6:$D$475,M31))</f>
        <v>10</v>
      </c>
    </row>
    <row r="32" spans="1:18" x14ac:dyDescent="0.25">
      <c r="A32" s="2">
        <f ca="1">RANK(I32,$I$6:$I$475,0)</f>
        <v>26</v>
      </c>
      <c r="B32" s="1" t="s">
        <v>313</v>
      </c>
      <c r="C32" s="18">
        <v>45249</v>
      </c>
      <c r="D32" s="1" t="s">
        <v>74</v>
      </c>
      <c r="E32" s="1" t="s">
        <v>33</v>
      </c>
      <c r="F32" s="1">
        <v>16</v>
      </c>
      <c r="G32" s="1">
        <v>7</v>
      </c>
      <c r="H32" s="1">
        <f>SUM(F32:G32)</f>
        <v>23</v>
      </c>
      <c r="I32" s="5">
        <f ca="1">H32-(ROUNDDOWN((($G$1-C32)/365),1))</f>
        <v>20.2</v>
      </c>
      <c r="L32" s="2">
        <f t="shared" ca="1" si="1"/>
        <v>27</v>
      </c>
      <c r="M32" s="1" t="s">
        <v>469</v>
      </c>
      <c r="N32" s="1">
        <f>(COUNTIF($D$6:$D$475,M32))</f>
        <v>1</v>
      </c>
      <c r="O32" s="4" cm="1">
        <f t="array" ref="O32">(SUMPRODUCT(($D$6:$D$475=M32)*$F$6:$F$475))/(COUNTIF($D$6:$D$475,M32))</f>
        <v>8</v>
      </c>
      <c r="P32" s="4" cm="1">
        <f t="array" ref="P32">(SUMPRODUCT(($D$6:$D$475=M32)*$G$6:$G$475))/(COUNTIF($D$6:$D$475,M32))</f>
        <v>3</v>
      </c>
      <c r="Q32" s="4" cm="1">
        <f t="array" ref="Q32">(SUMPRODUCT(($D$6:$D$475=M32)*$H$6:$H$475))/(COUNTIF($D$6:$D$475,M32))</f>
        <v>11</v>
      </c>
      <c r="R32" s="5" cm="1">
        <f t="array" aca="1" ref="R32" ca="1">(SUMPRODUCT(($D$6:$D$475=M32)*$I$6:$I$475))/(COUNTIF($D$6:$D$475,M32))</f>
        <v>9.6999999999999993</v>
      </c>
    </row>
    <row r="33" spans="1:18" x14ac:dyDescent="0.25">
      <c r="A33" s="2">
        <f ca="1">RANK(I33,$I$6:$I$475,0)</f>
        <v>26</v>
      </c>
      <c r="B33" s="29" t="s">
        <v>252</v>
      </c>
      <c r="C33" s="18">
        <v>44878</v>
      </c>
      <c r="D33" s="1" t="s">
        <v>69</v>
      </c>
      <c r="E33" s="1" t="s">
        <v>33</v>
      </c>
      <c r="F33" s="1">
        <v>15</v>
      </c>
      <c r="G33" s="1">
        <v>9</v>
      </c>
      <c r="H33" s="1">
        <f>SUM(F33:G33)</f>
        <v>24</v>
      </c>
      <c r="I33" s="5">
        <f ca="1">H33-(ROUNDDOWN((($G$1-C33)/365),1))</f>
        <v>20.2</v>
      </c>
      <c r="L33" s="6">
        <f t="shared" ca="1" si="1"/>
        <v>28</v>
      </c>
      <c r="M33" s="7" t="s">
        <v>75</v>
      </c>
      <c r="N33" s="7">
        <f>(COUNTIF($D$6:$D$475,M33))</f>
        <v>8</v>
      </c>
      <c r="O33" s="8" cm="1">
        <f t="array" ref="O33">(SUMPRODUCT(($D$6:$D$475=M33)*$F$6:$F$475))/(COUNTIF($D$6:$D$475,M33))</f>
        <v>8</v>
      </c>
      <c r="P33" s="8" cm="1">
        <f t="array" ref="P33">(SUMPRODUCT(($D$6:$D$475=M33)*$G$6:$G$475))/(COUNTIF($D$6:$D$475,M33))</f>
        <v>4.375</v>
      </c>
      <c r="Q33" s="8" cm="1">
        <f t="array" ref="Q33">(SUMPRODUCT(($D$6:$D$475=M33)*$H$6:$H$475))/(COUNTIF($D$6:$D$475,M33))</f>
        <v>12.375</v>
      </c>
      <c r="R33" s="9" cm="1">
        <f t="array" aca="1" ref="R33" ca="1">(SUMPRODUCT(($D$6:$D$475=M33)*$I$6:$I$475))/(COUNTIF($D$6:$D$475,M33))</f>
        <v>9.6124999999999989</v>
      </c>
    </row>
    <row r="34" spans="1:18" ht="15" customHeight="1" x14ac:dyDescent="0.25">
      <c r="A34" s="2">
        <f ca="1">RANK(I34,$I$6:$I$475,0)</f>
        <v>29</v>
      </c>
      <c r="B34" s="29" t="s">
        <v>280</v>
      </c>
      <c r="C34" s="18">
        <v>45220</v>
      </c>
      <c r="D34" s="1" t="s">
        <v>307</v>
      </c>
      <c r="E34" s="1" t="s">
        <v>33</v>
      </c>
      <c r="F34" s="1">
        <v>15</v>
      </c>
      <c r="G34" s="1">
        <v>8</v>
      </c>
      <c r="H34" s="1">
        <f>SUM(F34:G34)</f>
        <v>23</v>
      </c>
      <c r="I34" s="5">
        <f ca="1">H34-(ROUNDDOWN((($G$1-C34)/365),1))</f>
        <v>20.100000000000001</v>
      </c>
    </row>
    <row r="35" spans="1:18" x14ac:dyDescent="0.25">
      <c r="A35" s="2">
        <f ca="1">RANK(I35,$I$6:$I$475,0)</f>
        <v>29</v>
      </c>
      <c r="B35" s="1" t="s">
        <v>381</v>
      </c>
      <c r="C35" s="18">
        <v>45578</v>
      </c>
      <c r="D35" s="1" t="s">
        <v>154</v>
      </c>
      <c r="E35" s="1" t="s">
        <v>33</v>
      </c>
      <c r="F35" s="1">
        <v>15</v>
      </c>
      <c r="G35" s="1">
        <v>7</v>
      </c>
      <c r="H35" s="1">
        <f>SUM(F35:G35)</f>
        <v>22</v>
      </c>
      <c r="I35" s="5">
        <f ca="1">H35-(ROUNDDOWN((($G$1-C35)/365),1))</f>
        <v>20.100000000000001</v>
      </c>
      <c r="L35" s="30" t="s">
        <v>489</v>
      </c>
      <c r="M35" s="31"/>
      <c r="N35" s="31"/>
      <c r="O35" s="31"/>
      <c r="P35" s="31"/>
      <c r="Q35" s="31"/>
      <c r="R35" s="32"/>
    </row>
    <row r="36" spans="1:18" x14ac:dyDescent="0.25">
      <c r="A36" s="2">
        <f ca="1">RANK(I36,$I$6:$I$475,0)</f>
        <v>31</v>
      </c>
      <c r="B36" s="29" t="s">
        <v>239</v>
      </c>
      <c r="C36" s="18">
        <v>44836</v>
      </c>
      <c r="D36" s="1" t="s">
        <v>184</v>
      </c>
      <c r="E36" s="1" t="s">
        <v>22</v>
      </c>
      <c r="F36" s="1">
        <v>17</v>
      </c>
      <c r="G36" s="1">
        <v>7</v>
      </c>
      <c r="H36" s="1">
        <f>SUM(F36:G36)</f>
        <v>24</v>
      </c>
      <c r="I36" s="5">
        <f ca="1">H36-(ROUNDDOWN((($G$1-C36)/365),1))</f>
        <v>20</v>
      </c>
      <c r="L36" s="33"/>
      <c r="M36" s="34"/>
      <c r="N36" s="34"/>
      <c r="O36" s="34"/>
      <c r="P36" s="34"/>
      <c r="Q36" s="34"/>
      <c r="R36" s="35"/>
    </row>
    <row r="37" spans="1:18" x14ac:dyDescent="0.25">
      <c r="A37" s="2">
        <f ca="1">RANK(I37,$I$6:$I$475,0)</f>
        <v>31</v>
      </c>
      <c r="B37" s="29" t="s">
        <v>302</v>
      </c>
      <c r="C37" s="18">
        <v>45200</v>
      </c>
      <c r="D37" s="1" t="s">
        <v>149</v>
      </c>
      <c r="E37" s="1" t="s">
        <v>22</v>
      </c>
      <c r="F37" s="1">
        <v>15</v>
      </c>
      <c r="G37" s="1">
        <v>8</v>
      </c>
      <c r="H37" s="1">
        <f>SUM(F37:G37)</f>
        <v>23</v>
      </c>
      <c r="I37" s="5">
        <f ca="1">H37-(ROUNDDOWN((($G$1-C37)/365),1))</f>
        <v>20</v>
      </c>
      <c r="L37" s="33"/>
      <c r="M37" s="34"/>
      <c r="N37" s="34"/>
      <c r="O37" s="34"/>
      <c r="P37" s="34"/>
      <c r="Q37" s="34"/>
      <c r="R37" s="35"/>
    </row>
    <row r="38" spans="1:18" x14ac:dyDescent="0.25">
      <c r="A38" s="2">
        <f ca="1">RANK(I38,$I$6:$I$475,0)</f>
        <v>31</v>
      </c>
      <c r="B38" s="1" t="s">
        <v>369</v>
      </c>
      <c r="C38" s="18">
        <v>45543</v>
      </c>
      <c r="D38" s="1" t="s">
        <v>71</v>
      </c>
      <c r="E38" s="1" t="s">
        <v>22</v>
      </c>
      <c r="F38" s="1">
        <v>15</v>
      </c>
      <c r="G38" s="1">
        <v>7</v>
      </c>
      <c r="H38" s="1">
        <f>SUM(F38:G38)</f>
        <v>22</v>
      </c>
      <c r="I38" s="5">
        <f ca="1">H38-(ROUNDDOWN((($G$1-C38)/365),1))</f>
        <v>20</v>
      </c>
      <c r="L38" s="33"/>
      <c r="M38" s="34"/>
      <c r="N38" s="34"/>
      <c r="O38" s="34"/>
      <c r="P38" s="34"/>
      <c r="Q38" s="34"/>
      <c r="R38" s="35"/>
    </row>
    <row r="39" spans="1:18" x14ac:dyDescent="0.25">
      <c r="A39" s="2">
        <f ca="1">RANK(I39,$I$6:$I$475,0)</f>
        <v>31</v>
      </c>
      <c r="B39" s="29" t="s">
        <v>233</v>
      </c>
      <c r="C39" s="18">
        <v>44811</v>
      </c>
      <c r="D39" s="1" t="s">
        <v>72</v>
      </c>
      <c r="E39" s="1" t="s">
        <v>40</v>
      </c>
      <c r="F39" s="1">
        <v>15</v>
      </c>
      <c r="G39" s="1">
        <v>9</v>
      </c>
      <c r="H39" s="1">
        <f>SUM(F39:G39)</f>
        <v>24</v>
      </c>
      <c r="I39" s="5">
        <f ca="1">H39-(ROUNDDOWN((($G$1-C39)/365),1))</f>
        <v>20</v>
      </c>
      <c r="L39" s="33"/>
      <c r="M39" s="34"/>
      <c r="N39" s="34"/>
      <c r="O39" s="34"/>
      <c r="P39" s="34"/>
      <c r="Q39" s="34"/>
      <c r="R39" s="35"/>
    </row>
    <row r="40" spans="1:18" x14ac:dyDescent="0.25">
      <c r="A40" s="2">
        <f ca="1">RANK(I40,$I$6:$I$475,0)</f>
        <v>31</v>
      </c>
      <c r="B40" s="1" t="s">
        <v>528</v>
      </c>
      <c r="C40" s="18">
        <v>46271</v>
      </c>
      <c r="D40" s="1" t="s">
        <v>483</v>
      </c>
      <c r="E40" s="1" t="s">
        <v>17</v>
      </c>
      <c r="F40" s="1">
        <v>14</v>
      </c>
      <c r="G40" s="1">
        <v>6</v>
      </c>
      <c r="H40" s="1">
        <f>SUM(F40:G40)</f>
        <v>20</v>
      </c>
      <c r="I40" s="5">
        <f ca="1">H40-(ROUNDDOWN((($G$1-C40)/365),1))</f>
        <v>20</v>
      </c>
      <c r="L40" s="33"/>
      <c r="M40" s="34"/>
      <c r="N40" s="34"/>
      <c r="O40" s="34"/>
      <c r="P40" s="34"/>
      <c r="Q40" s="34"/>
      <c r="R40" s="35"/>
    </row>
    <row r="41" spans="1:18" x14ac:dyDescent="0.25">
      <c r="A41" s="2">
        <f ca="1">RANK(I41,$I$6:$I$475,0)</f>
        <v>31</v>
      </c>
      <c r="B41" s="1" t="s">
        <v>536</v>
      </c>
      <c r="C41" s="18">
        <v>46299</v>
      </c>
      <c r="D41" s="1" t="s">
        <v>378</v>
      </c>
      <c r="E41" s="1" t="s">
        <v>17</v>
      </c>
      <c r="F41" s="1">
        <v>14</v>
      </c>
      <c r="G41" s="1">
        <v>6</v>
      </c>
      <c r="H41" s="1">
        <f>SUM(F41:G41)</f>
        <v>20</v>
      </c>
      <c r="I41" s="5">
        <f ca="1">H41-(ROUNDDOWN((($G$1-C41)/365),1))</f>
        <v>20</v>
      </c>
      <c r="L41" s="33"/>
      <c r="M41" s="34"/>
      <c r="N41" s="34"/>
      <c r="O41" s="34"/>
      <c r="P41" s="34"/>
      <c r="Q41" s="34"/>
      <c r="R41" s="35"/>
    </row>
    <row r="42" spans="1:18" x14ac:dyDescent="0.25">
      <c r="A42" s="2">
        <f ca="1">RANK(I42,$I$6:$I$475,0)</f>
        <v>37</v>
      </c>
      <c r="B42" s="29" t="s">
        <v>232</v>
      </c>
      <c r="C42" s="18">
        <v>44794</v>
      </c>
      <c r="D42" s="1" t="s">
        <v>184</v>
      </c>
      <c r="E42" s="1" t="s">
        <v>17</v>
      </c>
      <c r="F42" s="1">
        <v>17</v>
      </c>
      <c r="G42" s="1">
        <v>7</v>
      </c>
      <c r="H42" s="1">
        <f>SUM(F42:G42)</f>
        <v>24</v>
      </c>
      <c r="I42" s="5">
        <f ca="1">H42-(ROUNDDOWN((($G$1-C42)/365),1))</f>
        <v>19.899999999999999</v>
      </c>
      <c r="L42" s="33"/>
      <c r="M42" s="34"/>
      <c r="N42" s="34"/>
      <c r="O42" s="34"/>
      <c r="P42" s="34"/>
      <c r="Q42" s="34"/>
      <c r="R42" s="35"/>
    </row>
    <row r="43" spans="1:18" x14ac:dyDescent="0.25">
      <c r="A43" s="2">
        <f ca="1">RANK(I43,$I$6:$I$475,0)</f>
        <v>37</v>
      </c>
      <c r="B43" s="29" t="s">
        <v>526</v>
      </c>
      <c r="C43" s="18">
        <v>46250</v>
      </c>
      <c r="D43" s="1" t="s">
        <v>154</v>
      </c>
      <c r="E43" s="1" t="s">
        <v>22</v>
      </c>
      <c r="F43" s="1">
        <v>16</v>
      </c>
      <c r="G43" s="1">
        <v>4</v>
      </c>
      <c r="H43" s="1">
        <f>SUM(F43:G43)</f>
        <v>20</v>
      </c>
      <c r="I43" s="5">
        <f ca="1">H43-(ROUNDDOWN((($G$1-C43)/365),1))</f>
        <v>19.899999999999999</v>
      </c>
      <c r="L43" s="33"/>
      <c r="M43" s="34"/>
      <c r="N43" s="34"/>
      <c r="O43" s="34"/>
      <c r="P43" s="34"/>
      <c r="Q43" s="34"/>
      <c r="R43" s="35"/>
    </row>
    <row r="44" spans="1:18" x14ac:dyDescent="0.25">
      <c r="A44" s="2">
        <f ca="1">RANK(I44,$I$6:$I$475,0)</f>
        <v>37</v>
      </c>
      <c r="B44" s="1" t="s">
        <v>525</v>
      </c>
      <c r="C44" s="18">
        <v>46243</v>
      </c>
      <c r="D44" s="1" t="s">
        <v>66</v>
      </c>
      <c r="E44" s="1" t="s">
        <v>22</v>
      </c>
      <c r="F44" s="1">
        <v>15</v>
      </c>
      <c r="G44" s="1">
        <v>5</v>
      </c>
      <c r="H44" s="1">
        <f>SUM(F44:G44)</f>
        <v>20</v>
      </c>
      <c r="I44" s="5">
        <f ca="1">H44-(ROUNDDOWN((($G$1-C44)/365),1))</f>
        <v>19.899999999999999</v>
      </c>
      <c r="L44" s="36"/>
      <c r="M44" s="37"/>
      <c r="N44" s="37"/>
      <c r="O44" s="37"/>
      <c r="P44" s="37"/>
      <c r="Q44" s="37"/>
      <c r="R44" s="38"/>
    </row>
    <row r="45" spans="1:18" x14ac:dyDescent="0.25">
      <c r="A45" s="2">
        <f ca="1">RANK(I45,$I$6:$I$475,0)</f>
        <v>40</v>
      </c>
      <c r="B45" s="1" t="s">
        <v>294</v>
      </c>
      <c r="C45" s="18">
        <v>45130</v>
      </c>
      <c r="D45" s="1" t="s">
        <v>236</v>
      </c>
      <c r="E45" s="1" t="s">
        <v>17</v>
      </c>
      <c r="F45" s="1">
        <v>16</v>
      </c>
      <c r="G45" s="1">
        <v>7</v>
      </c>
      <c r="H45" s="1">
        <f>SUM(F45:G45)</f>
        <v>23</v>
      </c>
      <c r="I45" s="5">
        <f ca="1">H45-(ROUNDDOWN((($G$1-C45)/365),1))</f>
        <v>19.8</v>
      </c>
    </row>
    <row r="46" spans="1:18" x14ac:dyDescent="0.25">
      <c r="A46" s="2">
        <f ca="1">RANK(I46,$I$6:$I$475,0)</f>
        <v>40</v>
      </c>
      <c r="B46" s="29" t="s">
        <v>223</v>
      </c>
      <c r="C46" s="18">
        <v>44752</v>
      </c>
      <c r="D46" s="1" t="s">
        <v>71</v>
      </c>
      <c r="E46" s="1" t="s">
        <v>40</v>
      </c>
      <c r="F46" s="1">
        <v>15</v>
      </c>
      <c r="G46" s="1">
        <v>9</v>
      </c>
      <c r="H46" s="1">
        <f>SUM(F46:G46)</f>
        <v>24</v>
      </c>
      <c r="I46" s="5">
        <f ca="1">H46-(ROUNDDOWN((($G$1-C46)/365),1))</f>
        <v>19.8</v>
      </c>
    </row>
    <row r="47" spans="1:18" x14ac:dyDescent="0.25">
      <c r="A47" s="2">
        <f ca="1">RANK(I47,$I$6:$I$475,0)</f>
        <v>40</v>
      </c>
      <c r="B47" s="1" t="s">
        <v>443</v>
      </c>
      <c r="C47" s="18">
        <v>45844</v>
      </c>
      <c r="D47" s="1" t="s">
        <v>71</v>
      </c>
      <c r="E47" s="1" t="s">
        <v>17</v>
      </c>
      <c r="F47" s="1">
        <v>15</v>
      </c>
      <c r="G47" s="1">
        <v>6</v>
      </c>
      <c r="H47" s="1">
        <f>SUM(F47:G47)</f>
        <v>21</v>
      </c>
      <c r="I47" s="5">
        <f ca="1">H47-(ROUNDDOWN((($G$1-C47)/365),1))</f>
        <v>19.8</v>
      </c>
    </row>
    <row r="48" spans="1:18" x14ac:dyDescent="0.25">
      <c r="A48" s="2">
        <f ca="1">RANK(I48,$I$6:$I$475,0)</f>
        <v>40</v>
      </c>
      <c r="B48" s="1" t="s">
        <v>516</v>
      </c>
      <c r="C48" s="18">
        <v>46201</v>
      </c>
      <c r="D48" s="1" t="s">
        <v>497</v>
      </c>
      <c r="E48" s="1" t="s">
        <v>33</v>
      </c>
      <c r="F48" s="1">
        <v>14</v>
      </c>
      <c r="G48" s="1">
        <v>6</v>
      </c>
      <c r="H48" s="1">
        <f>SUM(F48:G48)</f>
        <v>20</v>
      </c>
      <c r="I48" s="5">
        <f ca="1">H48-(ROUNDDOWN((($G$1-C48)/365),1))</f>
        <v>19.8</v>
      </c>
    </row>
    <row r="49" spans="1:9" x14ac:dyDescent="0.25">
      <c r="A49" s="2">
        <f ca="1">RANK(I49,$I$6:$I$475,0)</f>
        <v>40</v>
      </c>
      <c r="B49" s="29" t="s">
        <v>352</v>
      </c>
      <c r="C49" s="18">
        <v>45466</v>
      </c>
      <c r="D49" s="1" t="s">
        <v>154</v>
      </c>
      <c r="E49" s="1" t="s">
        <v>22</v>
      </c>
      <c r="F49" s="1">
        <v>14</v>
      </c>
      <c r="G49" s="1">
        <v>8</v>
      </c>
      <c r="H49" s="1">
        <f>SUM(F49:G49)</f>
        <v>22</v>
      </c>
      <c r="I49" s="5">
        <f ca="1">H49-(ROUNDDOWN((($G$1-C49)/365),1))</f>
        <v>19.8</v>
      </c>
    </row>
    <row r="50" spans="1:9" x14ac:dyDescent="0.25">
      <c r="A50" s="2">
        <f ca="1">RANK(I50,$I$6:$I$475,0)</f>
        <v>45</v>
      </c>
      <c r="B50" s="1" t="s">
        <v>349</v>
      </c>
      <c r="C50" s="18">
        <v>45459</v>
      </c>
      <c r="D50" s="1" t="s">
        <v>236</v>
      </c>
      <c r="E50" s="1" t="s">
        <v>17</v>
      </c>
      <c r="F50" s="1">
        <v>16</v>
      </c>
      <c r="G50" s="1">
        <v>6</v>
      </c>
      <c r="H50" s="1">
        <f>SUM(F50:G50)</f>
        <v>22</v>
      </c>
      <c r="I50" s="5">
        <f ca="1">H50-(ROUNDDOWN((($G$1-C50)/365),1))</f>
        <v>19.7</v>
      </c>
    </row>
    <row r="51" spans="1:9" x14ac:dyDescent="0.25">
      <c r="A51" s="2">
        <f ca="1">RANK(I51,$I$6:$I$475,0)</f>
        <v>45</v>
      </c>
      <c r="B51" s="29" t="s">
        <v>132</v>
      </c>
      <c r="C51" s="18">
        <v>44359</v>
      </c>
      <c r="D51" s="1" t="s">
        <v>131</v>
      </c>
      <c r="E51" s="1" t="s">
        <v>22</v>
      </c>
      <c r="F51" s="1">
        <v>17</v>
      </c>
      <c r="G51" s="1">
        <v>8</v>
      </c>
      <c r="H51" s="1">
        <f>SUM(F51:G51)</f>
        <v>25</v>
      </c>
      <c r="I51" s="5">
        <f ca="1">H51-(ROUNDDOWN((($G$1-C51)/365),1))</f>
        <v>19.7</v>
      </c>
    </row>
    <row r="52" spans="1:9" x14ac:dyDescent="0.25">
      <c r="A52" s="2">
        <f ca="1">RANK(I52,$I$6:$I$475,0)</f>
        <v>45</v>
      </c>
      <c r="B52" s="29" t="s">
        <v>514</v>
      </c>
      <c r="C52" s="18">
        <v>46180</v>
      </c>
      <c r="D52" s="1" t="s">
        <v>149</v>
      </c>
      <c r="E52" s="1" t="s">
        <v>22</v>
      </c>
      <c r="F52" s="1">
        <v>10</v>
      </c>
      <c r="G52" s="1">
        <v>10</v>
      </c>
      <c r="H52" s="1">
        <f>SUM(F52:G52)</f>
        <v>20</v>
      </c>
      <c r="I52" s="5">
        <f ca="1">H52-(ROUNDDOWN((($G$1-C52)/365),1))</f>
        <v>19.7</v>
      </c>
    </row>
    <row r="53" spans="1:9" x14ac:dyDescent="0.25">
      <c r="A53" s="2">
        <f ca="1">RANK(I53,$I$6:$I$475,0)</f>
        <v>48</v>
      </c>
      <c r="B53" s="1" t="s">
        <v>429</v>
      </c>
      <c r="C53" s="18">
        <v>45781</v>
      </c>
      <c r="D53" s="1" t="s">
        <v>368</v>
      </c>
      <c r="E53" s="1" t="s">
        <v>22</v>
      </c>
      <c r="F53" s="1">
        <v>14</v>
      </c>
      <c r="G53" s="1">
        <v>7</v>
      </c>
      <c r="H53" s="1">
        <f>SUM(F53:G53)</f>
        <v>21</v>
      </c>
      <c r="I53" s="5">
        <f ca="1">H53-(ROUNDDOWN((($G$1-C53)/365),1))</f>
        <v>19.600000000000001</v>
      </c>
    </row>
    <row r="54" spans="1:9" x14ac:dyDescent="0.25">
      <c r="A54" s="2">
        <f ca="1">RANK(I54,$I$6:$I$475,0)</f>
        <v>48</v>
      </c>
      <c r="B54" s="1" t="s">
        <v>424</v>
      </c>
      <c r="C54" s="18">
        <v>45753</v>
      </c>
      <c r="D54" s="1" t="s">
        <v>71</v>
      </c>
      <c r="E54" s="1" t="s">
        <v>17</v>
      </c>
      <c r="F54" s="1">
        <v>15</v>
      </c>
      <c r="G54" s="1">
        <v>6</v>
      </c>
      <c r="H54" s="1">
        <f>SUM(F54:G54)</f>
        <v>21</v>
      </c>
      <c r="I54" s="5">
        <f ca="1">H54-(ROUNDDOWN((($G$1-C54)/365),1))</f>
        <v>19.600000000000001</v>
      </c>
    </row>
    <row r="55" spans="1:9" x14ac:dyDescent="0.25">
      <c r="A55" s="2">
        <f ca="1">RANK(I55,$I$6:$I$475,0)</f>
        <v>50</v>
      </c>
      <c r="B55" s="1" t="s">
        <v>89</v>
      </c>
      <c r="C55" s="18">
        <v>45011</v>
      </c>
      <c r="D55" s="1" t="s">
        <v>66</v>
      </c>
      <c r="E55" s="1" t="s">
        <v>17</v>
      </c>
      <c r="F55" s="1">
        <v>15</v>
      </c>
      <c r="G55" s="1">
        <v>8</v>
      </c>
      <c r="H55" s="1">
        <f>SUM(F55:G55)</f>
        <v>23</v>
      </c>
      <c r="I55" s="5">
        <f ca="1">H55-(ROUNDDOWN((($G$1-C55)/365),1))</f>
        <v>19.5</v>
      </c>
    </row>
    <row r="56" spans="1:9" x14ac:dyDescent="0.25">
      <c r="A56" s="2">
        <f ca="1">RANK(I56,$I$6:$I$475,0)</f>
        <v>50</v>
      </c>
      <c r="B56" s="29" t="s">
        <v>496</v>
      </c>
      <c r="C56" s="18">
        <v>46096</v>
      </c>
      <c r="D56" s="1" t="s">
        <v>497</v>
      </c>
      <c r="E56" s="1" t="s">
        <v>33</v>
      </c>
      <c r="F56" s="1">
        <v>15</v>
      </c>
      <c r="G56" s="1">
        <v>5</v>
      </c>
      <c r="H56" s="1">
        <f>SUM(F56:G56)</f>
        <v>20</v>
      </c>
      <c r="I56" s="5">
        <f ca="1">H56-(ROUNDDOWN((($G$1-C56)/365),1))</f>
        <v>19.5</v>
      </c>
    </row>
    <row r="57" spans="1:9" x14ac:dyDescent="0.25">
      <c r="A57" s="2">
        <f ca="1">RANK(I57,$I$6:$I$475,0)</f>
        <v>50</v>
      </c>
      <c r="B57" s="29" t="s">
        <v>271</v>
      </c>
      <c r="C57" s="18">
        <v>44990</v>
      </c>
      <c r="D57" s="1" t="s">
        <v>69</v>
      </c>
      <c r="E57" s="1" t="s">
        <v>22</v>
      </c>
      <c r="F57" s="1">
        <v>16</v>
      </c>
      <c r="G57" s="1">
        <v>7</v>
      </c>
      <c r="H57" s="1">
        <f>SUM(F57:G57)</f>
        <v>23</v>
      </c>
      <c r="I57" s="5">
        <f ca="1">H57-(ROUNDDOWN((($G$1-C57)/365),1))</f>
        <v>19.5</v>
      </c>
    </row>
    <row r="58" spans="1:9" x14ac:dyDescent="0.25">
      <c r="A58" s="2">
        <f ca="1">RANK(I58,$I$6:$I$475,0)</f>
        <v>50</v>
      </c>
      <c r="B58" s="1" t="s">
        <v>413</v>
      </c>
      <c r="C58" s="18">
        <v>45718</v>
      </c>
      <c r="D58" s="1" t="s">
        <v>378</v>
      </c>
      <c r="E58" s="1" t="s">
        <v>22</v>
      </c>
      <c r="F58" s="1">
        <v>15</v>
      </c>
      <c r="G58" s="1">
        <v>6</v>
      </c>
      <c r="H58" s="1">
        <f>SUM(F58:G58)</f>
        <v>21</v>
      </c>
      <c r="I58" s="5">
        <f ca="1">H58-(ROUNDDOWN((($G$1-C58)/365),1))</f>
        <v>19.5</v>
      </c>
    </row>
    <row r="59" spans="1:9" x14ac:dyDescent="0.25">
      <c r="A59" s="2">
        <f ca="1">RANK(I59,$I$6:$I$475,0)</f>
        <v>54</v>
      </c>
      <c r="B59" s="29" t="s">
        <v>412</v>
      </c>
      <c r="C59" s="18">
        <v>45711</v>
      </c>
      <c r="D59" s="1" t="s">
        <v>236</v>
      </c>
      <c r="E59" s="1" t="s">
        <v>20</v>
      </c>
      <c r="F59" s="1">
        <v>15</v>
      </c>
      <c r="G59" s="1">
        <v>6</v>
      </c>
      <c r="H59" s="1">
        <f>SUM(F59:G59)</f>
        <v>21</v>
      </c>
      <c r="I59" s="5">
        <f ca="1">H59-(ROUNDDOWN((($G$1-C59)/365),1))</f>
        <v>19.399999999999999</v>
      </c>
    </row>
    <row r="60" spans="1:9" x14ac:dyDescent="0.25">
      <c r="A60" s="2">
        <f ca="1">RANK(I60,$I$6:$I$475,0)</f>
        <v>55</v>
      </c>
      <c r="B60" s="29" t="s">
        <v>260</v>
      </c>
      <c r="C60" s="18">
        <v>44927</v>
      </c>
      <c r="D60" s="1" t="s">
        <v>68</v>
      </c>
      <c r="E60" s="1" t="s">
        <v>22</v>
      </c>
      <c r="F60" s="1">
        <v>15</v>
      </c>
      <c r="G60" s="1">
        <v>8</v>
      </c>
      <c r="H60" s="1">
        <f>SUM(F60:G60)</f>
        <v>23</v>
      </c>
      <c r="I60" s="5">
        <f ca="1">H60-(ROUNDDOWN((($G$1-C60)/365),1))</f>
        <v>19.3</v>
      </c>
    </row>
    <row r="61" spans="1:9" x14ac:dyDescent="0.25">
      <c r="A61" s="2">
        <f ca="1">RANK(I61,$I$6:$I$475,0)</f>
        <v>55</v>
      </c>
      <c r="B61" s="29" t="s">
        <v>259</v>
      </c>
      <c r="C61" s="18">
        <v>44927</v>
      </c>
      <c r="D61" s="1" t="s">
        <v>68</v>
      </c>
      <c r="E61" s="1" t="s">
        <v>22</v>
      </c>
      <c r="F61" s="1">
        <v>15</v>
      </c>
      <c r="G61" s="1">
        <v>8</v>
      </c>
      <c r="H61" s="1">
        <f>SUM(F61:G61)</f>
        <v>23</v>
      </c>
      <c r="I61" s="5">
        <f ca="1">H61-(ROUNDDOWN((($G$1-C61)/365),1))</f>
        <v>19.3</v>
      </c>
    </row>
    <row r="62" spans="1:9" x14ac:dyDescent="0.25">
      <c r="A62" s="2">
        <f ca="1">RANK(I62,$I$6:$I$475,0)</f>
        <v>55</v>
      </c>
      <c r="B62" s="29" t="s">
        <v>258</v>
      </c>
      <c r="C62" s="18">
        <v>44927</v>
      </c>
      <c r="D62" s="1" t="s">
        <v>68</v>
      </c>
      <c r="E62" s="1" t="s">
        <v>22</v>
      </c>
      <c r="F62" s="1">
        <v>15</v>
      </c>
      <c r="G62" s="1">
        <v>8</v>
      </c>
      <c r="H62" s="1">
        <f>SUM(F62:G62)</f>
        <v>23</v>
      </c>
      <c r="I62" s="5">
        <f ca="1">H62-(ROUNDDOWN((($G$1-C62)/365),1))</f>
        <v>19.3</v>
      </c>
    </row>
    <row r="63" spans="1:9" x14ac:dyDescent="0.25">
      <c r="A63" s="2">
        <f ca="1">RANK(I63,$I$6:$I$475,0)</f>
        <v>58</v>
      </c>
      <c r="B63" s="1" t="s">
        <v>181</v>
      </c>
      <c r="C63" s="18">
        <v>44535</v>
      </c>
      <c r="D63" s="1" t="s">
        <v>71</v>
      </c>
      <c r="E63" s="1" t="s">
        <v>17</v>
      </c>
      <c r="F63" s="1">
        <v>16</v>
      </c>
      <c r="G63" s="1">
        <v>8</v>
      </c>
      <c r="H63" s="1">
        <f>SUM(F63:G63)</f>
        <v>24</v>
      </c>
      <c r="I63" s="5">
        <f ca="1">H63-(ROUNDDOWN((($G$1-C63)/365),1))</f>
        <v>19.2</v>
      </c>
    </row>
    <row r="64" spans="1:9" x14ac:dyDescent="0.25">
      <c r="A64" s="2">
        <f ca="1">RANK(I64,$I$6:$I$475,0)</f>
        <v>58</v>
      </c>
      <c r="B64" s="1" t="s">
        <v>472</v>
      </c>
      <c r="C64" s="18">
        <v>45991</v>
      </c>
      <c r="D64" s="1" t="s">
        <v>66</v>
      </c>
      <c r="E64" s="1" t="s">
        <v>17</v>
      </c>
      <c r="F64" s="1">
        <v>15</v>
      </c>
      <c r="G64" s="1">
        <v>5</v>
      </c>
      <c r="H64" s="1">
        <f>SUM(F64:G64)</f>
        <v>20</v>
      </c>
      <c r="I64" s="5">
        <f ca="1">H64-(ROUNDDOWN((($G$1-C64)/365),1))</f>
        <v>19.2</v>
      </c>
    </row>
    <row r="65" spans="1:9" x14ac:dyDescent="0.25">
      <c r="A65" s="2">
        <f ca="1">RANK(I65,$I$6:$I$475,0)</f>
        <v>58</v>
      </c>
      <c r="B65" s="29" t="s">
        <v>384</v>
      </c>
      <c r="C65" s="18">
        <v>45606</v>
      </c>
      <c r="D65" s="1" t="s">
        <v>377</v>
      </c>
      <c r="E65" s="1" t="s">
        <v>22</v>
      </c>
      <c r="F65" s="1">
        <v>15</v>
      </c>
      <c r="G65" s="1">
        <v>6</v>
      </c>
      <c r="H65" s="1">
        <f>SUM(F65:G65)</f>
        <v>21</v>
      </c>
      <c r="I65" s="5">
        <f ca="1">H65-(ROUNDDOWN((($G$1-C65)/365),1))</f>
        <v>19.2</v>
      </c>
    </row>
    <row r="66" spans="1:9" x14ac:dyDescent="0.25">
      <c r="A66" s="2">
        <f ca="1">RANK(I66,$I$6:$I$475,0)</f>
        <v>61</v>
      </c>
      <c r="B66" s="1" t="s">
        <v>173</v>
      </c>
      <c r="C66" s="18">
        <v>44507</v>
      </c>
      <c r="D66" s="1" t="s">
        <v>71</v>
      </c>
      <c r="E66" s="1" t="s">
        <v>22</v>
      </c>
      <c r="F66" s="1">
        <v>17</v>
      </c>
      <c r="G66" s="1">
        <v>7</v>
      </c>
      <c r="H66" s="1">
        <f>SUM(F66:G66)</f>
        <v>24</v>
      </c>
      <c r="I66" s="5">
        <f ca="1">H66-(ROUNDDOWN((($G$1-C66)/365),1))</f>
        <v>19.100000000000001</v>
      </c>
    </row>
    <row r="67" spans="1:9" x14ac:dyDescent="0.25">
      <c r="A67" s="2">
        <f ca="1">RANK(I67,$I$6:$I$475,0)</f>
        <v>61</v>
      </c>
      <c r="B67" s="1" t="s">
        <v>165</v>
      </c>
      <c r="C67" s="18">
        <v>44479</v>
      </c>
      <c r="D67" s="1" t="s">
        <v>154</v>
      </c>
      <c r="E67" s="1" t="s">
        <v>17</v>
      </c>
      <c r="F67" s="1">
        <v>15</v>
      </c>
      <c r="G67" s="1">
        <v>9</v>
      </c>
      <c r="H67" s="1">
        <f>SUM(F67:G67)</f>
        <v>24</v>
      </c>
      <c r="I67" s="5">
        <f ca="1">H67-(ROUNDDOWN((($G$1-C67)/365),1))</f>
        <v>19.100000000000001</v>
      </c>
    </row>
    <row r="68" spans="1:9" x14ac:dyDescent="0.25">
      <c r="A68" s="2">
        <f ca="1">RANK(I68,$I$6:$I$475,0)</f>
        <v>61</v>
      </c>
      <c r="B68" s="1" t="s">
        <v>462</v>
      </c>
      <c r="C68" s="18">
        <v>45935</v>
      </c>
      <c r="D68" s="1" t="s">
        <v>67</v>
      </c>
      <c r="E68" s="1" t="s">
        <v>17</v>
      </c>
      <c r="F68" s="1">
        <v>14</v>
      </c>
      <c r="G68" s="1">
        <v>6</v>
      </c>
      <c r="H68" s="1">
        <f>SUM(F68:G68)</f>
        <v>20</v>
      </c>
      <c r="I68" s="5">
        <f ca="1">H68-(ROUNDDOWN((($G$1-C68)/365),1))</f>
        <v>19.100000000000001</v>
      </c>
    </row>
    <row r="69" spans="1:9" x14ac:dyDescent="0.25">
      <c r="A69" s="2">
        <f ca="1">RANK(I69,$I$6:$I$475,0)</f>
        <v>64</v>
      </c>
      <c r="B69" s="1" t="s">
        <v>370</v>
      </c>
      <c r="C69" s="18">
        <v>45543</v>
      </c>
      <c r="D69" s="1" t="s">
        <v>66</v>
      </c>
      <c r="E69" s="1" t="s">
        <v>20</v>
      </c>
      <c r="F69" s="1">
        <v>15</v>
      </c>
      <c r="G69" s="1">
        <v>6</v>
      </c>
      <c r="H69" s="1">
        <f>SUM(F69:G69)</f>
        <v>21</v>
      </c>
      <c r="I69" s="5">
        <f ca="1">H69-(ROUNDDOWN((($G$1-C69)/365),1))</f>
        <v>19</v>
      </c>
    </row>
    <row r="70" spans="1:9" x14ac:dyDescent="0.25">
      <c r="A70" s="2">
        <f ca="1">RANK(I70,$I$6:$I$475,0)</f>
        <v>64</v>
      </c>
      <c r="B70" s="1" t="s">
        <v>371</v>
      </c>
      <c r="C70" s="18">
        <v>45543</v>
      </c>
      <c r="D70" s="1" t="s">
        <v>66</v>
      </c>
      <c r="E70" s="1" t="s">
        <v>33</v>
      </c>
      <c r="F70" s="1">
        <v>15</v>
      </c>
      <c r="G70" s="1">
        <v>6</v>
      </c>
      <c r="H70" s="1">
        <f>SUM(F70:G70)</f>
        <v>21</v>
      </c>
      <c r="I70" s="5">
        <f ca="1">H70-(ROUNDDOWN((($G$1-C70)/365),1))</f>
        <v>19</v>
      </c>
    </row>
    <row r="71" spans="1:9" x14ac:dyDescent="0.25">
      <c r="A71" s="2">
        <f ca="1">RANK(I71,$I$6:$I$475,0)</f>
        <v>64</v>
      </c>
      <c r="B71" s="1" t="s">
        <v>298</v>
      </c>
      <c r="C71" s="18">
        <v>45172</v>
      </c>
      <c r="D71" s="1" t="s">
        <v>69</v>
      </c>
      <c r="E71" s="1" t="s">
        <v>22</v>
      </c>
      <c r="F71" s="1">
        <v>15</v>
      </c>
      <c r="G71" s="1">
        <v>7</v>
      </c>
      <c r="H71" s="1">
        <f>SUM(F71:G71)</f>
        <v>22</v>
      </c>
      <c r="I71" s="5">
        <f ca="1">H71-(ROUNDDOWN((($G$1-C71)/365),1))</f>
        <v>19</v>
      </c>
    </row>
    <row r="72" spans="1:9" x14ac:dyDescent="0.25">
      <c r="A72" s="2">
        <f ca="1">RANK(I72,$I$6:$I$475,0)</f>
        <v>64</v>
      </c>
      <c r="B72" s="29" t="s">
        <v>527</v>
      </c>
      <c r="C72" s="18">
        <v>46264</v>
      </c>
      <c r="D72" s="1" t="s">
        <v>68</v>
      </c>
      <c r="E72" s="1" t="s">
        <v>17</v>
      </c>
      <c r="F72" s="1">
        <v>11</v>
      </c>
      <c r="G72" s="1">
        <v>8</v>
      </c>
      <c r="H72" s="1">
        <f>SUM(F72:G72)</f>
        <v>19</v>
      </c>
      <c r="I72" s="5">
        <f ca="1">H72-(ROUNDDOWN((($G$1-C72)/365),1))</f>
        <v>19</v>
      </c>
    </row>
    <row r="73" spans="1:9" x14ac:dyDescent="0.25">
      <c r="A73" s="2">
        <f ca="1">RANK(I73,$I$6:$I$475,0)</f>
        <v>64</v>
      </c>
      <c r="B73" s="1" t="s">
        <v>530</v>
      </c>
      <c r="C73" s="18">
        <v>46271</v>
      </c>
      <c r="D73" s="1" t="s">
        <v>236</v>
      </c>
      <c r="E73" s="1" t="s">
        <v>20</v>
      </c>
      <c r="F73" s="1">
        <v>14</v>
      </c>
      <c r="G73" s="1">
        <v>5</v>
      </c>
      <c r="H73" s="1">
        <f>SUM(F73:G73)</f>
        <v>19</v>
      </c>
      <c r="I73" s="5">
        <f ca="1">H73-(ROUNDDOWN((($G$1-C73)/365),1))</f>
        <v>19</v>
      </c>
    </row>
    <row r="74" spans="1:9" x14ac:dyDescent="0.25">
      <c r="A74" s="2">
        <f ca="1">RANK(I74,$I$6:$I$475,0)</f>
        <v>69</v>
      </c>
      <c r="B74" s="29" t="s">
        <v>356</v>
      </c>
      <c r="C74" s="18">
        <v>45165</v>
      </c>
      <c r="D74" s="1" t="s">
        <v>67</v>
      </c>
      <c r="E74" s="1" t="s">
        <v>22</v>
      </c>
      <c r="F74" s="1">
        <v>16</v>
      </c>
      <c r="G74" s="1">
        <v>6</v>
      </c>
      <c r="H74" s="1">
        <f>SUM(F74:G74)</f>
        <v>22</v>
      </c>
      <c r="I74" s="5">
        <f ca="1">H74-(ROUNDDOWN((($G$1-C74)/365),1))</f>
        <v>18.899999999999999</v>
      </c>
    </row>
    <row r="75" spans="1:9" x14ac:dyDescent="0.25">
      <c r="A75" s="2">
        <f ca="1">RANK(I75,$I$6:$I$475,0)</f>
        <v>69</v>
      </c>
      <c r="B75" s="1" t="s">
        <v>363</v>
      </c>
      <c r="C75" s="18">
        <v>45515</v>
      </c>
      <c r="D75" s="1" t="s">
        <v>68</v>
      </c>
      <c r="E75" s="1" t="s">
        <v>22</v>
      </c>
      <c r="F75" s="1">
        <v>13</v>
      </c>
      <c r="G75" s="1">
        <v>8</v>
      </c>
      <c r="H75" s="1">
        <f>SUM(F75:G75)</f>
        <v>21</v>
      </c>
      <c r="I75" s="5">
        <f ca="1">H75-(ROUNDDOWN((($G$1-C75)/365),1))</f>
        <v>18.899999999999999</v>
      </c>
    </row>
    <row r="76" spans="1:9" x14ac:dyDescent="0.25">
      <c r="A76" s="2">
        <f ca="1">RANK(I76,$I$6:$I$475,0)</f>
        <v>69</v>
      </c>
      <c r="B76" s="29" t="s">
        <v>21</v>
      </c>
      <c r="C76" s="18">
        <v>44409</v>
      </c>
      <c r="D76" s="1" t="s">
        <v>71</v>
      </c>
      <c r="E76" s="1" t="s">
        <v>22</v>
      </c>
      <c r="F76" s="1">
        <v>16</v>
      </c>
      <c r="G76" s="1">
        <v>8</v>
      </c>
      <c r="H76" s="1">
        <f>SUM(F76:G76)</f>
        <v>24</v>
      </c>
      <c r="I76" s="5">
        <f ca="1">H76-(ROUNDDOWN((($G$1-C76)/365),1))</f>
        <v>18.899999999999999</v>
      </c>
    </row>
    <row r="77" spans="1:9" x14ac:dyDescent="0.25">
      <c r="A77" s="2">
        <f ca="1">RANK(I77,$I$6:$I$475,0)</f>
        <v>69</v>
      </c>
      <c r="B77" s="29" t="s">
        <v>19</v>
      </c>
      <c r="C77" s="18">
        <v>44409</v>
      </c>
      <c r="D77" s="1" t="s">
        <v>66</v>
      </c>
      <c r="E77" s="1" t="s">
        <v>20</v>
      </c>
      <c r="F77" s="1">
        <v>15</v>
      </c>
      <c r="G77" s="1">
        <v>9</v>
      </c>
      <c r="H77" s="1">
        <f>SUM(F77:G77)</f>
        <v>24</v>
      </c>
      <c r="I77" s="5">
        <f ca="1">H77-(ROUNDDOWN((($G$1-C77)/365),1))</f>
        <v>18.899999999999999</v>
      </c>
    </row>
    <row r="78" spans="1:9" x14ac:dyDescent="0.25">
      <c r="A78" s="2">
        <f ca="1">RANK(I78,$I$6:$I$475,0)</f>
        <v>69</v>
      </c>
      <c r="B78" s="1" t="s">
        <v>522</v>
      </c>
      <c r="C78" s="18">
        <v>46229</v>
      </c>
      <c r="D78" s="1" t="s">
        <v>236</v>
      </c>
      <c r="E78" s="1" t="s">
        <v>17</v>
      </c>
      <c r="F78" s="1">
        <v>13</v>
      </c>
      <c r="G78" s="1">
        <v>6</v>
      </c>
      <c r="H78" s="1">
        <f>SUM(F78:G78)</f>
        <v>19</v>
      </c>
      <c r="I78" s="5">
        <f ca="1">H78-(ROUNDDOWN((($G$1-C78)/365),1))</f>
        <v>18.899999999999999</v>
      </c>
    </row>
    <row r="79" spans="1:9" x14ac:dyDescent="0.25">
      <c r="A79" s="2">
        <f ca="1">RANK(I79,$I$6:$I$475,0)</f>
        <v>74</v>
      </c>
      <c r="B79" s="29" t="s">
        <v>446</v>
      </c>
      <c r="C79" s="18">
        <v>45851</v>
      </c>
      <c r="D79" s="1" t="s">
        <v>377</v>
      </c>
      <c r="E79" s="1" t="s">
        <v>22</v>
      </c>
      <c r="F79" s="1">
        <v>14</v>
      </c>
      <c r="G79" s="1">
        <v>6</v>
      </c>
      <c r="H79" s="1">
        <f>SUM(F79:G79)</f>
        <v>20</v>
      </c>
      <c r="I79" s="5">
        <f ca="1">H79-(ROUNDDOWN((($G$1-C79)/365),1))</f>
        <v>18.8</v>
      </c>
    </row>
    <row r="80" spans="1:9" x14ac:dyDescent="0.25">
      <c r="A80" s="2">
        <f ca="1">RANK(I80,$I$6:$I$475,0)</f>
        <v>74</v>
      </c>
      <c r="B80" s="29" t="s">
        <v>224</v>
      </c>
      <c r="C80" s="18">
        <v>44752</v>
      </c>
      <c r="D80" s="1" t="s">
        <v>71</v>
      </c>
      <c r="E80" s="1" t="s">
        <v>17</v>
      </c>
      <c r="F80" s="1">
        <v>15</v>
      </c>
      <c r="G80" s="1">
        <v>8</v>
      </c>
      <c r="H80" s="1">
        <f>SUM(F80:G80)</f>
        <v>23</v>
      </c>
      <c r="I80" s="5">
        <f ca="1">H80-(ROUNDDOWN((($G$1-C80)/365),1))</f>
        <v>18.8</v>
      </c>
    </row>
    <row r="81" spans="1:9" x14ac:dyDescent="0.25">
      <c r="A81" s="2">
        <f ca="1">RANK(I81,$I$6:$I$475,0)</f>
        <v>76</v>
      </c>
      <c r="B81" s="1" t="s">
        <v>285</v>
      </c>
      <c r="C81" s="18">
        <v>45081</v>
      </c>
      <c r="D81" s="1" t="s">
        <v>74</v>
      </c>
      <c r="E81" s="1" t="s">
        <v>22</v>
      </c>
      <c r="F81" s="1">
        <v>15</v>
      </c>
      <c r="G81" s="1">
        <v>7</v>
      </c>
      <c r="H81" s="1">
        <f>SUM(F81:G81)</f>
        <v>22</v>
      </c>
      <c r="I81" s="5">
        <f ca="1">H81-(ROUNDDOWN((($G$1-C81)/365),1))</f>
        <v>18.7</v>
      </c>
    </row>
    <row r="82" spans="1:9" x14ac:dyDescent="0.25">
      <c r="A82" s="2">
        <f ca="1">RANK(I82,$I$6:$I$475,0)</f>
        <v>76</v>
      </c>
      <c r="B82" s="29" t="s">
        <v>432</v>
      </c>
      <c r="C82" s="18">
        <v>45795</v>
      </c>
      <c r="D82" s="1" t="s">
        <v>378</v>
      </c>
      <c r="E82" s="1" t="s">
        <v>17</v>
      </c>
      <c r="F82" s="1">
        <v>15</v>
      </c>
      <c r="G82" s="1">
        <v>5</v>
      </c>
      <c r="H82" s="1">
        <f>SUM(F82:G82)</f>
        <v>20</v>
      </c>
      <c r="I82" s="5">
        <f ca="1">H82-(ROUNDDOWN((($G$1-C82)/365),1))</f>
        <v>18.7</v>
      </c>
    </row>
    <row r="83" spans="1:9" x14ac:dyDescent="0.25">
      <c r="A83" s="2">
        <f ca="1">RANK(I83,$I$6:$I$475,0)</f>
        <v>76</v>
      </c>
      <c r="B83" s="29" t="s">
        <v>513</v>
      </c>
      <c r="C83" s="18">
        <v>46159</v>
      </c>
      <c r="D83" s="1" t="s">
        <v>483</v>
      </c>
      <c r="E83" s="1" t="s">
        <v>33</v>
      </c>
      <c r="F83" s="1">
        <v>14</v>
      </c>
      <c r="G83" s="1">
        <v>5</v>
      </c>
      <c r="H83" s="1">
        <f>SUM(F83:G83)</f>
        <v>19</v>
      </c>
      <c r="I83" s="5">
        <f ca="1">H83-(ROUNDDOWN((($G$1-C83)/365),1))</f>
        <v>18.7</v>
      </c>
    </row>
    <row r="84" spans="1:9" x14ac:dyDescent="0.25">
      <c r="A84" s="2">
        <f ca="1">RANK(I84,$I$6:$I$475,0)</f>
        <v>79</v>
      </c>
      <c r="B84" s="1" t="s">
        <v>353</v>
      </c>
      <c r="C84" s="18">
        <v>45053</v>
      </c>
      <c r="D84" s="1" t="s">
        <v>67</v>
      </c>
      <c r="E84" s="1" t="s">
        <v>17</v>
      </c>
      <c r="F84" s="1">
        <v>15</v>
      </c>
      <c r="G84" s="1">
        <v>7</v>
      </c>
      <c r="H84" s="1">
        <f>SUM(F84:G84)</f>
        <v>22</v>
      </c>
      <c r="I84" s="5">
        <f ca="1">H84-(ROUNDDOWN((($G$1-C84)/365),1))</f>
        <v>18.600000000000001</v>
      </c>
    </row>
    <row r="85" spans="1:9" x14ac:dyDescent="0.25">
      <c r="A85" s="2">
        <f ca="1">RANK(I85,$I$6:$I$475,0)</f>
        <v>79</v>
      </c>
      <c r="B85" s="29" t="s">
        <v>121</v>
      </c>
      <c r="C85" s="18">
        <v>44318</v>
      </c>
      <c r="D85" s="1" t="s">
        <v>72</v>
      </c>
      <c r="E85" s="1" t="s">
        <v>17</v>
      </c>
      <c r="F85" s="1">
        <v>16</v>
      </c>
      <c r="G85" s="1">
        <v>8</v>
      </c>
      <c r="H85" s="1">
        <f>SUM(F85:G85)</f>
        <v>24</v>
      </c>
      <c r="I85" s="5">
        <f ca="1">H85-(ROUNDDOWN((($G$1-C85)/365),1))</f>
        <v>18.600000000000001</v>
      </c>
    </row>
    <row r="86" spans="1:9" x14ac:dyDescent="0.25">
      <c r="A86" s="2">
        <f ca="1">RANK(I86,$I$6:$I$475,0)</f>
        <v>79</v>
      </c>
      <c r="B86" s="1" t="s">
        <v>277</v>
      </c>
      <c r="C86" s="18">
        <v>45039</v>
      </c>
      <c r="D86" s="1" t="s">
        <v>73</v>
      </c>
      <c r="E86" s="1" t="s">
        <v>22</v>
      </c>
      <c r="F86" s="1">
        <v>15</v>
      </c>
      <c r="G86" s="1">
        <v>7</v>
      </c>
      <c r="H86" s="1">
        <f>SUM(F86:G86)</f>
        <v>22</v>
      </c>
      <c r="I86" s="5">
        <f ca="1">H86-(ROUNDDOWN((($G$1-C86)/365),1))</f>
        <v>18.600000000000001</v>
      </c>
    </row>
    <row r="87" spans="1:9" x14ac:dyDescent="0.25">
      <c r="A87" s="2">
        <f ca="1">RANK(I87,$I$6:$I$475,0)</f>
        <v>79</v>
      </c>
      <c r="B87" s="29" t="s">
        <v>425</v>
      </c>
      <c r="C87" s="18">
        <v>45764</v>
      </c>
      <c r="D87" s="1" t="s">
        <v>67</v>
      </c>
      <c r="E87" s="1" t="s">
        <v>33</v>
      </c>
      <c r="F87" s="1">
        <v>13</v>
      </c>
      <c r="G87" s="1">
        <v>7</v>
      </c>
      <c r="H87" s="1">
        <f>SUM(F87:G87)</f>
        <v>20</v>
      </c>
      <c r="I87" s="5">
        <f ca="1">H87-(ROUNDDOWN((($G$1-C87)/365),1))</f>
        <v>18.600000000000001</v>
      </c>
    </row>
    <row r="88" spans="1:9" x14ac:dyDescent="0.25">
      <c r="A88" s="2">
        <f ca="1">RANK(I88,$I$6:$I$475,0)</f>
        <v>79</v>
      </c>
      <c r="B88" s="29" t="s">
        <v>507</v>
      </c>
      <c r="C88" s="18">
        <v>46131</v>
      </c>
      <c r="D88" s="1" t="s">
        <v>266</v>
      </c>
      <c r="E88" s="1" t="s">
        <v>22</v>
      </c>
      <c r="F88" s="1">
        <v>14</v>
      </c>
      <c r="G88" s="1">
        <v>5</v>
      </c>
      <c r="H88" s="1">
        <f>SUM(F88:G88)</f>
        <v>19</v>
      </c>
      <c r="I88" s="5">
        <f ca="1">H88-(ROUNDDOWN((($G$1-C88)/365),1))</f>
        <v>18.600000000000001</v>
      </c>
    </row>
    <row r="89" spans="1:9" x14ac:dyDescent="0.25">
      <c r="A89" s="2">
        <f ca="1">RANK(I89,$I$6:$I$475,0)</f>
        <v>79</v>
      </c>
      <c r="B89" s="1" t="s">
        <v>504</v>
      </c>
      <c r="C89" s="18">
        <v>46124</v>
      </c>
      <c r="D89" s="1" t="s">
        <v>483</v>
      </c>
      <c r="E89" s="1" t="s">
        <v>17</v>
      </c>
      <c r="F89" s="1">
        <v>13</v>
      </c>
      <c r="G89" s="1">
        <v>6</v>
      </c>
      <c r="H89" s="1">
        <f>SUM(F89:G89)</f>
        <v>19</v>
      </c>
      <c r="I89" s="5">
        <f ca="1">H89-(ROUNDDOWN((($G$1-C89)/365),1))</f>
        <v>18.600000000000001</v>
      </c>
    </row>
    <row r="90" spans="1:9" x14ac:dyDescent="0.25">
      <c r="A90" s="2">
        <f ca="1">RANK(I90,$I$6:$I$475,0)</f>
        <v>79</v>
      </c>
      <c r="B90" s="1" t="s">
        <v>502</v>
      </c>
      <c r="C90" s="18">
        <v>46117</v>
      </c>
      <c r="D90" s="1" t="s">
        <v>378</v>
      </c>
      <c r="E90" s="1" t="s">
        <v>17</v>
      </c>
      <c r="F90" s="1">
        <v>13</v>
      </c>
      <c r="G90" s="1">
        <v>6</v>
      </c>
      <c r="H90" s="1">
        <f>SUM(F90:G90)</f>
        <v>19</v>
      </c>
      <c r="I90" s="5">
        <f ca="1">H90-(ROUNDDOWN((($G$1-C90)/365),1))</f>
        <v>18.600000000000001</v>
      </c>
    </row>
    <row r="91" spans="1:9" x14ac:dyDescent="0.25">
      <c r="A91" s="2">
        <f ca="1">RANK(I91,$I$6:$I$475,0)</f>
        <v>86</v>
      </c>
      <c r="B91" s="1" t="s">
        <v>204</v>
      </c>
      <c r="C91" s="18">
        <v>44647</v>
      </c>
      <c r="D91" s="1" t="s">
        <v>69</v>
      </c>
      <c r="E91" s="1" t="s">
        <v>22</v>
      </c>
      <c r="F91" s="1">
        <v>15</v>
      </c>
      <c r="G91" s="1">
        <v>8</v>
      </c>
      <c r="H91" s="1">
        <f>SUM(F91:G91)</f>
        <v>23</v>
      </c>
      <c r="I91" s="5">
        <f ca="1">H91-(ROUNDDOWN((($G$1-C91)/365),1))</f>
        <v>18.5</v>
      </c>
    </row>
    <row r="92" spans="1:9" x14ac:dyDescent="0.25">
      <c r="A92" s="2">
        <f ca="1">RANK(I92,$I$6:$I$475,0)</f>
        <v>86</v>
      </c>
      <c r="B92" s="29" t="s">
        <v>137</v>
      </c>
      <c r="C92" s="18">
        <v>45011</v>
      </c>
      <c r="D92" s="1" t="s">
        <v>70</v>
      </c>
      <c r="E92" s="1" t="s">
        <v>17</v>
      </c>
      <c r="F92" s="1">
        <v>16</v>
      </c>
      <c r="G92" s="1">
        <v>6</v>
      </c>
      <c r="H92" s="1">
        <f>SUM(F92:G92)</f>
        <v>22</v>
      </c>
      <c r="I92" s="5">
        <f ca="1">H92-(ROUNDDOWN((($G$1-C92)/365),1))</f>
        <v>18.5</v>
      </c>
    </row>
    <row r="93" spans="1:9" x14ac:dyDescent="0.25">
      <c r="A93" s="2">
        <f ca="1">RANK(I93,$I$6:$I$475,0)</f>
        <v>86</v>
      </c>
      <c r="B93" s="29" t="s">
        <v>272</v>
      </c>
      <c r="C93" s="18">
        <v>45004</v>
      </c>
      <c r="D93" s="1" t="s">
        <v>236</v>
      </c>
      <c r="E93" s="1" t="s">
        <v>22</v>
      </c>
      <c r="F93" s="1">
        <v>14</v>
      </c>
      <c r="G93" s="1">
        <v>8</v>
      </c>
      <c r="H93" s="1">
        <f>SUM(F93:G93)</f>
        <v>22</v>
      </c>
      <c r="I93" s="5">
        <f ca="1">H93-(ROUNDDOWN((($G$1-C93)/365),1))</f>
        <v>18.5</v>
      </c>
    </row>
    <row r="94" spans="1:9" x14ac:dyDescent="0.25">
      <c r="A94" s="2">
        <f ca="1">RANK(I94,$I$6:$I$475,0)</f>
        <v>89</v>
      </c>
      <c r="B94" s="1" t="s">
        <v>494</v>
      </c>
      <c r="C94" s="18">
        <v>46075</v>
      </c>
      <c r="D94" s="1" t="s">
        <v>378</v>
      </c>
      <c r="E94" s="1" t="s">
        <v>17</v>
      </c>
      <c r="F94" s="1">
        <v>14</v>
      </c>
      <c r="G94" s="1">
        <v>5</v>
      </c>
      <c r="H94" s="1">
        <f>SUM(F94:G94)</f>
        <v>19</v>
      </c>
      <c r="I94" s="5">
        <f ca="1">H94-(ROUNDDOWN((($G$1-C94)/365),1))</f>
        <v>18.399999999999999</v>
      </c>
    </row>
    <row r="95" spans="1:9" x14ac:dyDescent="0.25">
      <c r="A95" s="2">
        <f ca="1">RANK(I95,$I$6:$I$475,0)</f>
        <v>89</v>
      </c>
      <c r="B95" s="29" t="s">
        <v>493</v>
      </c>
      <c r="C95" s="18">
        <v>46068</v>
      </c>
      <c r="D95" s="1" t="s">
        <v>377</v>
      </c>
      <c r="E95" s="1" t="s">
        <v>22</v>
      </c>
      <c r="F95" s="1">
        <v>13</v>
      </c>
      <c r="G95" s="1">
        <v>6</v>
      </c>
      <c r="H95" s="1">
        <f>SUM(F95:G95)</f>
        <v>19</v>
      </c>
      <c r="I95" s="5">
        <f ca="1">H95-(ROUNDDOWN((($G$1-C95)/365),1))</f>
        <v>18.399999999999999</v>
      </c>
    </row>
    <row r="96" spans="1:9" x14ac:dyDescent="0.25">
      <c r="A96" s="2">
        <f ca="1">RANK(I96,$I$6:$I$475,0)</f>
        <v>89</v>
      </c>
      <c r="B96" s="1" t="s">
        <v>490</v>
      </c>
      <c r="C96" s="18">
        <v>46061</v>
      </c>
      <c r="D96" s="1" t="s">
        <v>71</v>
      </c>
      <c r="E96" s="1" t="s">
        <v>40</v>
      </c>
      <c r="F96" s="1">
        <v>13</v>
      </c>
      <c r="G96" s="1">
        <v>6</v>
      </c>
      <c r="H96" s="1">
        <f>SUM(F96:G96)</f>
        <v>19</v>
      </c>
      <c r="I96" s="5">
        <f ca="1">H96-(ROUNDDOWN((($G$1-C96)/365),1))</f>
        <v>18.399999999999999</v>
      </c>
    </row>
    <row r="97" spans="1:9" x14ac:dyDescent="0.25">
      <c r="A97" s="2">
        <f ca="1">RANK(I97,$I$6:$I$475,0)</f>
        <v>92</v>
      </c>
      <c r="B97" s="1" t="s">
        <v>88</v>
      </c>
      <c r="C97" s="18">
        <v>44577</v>
      </c>
      <c r="D97" s="1" t="s">
        <v>66</v>
      </c>
      <c r="E97" s="1" t="s">
        <v>33</v>
      </c>
      <c r="F97" s="1">
        <v>15</v>
      </c>
      <c r="G97" s="1">
        <v>8</v>
      </c>
      <c r="H97" s="1">
        <f>SUM(F97:G97)</f>
        <v>23</v>
      </c>
      <c r="I97" s="5">
        <f ca="1">H97-(ROUNDDOWN((($G$1-C97)/365),1))</f>
        <v>18.3</v>
      </c>
    </row>
    <row r="98" spans="1:9" ht="14.25" customHeight="1" x14ac:dyDescent="0.25">
      <c r="A98" s="2">
        <f ca="1">RANK(I98,$I$6:$I$475,0)</f>
        <v>92</v>
      </c>
      <c r="B98" s="29" t="s">
        <v>264</v>
      </c>
      <c r="C98" s="18">
        <v>44941</v>
      </c>
      <c r="D98" s="1" t="s">
        <v>66</v>
      </c>
      <c r="E98" s="1" t="s">
        <v>17</v>
      </c>
      <c r="F98" s="1">
        <v>16</v>
      </c>
      <c r="G98" s="1">
        <v>6</v>
      </c>
      <c r="H98" s="1">
        <f>SUM(F98:G98)</f>
        <v>22</v>
      </c>
      <c r="I98" s="5">
        <f ca="1">H98-(ROUNDDOWN((($G$1-C98)/365),1))</f>
        <v>18.3</v>
      </c>
    </row>
    <row r="99" spans="1:9" x14ac:dyDescent="0.25">
      <c r="A99" s="2">
        <f ca="1">RANK(I99,$I$6:$I$475,0)</f>
        <v>92</v>
      </c>
      <c r="B99" s="1" t="s">
        <v>480</v>
      </c>
      <c r="C99" s="18">
        <v>46033</v>
      </c>
      <c r="D99" s="1" t="s">
        <v>378</v>
      </c>
      <c r="E99" s="1" t="s">
        <v>17</v>
      </c>
      <c r="F99" s="1">
        <v>13</v>
      </c>
      <c r="G99" s="1">
        <v>6</v>
      </c>
      <c r="H99" s="1">
        <f>SUM(F99:G99)</f>
        <v>19</v>
      </c>
      <c r="I99" s="5">
        <f ca="1">H99-(ROUNDDOWN((($G$1-C99)/365),1))</f>
        <v>18.3</v>
      </c>
    </row>
    <row r="100" spans="1:9" x14ac:dyDescent="0.25">
      <c r="A100" s="2">
        <f ca="1">RANK(I100,$I$6:$I$475,0)</f>
        <v>92</v>
      </c>
      <c r="B100" s="1" t="s">
        <v>481</v>
      </c>
      <c r="C100" s="18">
        <v>46033</v>
      </c>
      <c r="D100" s="1" t="s">
        <v>378</v>
      </c>
      <c r="E100" s="1" t="s">
        <v>17</v>
      </c>
      <c r="F100" s="1">
        <v>14</v>
      </c>
      <c r="G100" s="1">
        <v>5</v>
      </c>
      <c r="H100" s="1">
        <f>SUM(F100:G100)</f>
        <v>19</v>
      </c>
      <c r="I100" s="5">
        <f ca="1">H100-(ROUNDDOWN((($G$1-C100)/365),1))</f>
        <v>18.3</v>
      </c>
    </row>
    <row r="101" spans="1:9" x14ac:dyDescent="0.25">
      <c r="A101" s="2">
        <f ca="1">RANK(I101,$I$6:$I$475,0)</f>
        <v>92</v>
      </c>
      <c r="B101" s="29" t="s">
        <v>185</v>
      </c>
      <c r="C101" s="18">
        <v>44570</v>
      </c>
      <c r="D101" s="1" t="s">
        <v>184</v>
      </c>
      <c r="E101" s="1" t="s">
        <v>22</v>
      </c>
      <c r="F101" s="1">
        <v>17</v>
      </c>
      <c r="G101" s="1">
        <v>6</v>
      </c>
      <c r="H101" s="1">
        <f>SUM(F101:G101)</f>
        <v>23</v>
      </c>
      <c r="I101" s="5">
        <f ca="1">H101-(ROUNDDOWN((($G$1-C101)/365),1))</f>
        <v>18.3</v>
      </c>
    </row>
    <row r="102" spans="1:9" x14ac:dyDescent="0.25">
      <c r="A102" s="2">
        <f ca="1">RANK(I102,$I$6:$I$475,0)</f>
        <v>92</v>
      </c>
      <c r="B102" s="1" t="s">
        <v>321</v>
      </c>
      <c r="C102" s="18">
        <v>45291</v>
      </c>
      <c r="D102" s="1" t="s">
        <v>307</v>
      </c>
      <c r="E102" s="1" t="s">
        <v>22</v>
      </c>
      <c r="F102" s="1">
        <v>15</v>
      </c>
      <c r="G102" s="1">
        <v>6</v>
      </c>
      <c r="H102" s="1">
        <f>SUM(F102:G102)</f>
        <v>21</v>
      </c>
      <c r="I102" s="5">
        <f ca="1">H102-(ROUNDDOWN((($G$1-C102)/365),1))</f>
        <v>18.3</v>
      </c>
    </row>
    <row r="103" spans="1:9" x14ac:dyDescent="0.25">
      <c r="A103" s="2">
        <f ca="1">RANK(I103,$I$6:$I$475,0)</f>
        <v>92</v>
      </c>
      <c r="B103" s="1" t="s">
        <v>397</v>
      </c>
      <c r="C103" s="18">
        <v>45648</v>
      </c>
      <c r="D103" s="1" t="s">
        <v>149</v>
      </c>
      <c r="E103" s="1" t="s">
        <v>17</v>
      </c>
      <c r="F103" s="1">
        <v>16</v>
      </c>
      <c r="G103" s="1">
        <v>4</v>
      </c>
      <c r="H103" s="1">
        <f>SUM(F103:G103)</f>
        <v>20</v>
      </c>
      <c r="I103" s="5">
        <f ca="1">H103-(ROUNDDOWN((($G$1-C103)/365),1))</f>
        <v>18.3</v>
      </c>
    </row>
    <row r="104" spans="1:9" x14ac:dyDescent="0.25">
      <c r="A104" s="2">
        <f ca="1">RANK(I104,$I$6:$I$475,0)</f>
        <v>99</v>
      </c>
      <c r="B104" s="29" t="s">
        <v>318</v>
      </c>
      <c r="C104" s="18">
        <v>45270</v>
      </c>
      <c r="D104" s="1" t="s">
        <v>72</v>
      </c>
      <c r="E104" s="1" t="s">
        <v>17</v>
      </c>
      <c r="F104" s="1">
        <v>15</v>
      </c>
      <c r="G104" s="1">
        <v>6</v>
      </c>
      <c r="H104" s="1">
        <f>SUM(F104:G104)</f>
        <v>21</v>
      </c>
      <c r="I104" s="5">
        <f ca="1">H104-(ROUNDDOWN((($G$1-C104)/365),1))</f>
        <v>18.2</v>
      </c>
    </row>
    <row r="105" spans="1:9" x14ac:dyDescent="0.25">
      <c r="A105" s="2">
        <f ca="1">RANK(I105,$I$6:$I$475,0)</f>
        <v>99</v>
      </c>
      <c r="B105" s="29" t="s">
        <v>85</v>
      </c>
      <c r="C105" s="18">
        <v>44171</v>
      </c>
      <c r="D105" s="1" t="s">
        <v>69</v>
      </c>
      <c r="E105" s="1" t="s">
        <v>22</v>
      </c>
      <c r="F105" s="1">
        <v>16</v>
      </c>
      <c r="G105" s="1">
        <v>8</v>
      </c>
      <c r="H105" s="1">
        <f>SUM(F105:G105)</f>
        <v>24</v>
      </c>
      <c r="I105" s="5">
        <f ca="1">H105-(ROUNDDOWN((($G$1-C105)/365),1))</f>
        <v>18.2</v>
      </c>
    </row>
    <row r="106" spans="1:9" x14ac:dyDescent="0.25">
      <c r="A106" s="2">
        <f ca="1">RANK(I106,$I$6:$I$475,0)</f>
        <v>99</v>
      </c>
      <c r="B106" s="1" t="s">
        <v>253</v>
      </c>
      <c r="C106" s="18">
        <v>44885</v>
      </c>
      <c r="D106" s="1" t="s">
        <v>74</v>
      </c>
      <c r="E106" s="1" t="s">
        <v>22</v>
      </c>
      <c r="F106" s="1">
        <v>16</v>
      </c>
      <c r="G106" s="1">
        <v>6</v>
      </c>
      <c r="H106" s="1">
        <f>SUM(F106:G106)</f>
        <v>22</v>
      </c>
      <c r="I106" s="5">
        <f ca="1">H106-(ROUNDDOWN((($G$1-C106)/365),1))</f>
        <v>18.2</v>
      </c>
    </row>
    <row r="107" spans="1:9" x14ac:dyDescent="0.25">
      <c r="A107" s="2">
        <f ca="1">RANK(I107,$I$6:$I$475,0)</f>
        <v>99</v>
      </c>
      <c r="B107" s="29" t="s">
        <v>176</v>
      </c>
      <c r="C107" s="18">
        <v>44514</v>
      </c>
      <c r="D107" s="1" t="s">
        <v>71</v>
      </c>
      <c r="E107" s="1" t="s">
        <v>17</v>
      </c>
      <c r="F107" s="1">
        <v>16</v>
      </c>
      <c r="G107" s="1">
        <v>7</v>
      </c>
      <c r="H107" s="1">
        <f>SUM(F107:G107)</f>
        <v>23</v>
      </c>
      <c r="I107" s="5">
        <f ca="1">H107-(ROUNDDOWN((($G$1-C107)/365),1))</f>
        <v>18.2</v>
      </c>
    </row>
    <row r="108" spans="1:9" x14ac:dyDescent="0.25">
      <c r="A108" s="2">
        <f ca="1">RANK(I108,$I$6:$I$475,0)</f>
        <v>103</v>
      </c>
      <c r="B108" s="29" t="s">
        <v>467</v>
      </c>
      <c r="C108" s="18">
        <v>45969</v>
      </c>
      <c r="D108" s="1" t="s">
        <v>67</v>
      </c>
      <c r="E108" s="1" t="s">
        <v>17</v>
      </c>
      <c r="F108" s="1">
        <v>12</v>
      </c>
      <c r="G108" s="1">
        <v>7</v>
      </c>
      <c r="H108" s="1">
        <f>SUM(F108:G108)</f>
        <v>19</v>
      </c>
      <c r="I108" s="5">
        <f ca="1">H108-(ROUNDDOWN((($G$1-C108)/365),1))</f>
        <v>18.100000000000001</v>
      </c>
    </row>
    <row r="109" spans="1:9" x14ac:dyDescent="0.25">
      <c r="A109" s="2">
        <f ca="1">RANK(I109,$I$6:$I$475,0)</f>
        <v>103</v>
      </c>
      <c r="B109" s="1" t="s">
        <v>175</v>
      </c>
      <c r="C109" s="18">
        <v>44507</v>
      </c>
      <c r="D109" s="1" t="s">
        <v>71</v>
      </c>
      <c r="E109" s="1" t="s">
        <v>22</v>
      </c>
      <c r="F109" s="1">
        <v>15</v>
      </c>
      <c r="G109" s="1">
        <v>8</v>
      </c>
      <c r="H109" s="1">
        <f>SUM(F109:G109)</f>
        <v>23</v>
      </c>
      <c r="I109" s="5">
        <f ca="1">H109-(ROUNDDOWN((($G$1-C109)/365),1))</f>
        <v>18.100000000000001</v>
      </c>
    </row>
    <row r="110" spans="1:9" x14ac:dyDescent="0.25">
      <c r="A110" s="2">
        <f ca="1">RANK(I110,$I$6:$I$475,0)</f>
        <v>103</v>
      </c>
      <c r="B110" s="1" t="s">
        <v>465</v>
      </c>
      <c r="C110" s="18">
        <v>45963</v>
      </c>
      <c r="D110" s="1" t="s">
        <v>74</v>
      </c>
      <c r="E110" s="1" t="s">
        <v>22</v>
      </c>
      <c r="F110" s="1">
        <v>13</v>
      </c>
      <c r="G110" s="1">
        <v>6</v>
      </c>
      <c r="H110" s="1">
        <f>SUM(F110:G110)</f>
        <v>19</v>
      </c>
      <c r="I110" s="5">
        <f ca="1">H110-(ROUNDDOWN((($G$1-C110)/365),1))</f>
        <v>18.100000000000001</v>
      </c>
    </row>
    <row r="111" spans="1:9" x14ac:dyDescent="0.25">
      <c r="A111" s="2">
        <f ca="1">RANK(I111,$I$6:$I$475,0)</f>
        <v>103</v>
      </c>
      <c r="B111" s="1" t="s">
        <v>466</v>
      </c>
      <c r="C111" s="18">
        <v>45963</v>
      </c>
      <c r="D111" s="1" t="s">
        <v>378</v>
      </c>
      <c r="E111" s="1" t="s">
        <v>17</v>
      </c>
      <c r="F111" s="1">
        <v>12</v>
      </c>
      <c r="G111" s="1">
        <v>7</v>
      </c>
      <c r="H111" s="1">
        <f>SUM(F111:G111)</f>
        <v>19</v>
      </c>
      <c r="I111" s="5">
        <f ca="1">H111-(ROUNDDOWN((($G$1-C111)/365),1))</f>
        <v>18.100000000000001</v>
      </c>
    </row>
    <row r="112" spans="1:9" x14ac:dyDescent="0.25">
      <c r="A112" s="2">
        <f ca="1">RANK(I112,$I$6:$I$475,0)</f>
        <v>103</v>
      </c>
      <c r="B112" s="29" t="s">
        <v>306</v>
      </c>
      <c r="C112" s="18">
        <v>45214</v>
      </c>
      <c r="D112" s="1" t="s">
        <v>72</v>
      </c>
      <c r="E112" s="1" t="s">
        <v>17</v>
      </c>
      <c r="F112" s="1">
        <v>14</v>
      </c>
      <c r="G112" s="1">
        <v>7</v>
      </c>
      <c r="H112" s="1">
        <f>SUM(F112:G112)</f>
        <v>21</v>
      </c>
      <c r="I112" s="5">
        <f ca="1">H112-(ROUNDDOWN((($G$1-C112)/365),1))</f>
        <v>18.100000000000001</v>
      </c>
    </row>
    <row r="113" spans="1:9" x14ac:dyDescent="0.25">
      <c r="A113" s="2">
        <f ca="1">RANK(I113,$I$6:$I$475,0)</f>
        <v>108</v>
      </c>
      <c r="B113" s="29" t="s">
        <v>461</v>
      </c>
      <c r="C113" s="18">
        <v>45925</v>
      </c>
      <c r="D113" s="1" t="s">
        <v>67</v>
      </c>
      <c r="E113" s="1" t="s">
        <v>20</v>
      </c>
      <c r="F113" s="1">
        <v>13</v>
      </c>
      <c r="G113" s="1">
        <v>6</v>
      </c>
      <c r="H113" s="1">
        <f>SUM(F113:G113)</f>
        <v>19</v>
      </c>
      <c r="I113" s="5">
        <f ca="1">H113-(ROUNDDOWN((($G$1-C113)/365),1))</f>
        <v>18</v>
      </c>
    </row>
    <row r="114" spans="1:9" x14ac:dyDescent="0.25">
      <c r="A114" s="2">
        <f ca="1">RANK(I114,$I$6:$I$475,0)</f>
        <v>108</v>
      </c>
      <c r="B114" s="1" t="s">
        <v>459</v>
      </c>
      <c r="C114" s="18">
        <v>45921</v>
      </c>
      <c r="D114" s="1" t="s">
        <v>266</v>
      </c>
      <c r="E114" s="1" t="s">
        <v>17</v>
      </c>
      <c r="F114" s="1">
        <v>13</v>
      </c>
      <c r="G114" s="1">
        <v>6</v>
      </c>
      <c r="H114" s="1">
        <f>SUM(F114:G114)</f>
        <v>19</v>
      </c>
      <c r="I114" s="5">
        <f ca="1">H114-(ROUNDDOWN((($G$1-C114)/365),1))</f>
        <v>18</v>
      </c>
    </row>
    <row r="115" spans="1:9" x14ac:dyDescent="0.25">
      <c r="A115" s="2">
        <f ca="1">RANK(I115,$I$6:$I$475,0)</f>
        <v>108</v>
      </c>
      <c r="B115" s="1" t="s">
        <v>237</v>
      </c>
      <c r="C115" s="18">
        <v>44815</v>
      </c>
      <c r="D115" s="1" t="s">
        <v>236</v>
      </c>
      <c r="E115" s="1" t="s">
        <v>33</v>
      </c>
      <c r="F115" s="1">
        <v>15</v>
      </c>
      <c r="G115" s="1">
        <v>7</v>
      </c>
      <c r="H115" s="1">
        <f>SUM(F115:G115)</f>
        <v>22</v>
      </c>
      <c r="I115" s="5">
        <f ca="1">H115-(ROUNDDOWN((($G$1-C115)/365),1))</f>
        <v>18</v>
      </c>
    </row>
    <row r="116" spans="1:9" x14ac:dyDescent="0.25">
      <c r="A116" s="2">
        <f ca="1">RANK(I116,$I$6:$I$475,0)</f>
        <v>108</v>
      </c>
      <c r="B116" s="1" t="s">
        <v>532</v>
      </c>
      <c r="C116" s="18">
        <v>46285</v>
      </c>
      <c r="D116" s="1" t="s">
        <v>483</v>
      </c>
      <c r="E116" s="1" t="s">
        <v>20</v>
      </c>
      <c r="F116" s="1">
        <v>12</v>
      </c>
      <c r="G116" s="1">
        <v>6</v>
      </c>
      <c r="H116" s="1">
        <f>SUM(F116:G116)</f>
        <v>18</v>
      </c>
      <c r="I116" s="5">
        <f ca="1">H116-(ROUNDDOWN((($G$1-C116)/365),1))</f>
        <v>18</v>
      </c>
    </row>
    <row r="117" spans="1:9" x14ac:dyDescent="0.25">
      <c r="A117" s="2">
        <f ca="1">RANK(I117,$I$6:$I$475,0)</f>
        <v>108</v>
      </c>
      <c r="B117" s="1" t="s">
        <v>533</v>
      </c>
      <c r="C117" s="18">
        <v>46285</v>
      </c>
      <c r="D117" s="1" t="s">
        <v>483</v>
      </c>
      <c r="E117" s="1" t="s">
        <v>22</v>
      </c>
      <c r="F117" s="1">
        <v>12</v>
      </c>
      <c r="G117" s="1">
        <v>6</v>
      </c>
      <c r="H117" s="1">
        <f>SUM(F117:G117)</f>
        <v>18</v>
      </c>
      <c r="I117" s="5">
        <f ca="1">H117-(ROUNDDOWN((($G$1-C117)/365),1))</f>
        <v>18</v>
      </c>
    </row>
    <row r="118" spans="1:9" x14ac:dyDescent="0.25">
      <c r="A118" s="2">
        <f ca="1">RANK(I118,$I$6:$I$475,0)</f>
        <v>108</v>
      </c>
      <c r="B118" s="1" t="s">
        <v>535</v>
      </c>
      <c r="C118" s="18">
        <v>46299</v>
      </c>
      <c r="D118" s="1" t="s">
        <v>378</v>
      </c>
      <c r="E118" s="1" t="s">
        <v>17</v>
      </c>
      <c r="F118" s="1">
        <v>13</v>
      </c>
      <c r="G118" s="1">
        <v>5</v>
      </c>
      <c r="H118" s="1">
        <f>SUM(F118:G118)</f>
        <v>18</v>
      </c>
      <c r="I118" s="5">
        <f ca="1">H118-(ROUNDDOWN((($G$1-C118)/365),1))</f>
        <v>18</v>
      </c>
    </row>
    <row r="119" spans="1:9" x14ac:dyDescent="0.25">
      <c r="A119" s="2">
        <f ca="1">RANK(I119,$I$6:$I$475,0)</f>
        <v>114</v>
      </c>
      <c r="B119" s="1" t="s">
        <v>144</v>
      </c>
      <c r="C119" s="18">
        <v>44423</v>
      </c>
      <c r="D119" s="1" t="s">
        <v>69</v>
      </c>
      <c r="E119" s="1" t="s">
        <v>22</v>
      </c>
      <c r="F119" s="1">
        <v>16</v>
      </c>
      <c r="G119" s="1">
        <v>7</v>
      </c>
      <c r="H119" s="1">
        <f>SUM(F119:G119)</f>
        <v>23</v>
      </c>
      <c r="I119" s="5">
        <f ca="1">H119-(ROUNDDOWN((($G$1-C119)/365),1))</f>
        <v>17.899999999999999</v>
      </c>
    </row>
    <row r="120" spans="1:9" x14ac:dyDescent="0.25">
      <c r="A120" s="2">
        <f ca="1">RANK(I120,$I$6:$I$475,0)</f>
        <v>114</v>
      </c>
      <c r="B120" s="1" t="s">
        <v>230</v>
      </c>
      <c r="C120" s="18">
        <v>44787</v>
      </c>
      <c r="D120" s="1" t="s">
        <v>69</v>
      </c>
      <c r="E120" s="1" t="s">
        <v>22</v>
      </c>
      <c r="F120" s="1">
        <v>14</v>
      </c>
      <c r="G120" s="1">
        <v>8</v>
      </c>
      <c r="H120" s="1">
        <f>SUM(F120:G120)</f>
        <v>22</v>
      </c>
      <c r="I120" s="5">
        <f ca="1">H120-(ROUNDDOWN((($G$1-C120)/365),1))</f>
        <v>17.899999999999999</v>
      </c>
    </row>
    <row r="121" spans="1:9" x14ac:dyDescent="0.25">
      <c r="A121" s="2">
        <f ca="1">RANK(I121,$I$6:$I$475,0)</f>
        <v>114</v>
      </c>
      <c r="B121" s="1" t="s">
        <v>231</v>
      </c>
      <c r="C121" s="18">
        <v>44787</v>
      </c>
      <c r="D121" s="1" t="s">
        <v>69</v>
      </c>
      <c r="E121" s="1" t="s">
        <v>17</v>
      </c>
      <c r="F121" s="1">
        <v>14</v>
      </c>
      <c r="G121" s="1">
        <v>8</v>
      </c>
      <c r="H121" s="1">
        <f>SUM(F121:G121)</f>
        <v>22</v>
      </c>
      <c r="I121" s="5">
        <f ca="1">H121-(ROUNDDOWN((($G$1-C121)/365),1))</f>
        <v>17.899999999999999</v>
      </c>
    </row>
    <row r="122" spans="1:9" x14ac:dyDescent="0.25">
      <c r="A122" s="2">
        <f ca="1">RANK(I122,$I$6:$I$475,0)</f>
        <v>114</v>
      </c>
      <c r="B122" s="29" t="s">
        <v>141</v>
      </c>
      <c r="C122" s="18">
        <v>44416</v>
      </c>
      <c r="D122" s="1" t="s">
        <v>69</v>
      </c>
      <c r="E122" s="1" t="s">
        <v>17</v>
      </c>
      <c r="F122" s="1">
        <v>16</v>
      </c>
      <c r="G122" s="1">
        <v>7</v>
      </c>
      <c r="H122" s="1">
        <f>SUM(F122:G122)</f>
        <v>23</v>
      </c>
      <c r="I122" s="5">
        <f ca="1">H122-(ROUNDDOWN((($G$1-C122)/365),1))</f>
        <v>17.899999999999999</v>
      </c>
    </row>
    <row r="123" spans="1:9" x14ac:dyDescent="0.25">
      <c r="A123" s="2">
        <f ca="1">RANK(I123,$I$6:$I$475,0)</f>
        <v>114</v>
      </c>
      <c r="B123" s="1" t="s">
        <v>64</v>
      </c>
      <c r="C123" s="18">
        <v>44409</v>
      </c>
      <c r="D123" s="1" t="s">
        <v>69</v>
      </c>
      <c r="E123" s="1" t="s">
        <v>17</v>
      </c>
      <c r="F123" s="1">
        <v>15</v>
      </c>
      <c r="G123" s="1">
        <v>8</v>
      </c>
      <c r="H123" s="1">
        <f>SUM(F123:G123)</f>
        <v>23</v>
      </c>
      <c r="I123" s="5">
        <f ca="1">H123-(ROUNDDOWN((($G$1-C123)/365),1))</f>
        <v>17.899999999999999</v>
      </c>
    </row>
    <row r="124" spans="1:9" x14ac:dyDescent="0.25">
      <c r="A124" s="2">
        <f ca="1">RANK(I124,$I$6:$I$475,0)</f>
        <v>114</v>
      </c>
      <c r="B124" s="1" t="s">
        <v>42</v>
      </c>
      <c r="C124" s="18">
        <v>44409</v>
      </c>
      <c r="D124" s="1" t="s">
        <v>68</v>
      </c>
      <c r="E124" s="1" t="s">
        <v>40</v>
      </c>
      <c r="F124" s="1">
        <v>16</v>
      </c>
      <c r="G124" s="1">
        <v>7</v>
      </c>
      <c r="H124" s="1">
        <f>SUM(F124:G124)</f>
        <v>23</v>
      </c>
      <c r="I124" s="5">
        <f ca="1">H124-(ROUNDDOWN((($G$1-C124)/365),1))</f>
        <v>17.899999999999999</v>
      </c>
    </row>
    <row r="125" spans="1:9" x14ac:dyDescent="0.25">
      <c r="A125" s="2">
        <f ca="1">RANK(I125,$I$6:$I$475,0)</f>
        <v>114</v>
      </c>
      <c r="B125" s="1" t="s">
        <v>41</v>
      </c>
      <c r="C125" s="18">
        <v>44409</v>
      </c>
      <c r="D125" s="1" t="s">
        <v>68</v>
      </c>
      <c r="E125" s="1" t="s">
        <v>40</v>
      </c>
      <c r="F125" s="1">
        <v>16</v>
      </c>
      <c r="G125" s="1">
        <v>7</v>
      </c>
      <c r="H125" s="1">
        <f>SUM(F125:G125)</f>
        <v>23</v>
      </c>
      <c r="I125" s="5">
        <f ca="1">H125-(ROUNDDOWN((($G$1-C125)/365),1))</f>
        <v>17.899999999999999</v>
      </c>
    </row>
    <row r="126" spans="1:9" x14ac:dyDescent="0.25">
      <c r="A126" s="2">
        <f ca="1">RANK(I126,$I$6:$I$475,0)</f>
        <v>114</v>
      </c>
      <c r="B126" s="1" t="s">
        <v>228</v>
      </c>
      <c r="C126" s="18">
        <v>44773</v>
      </c>
      <c r="D126" s="1" t="s">
        <v>68</v>
      </c>
      <c r="E126" s="1" t="s">
        <v>33</v>
      </c>
      <c r="F126" s="1">
        <v>15</v>
      </c>
      <c r="G126" s="1">
        <v>7</v>
      </c>
      <c r="H126" s="1">
        <f>SUM(F126:G126)</f>
        <v>22</v>
      </c>
      <c r="I126" s="5">
        <f ca="1">H126-(ROUNDDOWN((($G$1-C126)/365),1))</f>
        <v>17.899999999999999</v>
      </c>
    </row>
    <row r="127" spans="1:9" x14ac:dyDescent="0.25">
      <c r="A127" s="2">
        <f ca="1">RANK(I127,$I$6:$I$475,0)</f>
        <v>114</v>
      </c>
      <c r="B127" s="1" t="s">
        <v>227</v>
      </c>
      <c r="C127" s="18">
        <v>44773</v>
      </c>
      <c r="D127" s="1" t="s">
        <v>68</v>
      </c>
      <c r="E127" s="1" t="s">
        <v>20</v>
      </c>
      <c r="F127" s="1">
        <v>15</v>
      </c>
      <c r="G127" s="1">
        <v>7</v>
      </c>
      <c r="H127" s="1">
        <f>SUM(F127:G127)</f>
        <v>22</v>
      </c>
      <c r="I127" s="5">
        <f ca="1">H127-(ROUNDDOWN((($G$1-C127)/365),1))</f>
        <v>17.899999999999999</v>
      </c>
    </row>
    <row r="128" spans="1:9" x14ac:dyDescent="0.25">
      <c r="A128" s="2">
        <f ca="1">RANK(I128,$I$6:$I$475,0)</f>
        <v>123</v>
      </c>
      <c r="B128" s="1" t="s">
        <v>520</v>
      </c>
      <c r="C128" s="18">
        <v>46215</v>
      </c>
      <c r="D128" s="1" t="s">
        <v>483</v>
      </c>
      <c r="E128" s="1" t="s">
        <v>22</v>
      </c>
      <c r="F128" s="1">
        <v>13</v>
      </c>
      <c r="G128" s="1">
        <v>5</v>
      </c>
      <c r="H128" s="1">
        <f>SUM(F128:G128)</f>
        <v>18</v>
      </c>
      <c r="I128" s="5">
        <f ca="1">H128-(ROUNDDOWN((($G$1-C128)/365),1))</f>
        <v>17.8</v>
      </c>
    </row>
    <row r="129" spans="1:9" x14ac:dyDescent="0.25">
      <c r="A129" s="2">
        <f ca="1">RANK(I129,$I$6:$I$475,0)</f>
        <v>123</v>
      </c>
      <c r="B129" s="29" t="s">
        <v>292</v>
      </c>
      <c r="C129" s="18">
        <v>45109</v>
      </c>
      <c r="D129" s="1" t="s">
        <v>154</v>
      </c>
      <c r="E129" s="1" t="s">
        <v>22</v>
      </c>
      <c r="F129" s="1">
        <v>13</v>
      </c>
      <c r="G129" s="1">
        <v>8</v>
      </c>
      <c r="H129" s="1">
        <f>SUM(F129:G129)</f>
        <v>21</v>
      </c>
      <c r="I129" s="5">
        <f ca="1">H129-(ROUNDDOWN((($G$1-C129)/365),1))</f>
        <v>17.8</v>
      </c>
    </row>
    <row r="130" spans="1:9" x14ac:dyDescent="0.25">
      <c r="A130" s="2">
        <f ca="1">RANK(I130,$I$6:$I$475,0)</f>
        <v>123</v>
      </c>
      <c r="B130" s="1" t="s">
        <v>518</v>
      </c>
      <c r="C130" s="18">
        <v>46201</v>
      </c>
      <c r="D130" s="1" t="s">
        <v>378</v>
      </c>
      <c r="E130" s="1" t="s">
        <v>22</v>
      </c>
      <c r="F130" s="1">
        <v>12</v>
      </c>
      <c r="G130" s="1">
        <v>6</v>
      </c>
      <c r="H130" s="1">
        <f>SUM(F130:G130)</f>
        <v>18</v>
      </c>
      <c r="I130" s="5">
        <f ca="1">H130-(ROUNDDOWN((($G$1-C130)/365),1))</f>
        <v>17.8</v>
      </c>
    </row>
    <row r="131" spans="1:9" x14ac:dyDescent="0.25">
      <c r="A131" s="2">
        <f ca="1">RANK(I131,$I$6:$I$475,0)</f>
        <v>123</v>
      </c>
      <c r="B131" s="1" t="s">
        <v>218</v>
      </c>
      <c r="C131" s="18">
        <v>44731</v>
      </c>
      <c r="D131" s="1" t="s">
        <v>72</v>
      </c>
      <c r="E131" s="1" t="s">
        <v>17</v>
      </c>
      <c r="F131" s="1">
        <v>15</v>
      </c>
      <c r="G131" s="1">
        <v>7</v>
      </c>
      <c r="H131" s="1">
        <f>SUM(F131:G131)</f>
        <v>22</v>
      </c>
      <c r="I131" s="5">
        <f ca="1">H131-(ROUNDDOWN((($G$1-C131)/365),1))</f>
        <v>17.8</v>
      </c>
    </row>
    <row r="132" spans="1:9" x14ac:dyDescent="0.25">
      <c r="A132" s="2">
        <f ca="1">RANK(I132,$I$6:$I$475,0)</f>
        <v>127</v>
      </c>
      <c r="B132" s="29" t="s">
        <v>217</v>
      </c>
      <c r="C132" s="18">
        <v>44724</v>
      </c>
      <c r="D132" s="1" t="s">
        <v>131</v>
      </c>
      <c r="E132" s="1" t="s">
        <v>17</v>
      </c>
      <c r="F132" s="1">
        <v>15</v>
      </c>
      <c r="G132" s="1">
        <v>7</v>
      </c>
      <c r="H132" s="1">
        <f>SUM(F132:G132)</f>
        <v>22</v>
      </c>
      <c r="I132" s="5">
        <f ca="1">H132-(ROUNDDOWN((($G$1-C132)/365),1))</f>
        <v>17.7</v>
      </c>
    </row>
    <row r="133" spans="1:9" x14ac:dyDescent="0.25">
      <c r="A133" s="2">
        <f ca="1">RANK(I133,$I$6:$I$475,0)</f>
        <v>127</v>
      </c>
      <c r="B133" s="1" t="s">
        <v>437</v>
      </c>
      <c r="C133" s="18">
        <v>45816</v>
      </c>
      <c r="D133" s="1" t="s">
        <v>378</v>
      </c>
      <c r="E133" s="1" t="s">
        <v>22</v>
      </c>
      <c r="F133" s="1">
        <v>14</v>
      </c>
      <c r="G133" s="1">
        <v>5</v>
      </c>
      <c r="H133" s="1">
        <f>SUM(F133:G133)</f>
        <v>19</v>
      </c>
      <c r="I133" s="5">
        <f ca="1">H133-(ROUNDDOWN((($G$1-C133)/365),1))</f>
        <v>17.7</v>
      </c>
    </row>
    <row r="134" spans="1:9" x14ac:dyDescent="0.25">
      <c r="A134" s="2">
        <f ca="1">RANK(I134,$I$6:$I$475,0)</f>
        <v>127</v>
      </c>
      <c r="B134" s="1" t="s">
        <v>125</v>
      </c>
      <c r="C134" s="18">
        <v>44344</v>
      </c>
      <c r="D134" s="1" t="s">
        <v>71</v>
      </c>
      <c r="E134" s="1" t="s">
        <v>22</v>
      </c>
      <c r="F134" s="1">
        <v>15</v>
      </c>
      <c r="G134" s="1">
        <v>8</v>
      </c>
      <c r="H134" s="1">
        <f>SUM(F134:G134)</f>
        <v>23</v>
      </c>
      <c r="I134" s="5">
        <f ca="1">H134-(ROUNDDOWN((($G$1-C134)/365),1))</f>
        <v>17.7</v>
      </c>
    </row>
    <row r="135" spans="1:9" x14ac:dyDescent="0.25">
      <c r="A135" s="2">
        <f ca="1">RANK(I135,$I$6:$I$475,0)</f>
        <v>127</v>
      </c>
      <c r="B135" s="1" t="s">
        <v>126</v>
      </c>
      <c r="C135" s="18">
        <v>44344</v>
      </c>
      <c r="D135" s="1" t="s">
        <v>71</v>
      </c>
      <c r="E135" s="1" t="s">
        <v>22</v>
      </c>
      <c r="F135" s="1">
        <v>15</v>
      </c>
      <c r="G135" s="1">
        <v>8</v>
      </c>
      <c r="H135" s="1">
        <f>SUM(F135:G135)</f>
        <v>23</v>
      </c>
      <c r="I135" s="5">
        <f ca="1">H135-(ROUNDDOWN((($G$1-C135)/365),1))</f>
        <v>17.7</v>
      </c>
    </row>
    <row r="136" spans="1:9" x14ac:dyDescent="0.25">
      <c r="A136" s="2">
        <f ca="1">RANK(I136,$I$6:$I$475,0)</f>
        <v>127</v>
      </c>
      <c r="B136" s="1" t="s">
        <v>106</v>
      </c>
      <c r="C136" s="18">
        <v>44703</v>
      </c>
      <c r="D136" s="1" t="s">
        <v>69</v>
      </c>
      <c r="E136" s="1" t="s">
        <v>17</v>
      </c>
      <c r="F136" s="1">
        <v>15</v>
      </c>
      <c r="G136" s="1">
        <v>7</v>
      </c>
      <c r="H136" s="1">
        <f>SUM(F136:G136)</f>
        <v>22</v>
      </c>
      <c r="I136" s="5">
        <f ca="1">H136-(ROUNDDOWN((($G$1-C136)/365),1))</f>
        <v>17.7</v>
      </c>
    </row>
    <row r="137" spans="1:9" x14ac:dyDescent="0.25">
      <c r="A137" s="2">
        <f ca="1">RANK(I137,$I$6:$I$475,0)</f>
        <v>127</v>
      </c>
      <c r="B137" s="29" t="s">
        <v>210</v>
      </c>
      <c r="C137" s="18">
        <v>44696</v>
      </c>
      <c r="D137" s="1" t="s">
        <v>73</v>
      </c>
      <c r="E137" s="1" t="s">
        <v>22</v>
      </c>
      <c r="F137" s="1">
        <v>14</v>
      </c>
      <c r="G137" s="1">
        <v>8</v>
      </c>
      <c r="H137" s="1">
        <f>SUM(F137:G137)</f>
        <v>22</v>
      </c>
      <c r="I137" s="5">
        <f ca="1">H137-(ROUNDDOWN((($G$1-C137)/365),1))</f>
        <v>17.7</v>
      </c>
    </row>
    <row r="138" spans="1:9" x14ac:dyDescent="0.25">
      <c r="A138" s="2">
        <f ca="1">RANK(I138,$I$6:$I$475,0)</f>
        <v>127</v>
      </c>
      <c r="B138" s="29" t="s">
        <v>346</v>
      </c>
      <c r="C138" s="18">
        <v>45424</v>
      </c>
      <c r="D138" s="1" t="s">
        <v>378</v>
      </c>
      <c r="E138" s="1" t="s">
        <v>22</v>
      </c>
      <c r="F138" s="1">
        <v>15</v>
      </c>
      <c r="G138" s="1">
        <v>5</v>
      </c>
      <c r="H138" s="1">
        <f>SUM(F138:G138)</f>
        <v>20</v>
      </c>
      <c r="I138" s="5">
        <f ca="1">H138-(ROUNDDOWN((($G$1-C138)/365),1))</f>
        <v>17.7</v>
      </c>
    </row>
    <row r="139" spans="1:9" x14ac:dyDescent="0.25">
      <c r="A139" s="2">
        <f ca="1">RANK(I139,$I$6:$I$475,0)</f>
        <v>134</v>
      </c>
      <c r="B139" s="1" t="s">
        <v>430</v>
      </c>
      <c r="C139" s="18">
        <v>45781</v>
      </c>
      <c r="D139" s="1" t="s">
        <v>378</v>
      </c>
      <c r="E139" s="1" t="s">
        <v>22</v>
      </c>
      <c r="F139" s="1">
        <v>14</v>
      </c>
      <c r="G139" s="1">
        <v>5</v>
      </c>
      <c r="H139" s="1">
        <f>SUM(F139:G139)</f>
        <v>19</v>
      </c>
      <c r="I139" s="5">
        <f ca="1">H139-(ROUNDDOWN((($G$1-C139)/365),1))</f>
        <v>17.600000000000001</v>
      </c>
    </row>
    <row r="140" spans="1:9" x14ac:dyDescent="0.25">
      <c r="A140" s="2">
        <f ca="1">RANK(I140,$I$6:$I$475,0)</f>
        <v>134</v>
      </c>
      <c r="B140" s="1" t="s">
        <v>119</v>
      </c>
      <c r="C140" s="18">
        <v>44311</v>
      </c>
      <c r="D140" s="1" t="s">
        <v>72</v>
      </c>
      <c r="E140" s="1" t="s">
        <v>22</v>
      </c>
      <c r="F140" s="1">
        <v>16</v>
      </c>
      <c r="G140" s="1">
        <v>7</v>
      </c>
      <c r="H140" s="1">
        <f>SUM(F140:G140)</f>
        <v>23</v>
      </c>
      <c r="I140" s="5">
        <f ca="1">H140-(ROUNDDOWN((($G$1-C140)/365),1))</f>
        <v>17.600000000000001</v>
      </c>
    </row>
    <row r="141" spans="1:9" x14ac:dyDescent="0.25">
      <c r="A141" s="2">
        <f ca="1">RANK(I141,$I$6:$I$475,0)</f>
        <v>134</v>
      </c>
      <c r="B141" s="1" t="s">
        <v>508</v>
      </c>
      <c r="C141" s="18">
        <v>46138</v>
      </c>
      <c r="D141" s="1" t="s">
        <v>483</v>
      </c>
      <c r="E141" s="1" t="s">
        <v>22</v>
      </c>
      <c r="F141" s="1">
        <v>13</v>
      </c>
      <c r="G141" s="1">
        <v>5</v>
      </c>
      <c r="H141" s="1">
        <f>SUM(F141:G141)</f>
        <v>18</v>
      </c>
      <c r="I141" s="5">
        <f ca="1">H141-(ROUNDDOWN((($G$1-C141)/365),1))</f>
        <v>17.600000000000001</v>
      </c>
    </row>
    <row r="142" spans="1:9" x14ac:dyDescent="0.25">
      <c r="A142" s="2">
        <f ca="1">RANK(I142,$I$6:$I$475,0)</f>
        <v>134</v>
      </c>
      <c r="B142" s="29" t="s">
        <v>117</v>
      </c>
      <c r="C142" s="18">
        <v>44304</v>
      </c>
      <c r="D142" s="1" t="s">
        <v>72</v>
      </c>
      <c r="E142" s="1" t="s">
        <v>17</v>
      </c>
      <c r="F142" s="1">
        <v>16</v>
      </c>
      <c r="G142" s="1">
        <v>7</v>
      </c>
      <c r="H142" s="1">
        <f>SUM(F142:G142)</f>
        <v>23</v>
      </c>
      <c r="I142" s="5">
        <f ca="1">H142-(ROUNDDOWN((($G$1-C142)/365),1))</f>
        <v>17.600000000000001</v>
      </c>
    </row>
    <row r="143" spans="1:9" x14ac:dyDescent="0.25">
      <c r="A143" s="2">
        <f ca="1">RANK(I143,$I$6:$I$475,0)</f>
        <v>134</v>
      </c>
      <c r="B143" s="1" t="s">
        <v>503</v>
      </c>
      <c r="C143" s="18">
        <v>46124</v>
      </c>
      <c r="D143" s="1" t="s">
        <v>378</v>
      </c>
      <c r="E143" s="1" t="s">
        <v>17</v>
      </c>
      <c r="F143" s="1">
        <v>13</v>
      </c>
      <c r="G143" s="1">
        <v>5</v>
      </c>
      <c r="H143" s="1">
        <f>SUM(F143:G143)</f>
        <v>18</v>
      </c>
      <c r="I143" s="5">
        <f ca="1">H143-(ROUNDDOWN((($G$1-C143)/365),1))</f>
        <v>17.600000000000001</v>
      </c>
    </row>
    <row r="144" spans="1:9" x14ac:dyDescent="0.25">
      <c r="A144" s="2">
        <f ca="1">RANK(I144,$I$6:$I$475,0)</f>
        <v>134</v>
      </c>
      <c r="B144" s="1" t="s">
        <v>273</v>
      </c>
      <c r="C144" s="18">
        <v>45025</v>
      </c>
      <c r="D144" s="1" t="s">
        <v>68</v>
      </c>
      <c r="E144" s="1" t="s">
        <v>40</v>
      </c>
      <c r="F144" s="1">
        <v>14</v>
      </c>
      <c r="G144" s="1">
        <v>7</v>
      </c>
      <c r="H144" s="1">
        <f>SUM(F144:G144)</f>
        <v>21</v>
      </c>
      <c r="I144" s="5">
        <f ca="1">H144-(ROUNDDOWN((($G$1-C144)/365),1))</f>
        <v>17.600000000000001</v>
      </c>
    </row>
    <row r="145" spans="1:9" x14ac:dyDescent="0.25">
      <c r="A145" s="2">
        <f ca="1">RANK(I145,$I$6:$I$475,0)</f>
        <v>134</v>
      </c>
      <c r="B145" s="1" t="s">
        <v>339</v>
      </c>
      <c r="C145" s="18">
        <v>45389</v>
      </c>
      <c r="D145" s="1" t="s">
        <v>266</v>
      </c>
      <c r="E145" s="1" t="s">
        <v>22</v>
      </c>
      <c r="F145" s="1">
        <v>15</v>
      </c>
      <c r="G145" s="1">
        <v>5</v>
      </c>
      <c r="H145" s="1">
        <f>SUM(F145:G145)</f>
        <v>20</v>
      </c>
      <c r="I145" s="5">
        <f ca="1">H145-(ROUNDDOWN((($G$1-C145)/365),1))</f>
        <v>17.600000000000001</v>
      </c>
    </row>
    <row r="146" spans="1:9" x14ac:dyDescent="0.25">
      <c r="A146" s="2">
        <f ca="1">RANK(I146,$I$6:$I$475,0)</f>
        <v>141</v>
      </c>
      <c r="B146" s="29" t="s">
        <v>501</v>
      </c>
      <c r="C146" s="18">
        <v>46110</v>
      </c>
      <c r="D146" s="1" t="s">
        <v>73</v>
      </c>
      <c r="E146" s="1" t="s">
        <v>22</v>
      </c>
      <c r="F146" s="1">
        <v>13</v>
      </c>
      <c r="G146" s="1">
        <v>5</v>
      </c>
      <c r="H146" s="1">
        <f>SUM(F146:G146)</f>
        <v>18</v>
      </c>
      <c r="I146" s="5">
        <f ca="1">H146-(ROUNDDOWN((($G$1-C146)/365),1))</f>
        <v>17.5</v>
      </c>
    </row>
    <row r="147" spans="1:9" x14ac:dyDescent="0.25">
      <c r="A147" s="2">
        <f ca="1">RANK(I147,$I$6:$I$475,0)</f>
        <v>141</v>
      </c>
      <c r="B147" s="1" t="s">
        <v>91</v>
      </c>
      <c r="C147" s="18">
        <v>45011</v>
      </c>
      <c r="D147" s="1" t="s">
        <v>73</v>
      </c>
      <c r="E147" s="1" t="s">
        <v>17</v>
      </c>
      <c r="F147" s="1">
        <v>14</v>
      </c>
      <c r="G147" s="1">
        <v>7</v>
      </c>
      <c r="H147" s="1">
        <f>SUM(F147:G147)</f>
        <v>21</v>
      </c>
      <c r="I147" s="5">
        <f ca="1">H147-(ROUNDDOWN((($G$1-C147)/365),1))</f>
        <v>17.5</v>
      </c>
    </row>
    <row r="148" spans="1:9" x14ac:dyDescent="0.25">
      <c r="A148" s="2">
        <f ca="1">RANK(I148,$I$6:$I$475,0)</f>
        <v>141</v>
      </c>
      <c r="B148" s="1" t="s">
        <v>109</v>
      </c>
      <c r="C148" s="18">
        <v>44276</v>
      </c>
      <c r="D148" s="1" t="s">
        <v>74</v>
      </c>
      <c r="E148" s="1" t="s">
        <v>22</v>
      </c>
      <c r="F148" s="1">
        <v>16</v>
      </c>
      <c r="G148" s="1">
        <v>7</v>
      </c>
      <c r="H148" s="1">
        <f>SUM(F148:G148)</f>
        <v>23</v>
      </c>
      <c r="I148" s="5">
        <f ca="1">H148-(ROUNDDOWN((($G$1-C148)/365),1))</f>
        <v>17.5</v>
      </c>
    </row>
    <row r="149" spans="1:9" x14ac:dyDescent="0.25">
      <c r="A149" s="2">
        <f ca="1">RANK(I149,$I$6:$I$475,0)</f>
        <v>141</v>
      </c>
      <c r="B149" s="29" t="s">
        <v>354</v>
      </c>
      <c r="C149" s="18">
        <v>44269</v>
      </c>
      <c r="D149" s="1" t="s">
        <v>67</v>
      </c>
      <c r="E149" s="1" t="s">
        <v>17</v>
      </c>
      <c r="F149" s="1">
        <v>18</v>
      </c>
      <c r="G149" s="1">
        <v>5</v>
      </c>
      <c r="H149" s="1">
        <f>SUM(F149:G149)</f>
        <v>23</v>
      </c>
      <c r="I149" s="5">
        <f ca="1">H149-(ROUNDDOWN((($G$1-C149)/365),1))</f>
        <v>17.5</v>
      </c>
    </row>
    <row r="150" spans="1:9" x14ac:dyDescent="0.25">
      <c r="A150" s="2">
        <f ca="1">RANK(I150,$I$6:$I$475,0)</f>
        <v>145</v>
      </c>
      <c r="B150" s="1" t="s">
        <v>333</v>
      </c>
      <c r="C150" s="18">
        <v>45347</v>
      </c>
      <c r="D150" s="1" t="s">
        <v>71</v>
      </c>
      <c r="E150" s="1" t="s">
        <v>22</v>
      </c>
      <c r="F150" s="1">
        <v>14</v>
      </c>
      <c r="G150" s="1">
        <v>6</v>
      </c>
      <c r="H150" s="1">
        <f>SUM(F150:G150)</f>
        <v>20</v>
      </c>
      <c r="I150" s="5">
        <f ca="1">H150-(ROUNDDOWN((($G$1-C150)/365),1))</f>
        <v>17.399999999999999</v>
      </c>
    </row>
    <row r="151" spans="1:9" x14ac:dyDescent="0.25">
      <c r="A151" s="2">
        <f ca="1">RANK(I151,$I$6:$I$475,0)</f>
        <v>145</v>
      </c>
      <c r="B151" s="1" t="s">
        <v>491</v>
      </c>
      <c r="C151" s="18">
        <v>46061</v>
      </c>
      <c r="D151" s="1" t="s">
        <v>71</v>
      </c>
      <c r="E151" s="1" t="s">
        <v>17</v>
      </c>
      <c r="F151" s="1">
        <v>13</v>
      </c>
      <c r="G151" s="1">
        <v>5</v>
      </c>
      <c r="H151" s="1">
        <f>SUM(F151:G151)</f>
        <v>18</v>
      </c>
      <c r="I151" s="5">
        <f ca="1">H151-(ROUNDDOWN((($G$1-C151)/365),1))</f>
        <v>17.399999999999999</v>
      </c>
    </row>
    <row r="152" spans="1:9" x14ac:dyDescent="0.25">
      <c r="A152" s="2">
        <f ca="1">RANK(I152,$I$6:$I$475,0)</f>
        <v>145</v>
      </c>
      <c r="B152" s="29" t="s">
        <v>192</v>
      </c>
      <c r="C152" s="18">
        <v>44598</v>
      </c>
      <c r="D152" s="1" t="s">
        <v>68</v>
      </c>
      <c r="E152" s="1" t="s">
        <v>40</v>
      </c>
      <c r="F152" s="1">
        <v>15</v>
      </c>
      <c r="G152" s="1">
        <v>7</v>
      </c>
      <c r="H152" s="1">
        <f>SUM(F152:G152)</f>
        <v>22</v>
      </c>
      <c r="I152" s="5">
        <f ca="1">H152-(ROUNDDOWN((($G$1-C152)/365),1))</f>
        <v>17.399999999999999</v>
      </c>
    </row>
    <row r="153" spans="1:9" x14ac:dyDescent="0.25">
      <c r="A153" s="2">
        <f ca="1">RANK(I153,$I$6:$I$475,0)</f>
        <v>145</v>
      </c>
      <c r="B153" s="1" t="s">
        <v>485</v>
      </c>
      <c r="C153" s="18">
        <v>46047</v>
      </c>
      <c r="D153" s="1" t="s">
        <v>68</v>
      </c>
      <c r="E153" s="1" t="s">
        <v>22</v>
      </c>
      <c r="F153" s="1">
        <v>11</v>
      </c>
      <c r="G153" s="1">
        <v>7</v>
      </c>
      <c r="H153" s="1">
        <f>SUM(F153:G153)</f>
        <v>18</v>
      </c>
      <c r="I153" s="5">
        <f ca="1">H153-(ROUNDDOWN((($G$1-C153)/365),1))</f>
        <v>17.399999999999999</v>
      </c>
    </row>
    <row r="154" spans="1:9" x14ac:dyDescent="0.25">
      <c r="A154" s="2">
        <f ca="1">RANK(I154,$I$6:$I$475,0)</f>
        <v>145</v>
      </c>
      <c r="B154" s="29" t="s">
        <v>188</v>
      </c>
      <c r="C154" s="18">
        <v>44584</v>
      </c>
      <c r="D154" s="1" t="s">
        <v>71</v>
      </c>
      <c r="E154" s="1" t="s">
        <v>22</v>
      </c>
      <c r="F154" s="1">
        <v>15</v>
      </c>
      <c r="G154" s="1">
        <v>7</v>
      </c>
      <c r="H154" s="1">
        <f>SUM(F154:G154)</f>
        <v>22</v>
      </c>
      <c r="I154" s="5">
        <f ca="1">H154-(ROUNDDOWN((($G$1-C154)/365),1))</f>
        <v>17.399999999999999</v>
      </c>
    </row>
    <row r="155" spans="1:9" x14ac:dyDescent="0.25">
      <c r="A155" s="2">
        <f ca="1">RANK(I155,$I$6:$I$475,0)</f>
        <v>150</v>
      </c>
      <c r="B155" s="1" t="s">
        <v>187</v>
      </c>
      <c r="C155" s="18">
        <v>44577</v>
      </c>
      <c r="D155" s="1" t="s">
        <v>73</v>
      </c>
      <c r="E155" s="1" t="s">
        <v>40</v>
      </c>
      <c r="F155" s="1">
        <v>15</v>
      </c>
      <c r="G155" s="1">
        <v>7</v>
      </c>
      <c r="H155" s="1">
        <f>SUM(F155:G155)</f>
        <v>22</v>
      </c>
      <c r="I155" s="5">
        <f ca="1">H155-(ROUNDDOWN((($G$1-C155)/365),1))</f>
        <v>17.3</v>
      </c>
    </row>
    <row r="156" spans="1:9" x14ac:dyDescent="0.25">
      <c r="A156" s="2">
        <f ca="1">RANK(I156,$I$6:$I$475,0)</f>
        <v>150</v>
      </c>
      <c r="B156" s="1" t="s">
        <v>399</v>
      </c>
      <c r="C156" s="18">
        <v>45662</v>
      </c>
      <c r="D156" s="1" t="s">
        <v>68</v>
      </c>
      <c r="E156" s="1" t="s">
        <v>40</v>
      </c>
      <c r="F156" s="1">
        <v>13</v>
      </c>
      <c r="G156" s="1">
        <v>6</v>
      </c>
      <c r="H156" s="1">
        <f>SUM(F156:G156)</f>
        <v>19</v>
      </c>
      <c r="I156" s="5">
        <f ca="1">H156-(ROUNDDOWN((($G$1-C156)/365),1))</f>
        <v>17.3</v>
      </c>
    </row>
    <row r="157" spans="1:9" x14ac:dyDescent="0.25">
      <c r="A157" s="2">
        <f ca="1">RANK(I157,$I$6:$I$475,0)</f>
        <v>150</v>
      </c>
      <c r="B157" s="1" t="s">
        <v>400</v>
      </c>
      <c r="C157" s="18">
        <v>45662</v>
      </c>
      <c r="D157" s="1" t="s">
        <v>68</v>
      </c>
      <c r="E157" s="1" t="s">
        <v>40</v>
      </c>
      <c r="F157" s="1">
        <v>13</v>
      </c>
      <c r="G157" s="1">
        <v>6</v>
      </c>
      <c r="H157" s="1">
        <f>SUM(F157:G157)</f>
        <v>19</v>
      </c>
      <c r="I157" s="5">
        <f ca="1">H157-(ROUNDDOWN((($G$1-C157)/365),1))</f>
        <v>17.3</v>
      </c>
    </row>
    <row r="158" spans="1:9" x14ac:dyDescent="0.25">
      <c r="A158" s="2">
        <f ca="1">RANK(I158,$I$6:$I$475,0)</f>
        <v>150</v>
      </c>
      <c r="B158" s="29" t="s">
        <v>398</v>
      </c>
      <c r="C158" s="18">
        <v>45655</v>
      </c>
      <c r="D158" s="1" t="s">
        <v>149</v>
      </c>
      <c r="E158" s="1" t="s">
        <v>22</v>
      </c>
      <c r="F158" s="1">
        <v>15</v>
      </c>
      <c r="G158" s="1">
        <v>4</v>
      </c>
      <c r="H158" s="1">
        <f>SUM(F158:G158)</f>
        <v>19</v>
      </c>
      <c r="I158" s="5">
        <f ca="1">H158-(ROUNDDOWN((($G$1-C158)/365),1))</f>
        <v>17.3</v>
      </c>
    </row>
    <row r="159" spans="1:9" x14ac:dyDescent="0.25">
      <c r="A159" s="2">
        <f ca="1">RANK(I159,$I$6:$I$475,0)</f>
        <v>154</v>
      </c>
      <c r="B159" s="1" t="s">
        <v>319</v>
      </c>
      <c r="C159" s="18">
        <v>45277</v>
      </c>
      <c r="D159" s="1" t="s">
        <v>266</v>
      </c>
      <c r="E159" s="1" t="s">
        <v>22</v>
      </c>
      <c r="F159" s="1">
        <v>14</v>
      </c>
      <c r="G159" s="1">
        <v>6</v>
      </c>
      <c r="H159" s="1">
        <f>SUM(F159:G159)</f>
        <v>20</v>
      </c>
      <c r="I159" s="5">
        <f ca="1">H159-(ROUNDDOWN((($G$1-C159)/365),1))</f>
        <v>17.2</v>
      </c>
    </row>
    <row r="160" spans="1:9" x14ac:dyDescent="0.25">
      <c r="A160" s="2">
        <f ca="1">RANK(I160,$I$6:$I$475,0)</f>
        <v>154</v>
      </c>
      <c r="B160" s="1" t="s">
        <v>474</v>
      </c>
      <c r="C160" s="18">
        <v>45991</v>
      </c>
      <c r="D160" s="1" t="s">
        <v>478</v>
      </c>
      <c r="E160" s="1" t="s">
        <v>22</v>
      </c>
      <c r="F160" s="1">
        <v>13</v>
      </c>
      <c r="G160" s="1">
        <v>5</v>
      </c>
      <c r="H160" s="1">
        <f>SUM(F160:G160)</f>
        <v>18</v>
      </c>
      <c r="I160" s="5">
        <f ca="1">H160-(ROUNDDOWN((($G$1-C160)/365),1))</f>
        <v>17.2</v>
      </c>
    </row>
    <row r="161" spans="1:9" x14ac:dyDescent="0.25">
      <c r="A161" s="2">
        <f ca="1">RANK(I161,$I$6:$I$475,0)</f>
        <v>154</v>
      </c>
      <c r="B161" s="1" t="s">
        <v>254</v>
      </c>
      <c r="C161" s="18">
        <v>44885</v>
      </c>
      <c r="D161" s="1" t="s">
        <v>74</v>
      </c>
      <c r="E161" s="1" t="s">
        <v>17</v>
      </c>
      <c r="F161" s="1">
        <v>15</v>
      </c>
      <c r="G161" s="1">
        <v>6</v>
      </c>
      <c r="H161" s="1">
        <f>SUM(F161:G161)</f>
        <v>21</v>
      </c>
      <c r="I161" s="5">
        <f ca="1">H161-(ROUNDDOWN((($G$1-C161)/365),1))</f>
        <v>17.2</v>
      </c>
    </row>
    <row r="162" spans="1:9" x14ac:dyDescent="0.25">
      <c r="A162" s="2">
        <f ca="1">RANK(I162,$I$6:$I$475,0)</f>
        <v>157</v>
      </c>
      <c r="B162" s="29" t="s">
        <v>56</v>
      </c>
      <c r="C162" s="18">
        <v>44142</v>
      </c>
      <c r="D162" s="1" t="s">
        <v>67</v>
      </c>
      <c r="E162" s="1" t="s">
        <v>22</v>
      </c>
      <c r="F162" s="1">
        <v>14</v>
      </c>
      <c r="G162" s="1">
        <v>9</v>
      </c>
      <c r="H162" s="1">
        <f>SUM(F162:G162)</f>
        <v>23</v>
      </c>
      <c r="I162" s="5">
        <f ca="1">H162-(ROUNDDOWN((($G$1-C162)/365),1))</f>
        <v>17.100000000000001</v>
      </c>
    </row>
    <row r="163" spans="1:9" x14ac:dyDescent="0.25">
      <c r="A163" s="2">
        <f ca="1">RANK(I163,$I$6:$I$475,0)</f>
        <v>157</v>
      </c>
      <c r="B163" s="1" t="s">
        <v>248</v>
      </c>
      <c r="C163" s="18">
        <v>44857</v>
      </c>
      <c r="D163" s="1" t="s">
        <v>71</v>
      </c>
      <c r="E163" s="1" t="s">
        <v>22</v>
      </c>
      <c r="F163" s="1">
        <v>14</v>
      </c>
      <c r="G163" s="1">
        <v>7</v>
      </c>
      <c r="H163" s="1">
        <f>SUM(F163:G163)</f>
        <v>21</v>
      </c>
      <c r="I163" s="5">
        <f ca="1">H163-(ROUNDDOWN((($G$1-C163)/365),1))</f>
        <v>17.100000000000001</v>
      </c>
    </row>
    <row r="164" spans="1:9" x14ac:dyDescent="0.25">
      <c r="A164" s="2">
        <f ca="1">RANK(I164,$I$6:$I$475,0)</f>
        <v>157</v>
      </c>
      <c r="B164" s="29" t="s">
        <v>247</v>
      </c>
      <c r="C164" s="18">
        <v>44850</v>
      </c>
      <c r="D164" s="1" t="s">
        <v>68</v>
      </c>
      <c r="E164" s="1" t="s">
        <v>22</v>
      </c>
      <c r="F164" s="1">
        <v>13</v>
      </c>
      <c r="G164" s="1">
        <v>8</v>
      </c>
      <c r="H164" s="1">
        <f>SUM(F164:G164)</f>
        <v>21</v>
      </c>
      <c r="I164" s="5">
        <f ca="1">H164-(ROUNDDOWN((($G$1-C164)/365),1))</f>
        <v>17.100000000000001</v>
      </c>
    </row>
    <row r="165" spans="1:9" x14ac:dyDescent="0.25">
      <c r="A165" s="2">
        <f ca="1">RANK(I165,$I$6:$I$475,0)</f>
        <v>157</v>
      </c>
      <c r="B165" s="1" t="s">
        <v>380</v>
      </c>
      <c r="C165" s="18">
        <v>45578</v>
      </c>
      <c r="D165" s="1" t="s">
        <v>377</v>
      </c>
      <c r="E165" s="1" t="s">
        <v>22</v>
      </c>
      <c r="F165" s="1">
        <v>14</v>
      </c>
      <c r="G165" s="1">
        <v>5</v>
      </c>
      <c r="H165" s="1">
        <f>SUM(F165:G165)</f>
        <v>19</v>
      </c>
      <c r="I165" s="5">
        <f ca="1">H165-(ROUNDDOWN((($G$1-C165)/365),1))</f>
        <v>17.100000000000001</v>
      </c>
    </row>
    <row r="166" spans="1:9" x14ac:dyDescent="0.25">
      <c r="A166" s="2">
        <f ca="1">RANK(I166,$I$6:$I$475,0)</f>
        <v>157</v>
      </c>
      <c r="B166" s="1" t="s">
        <v>303</v>
      </c>
      <c r="C166" s="18">
        <v>45207</v>
      </c>
      <c r="D166" s="1" t="s">
        <v>149</v>
      </c>
      <c r="E166" s="1" t="s">
        <v>33</v>
      </c>
      <c r="F166" s="1">
        <v>14</v>
      </c>
      <c r="G166" s="1">
        <v>6</v>
      </c>
      <c r="H166" s="1">
        <f>SUM(F166:G166)</f>
        <v>20</v>
      </c>
      <c r="I166" s="5">
        <f ca="1">H166-(ROUNDDOWN((($G$1-C166)/365),1))</f>
        <v>17.100000000000001</v>
      </c>
    </row>
    <row r="167" spans="1:9" x14ac:dyDescent="0.25">
      <c r="A167" s="2">
        <f ca="1">RANK(I167,$I$6:$I$475,0)</f>
        <v>162</v>
      </c>
      <c r="B167" s="1" t="s">
        <v>163</v>
      </c>
      <c r="C167" s="18">
        <v>44465</v>
      </c>
      <c r="D167" s="1" t="s">
        <v>154</v>
      </c>
      <c r="E167" s="1" t="s">
        <v>22</v>
      </c>
      <c r="F167" s="1">
        <v>15</v>
      </c>
      <c r="G167" s="1">
        <v>7</v>
      </c>
      <c r="H167" s="1">
        <f>SUM(F167:G167)</f>
        <v>22</v>
      </c>
      <c r="I167" s="5">
        <f ca="1">H167-(ROUNDDOWN((($G$1-C167)/365),1))</f>
        <v>17</v>
      </c>
    </row>
    <row r="168" spans="1:9" x14ac:dyDescent="0.25">
      <c r="A168" s="2">
        <f ca="1">RANK(I168,$I$6:$I$475,0)</f>
        <v>162</v>
      </c>
      <c r="B168" s="29" t="s">
        <v>159</v>
      </c>
      <c r="C168" s="18">
        <v>44458</v>
      </c>
      <c r="D168" s="1" t="s">
        <v>154</v>
      </c>
      <c r="E168" s="1" t="s">
        <v>17</v>
      </c>
      <c r="F168" s="1">
        <v>15</v>
      </c>
      <c r="G168" s="1">
        <v>7</v>
      </c>
      <c r="H168" s="1">
        <f>SUM(F168:G168)</f>
        <v>22</v>
      </c>
      <c r="I168" s="5">
        <f ca="1">H168-(ROUNDDOWN((($G$1-C168)/365),1))</f>
        <v>17</v>
      </c>
    </row>
    <row r="169" spans="1:9" x14ac:dyDescent="0.25">
      <c r="A169" s="2">
        <f ca="1">RANK(I169,$I$6:$I$475,0)</f>
        <v>162</v>
      </c>
      <c r="B169" s="29" t="s">
        <v>238</v>
      </c>
      <c r="C169" s="18">
        <v>44822</v>
      </c>
      <c r="D169" s="1" t="s">
        <v>71</v>
      </c>
      <c r="E169" s="1" t="s">
        <v>33</v>
      </c>
      <c r="F169" s="1">
        <v>15</v>
      </c>
      <c r="G169" s="1">
        <v>6</v>
      </c>
      <c r="H169" s="1">
        <f>SUM(F169:G169)</f>
        <v>21</v>
      </c>
      <c r="I169" s="5">
        <f ca="1">H169-(ROUNDDOWN((($G$1-C169)/365),1))</f>
        <v>17</v>
      </c>
    </row>
    <row r="170" spans="1:9" x14ac:dyDescent="0.25">
      <c r="A170" s="2">
        <f ca="1">RANK(I170,$I$6:$I$475,0)</f>
        <v>162</v>
      </c>
      <c r="B170" s="29" t="s">
        <v>155</v>
      </c>
      <c r="C170" s="18">
        <v>44444</v>
      </c>
      <c r="D170" s="1" t="s">
        <v>73</v>
      </c>
      <c r="E170" s="1" t="s">
        <v>22</v>
      </c>
      <c r="F170" s="1">
        <v>14</v>
      </c>
      <c r="G170" s="1">
        <v>8</v>
      </c>
      <c r="H170" s="1">
        <f>SUM(F170:G170)</f>
        <v>22</v>
      </c>
      <c r="I170" s="5">
        <f ca="1">H170-(ROUNDDOWN((($G$1-C170)/365),1))</f>
        <v>17</v>
      </c>
    </row>
    <row r="171" spans="1:9" x14ac:dyDescent="0.25">
      <c r="A171" s="2">
        <f ca="1">RANK(I171,$I$6:$I$475,0)</f>
        <v>162</v>
      </c>
      <c r="B171" s="1" t="s">
        <v>355</v>
      </c>
      <c r="C171" s="18">
        <v>45172</v>
      </c>
      <c r="D171" s="1" t="s">
        <v>67</v>
      </c>
      <c r="E171" s="1" t="s">
        <v>40</v>
      </c>
      <c r="F171" s="1">
        <v>15</v>
      </c>
      <c r="G171" s="1">
        <v>5</v>
      </c>
      <c r="H171" s="1">
        <f>SUM(F171:G171)</f>
        <v>20</v>
      </c>
      <c r="I171" s="5">
        <f ca="1">H171-(ROUNDDOWN((($G$1-C171)/365),1))</f>
        <v>17</v>
      </c>
    </row>
    <row r="172" spans="1:9" x14ac:dyDescent="0.25">
      <c r="A172" s="2">
        <f ca="1">RANK(I172,$I$6:$I$475,0)</f>
        <v>162</v>
      </c>
      <c r="B172" s="29" t="s">
        <v>366</v>
      </c>
      <c r="C172" s="18">
        <v>45536</v>
      </c>
      <c r="D172" s="1" t="s">
        <v>379</v>
      </c>
      <c r="E172" s="1" t="s">
        <v>22</v>
      </c>
      <c r="F172" s="1">
        <v>14</v>
      </c>
      <c r="G172" s="1">
        <v>5</v>
      </c>
      <c r="H172" s="1">
        <f>SUM(F172:G172)</f>
        <v>19</v>
      </c>
      <c r="I172" s="5">
        <f ca="1">H172-(ROUNDDOWN((($G$1-C172)/365),1))</f>
        <v>17</v>
      </c>
    </row>
    <row r="173" spans="1:9" x14ac:dyDescent="0.25">
      <c r="A173" s="2">
        <f ca="1">RANK(I173,$I$6:$I$475,0)</f>
        <v>162</v>
      </c>
      <c r="B173" s="1" t="s">
        <v>531</v>
      </c>
      <c r="C173" s="18">
        <v>46285</v>
      </c>
      <c r="D173" s="1" t="s">
        <v>71</v>
      </c>
      <c r="E173" s="1" t="s">
        <v>22</v>
      </c>
      <c r="F173" s="1">
        <v>11</v>
      </c>
      <c r="G173" s="1">
        <v>6</v>
      </c>
      <c r="H173" s="1">
        <f>SUM(F173:G173)</f>
        <v>17</v>
      </c>
      <c r="I173" s="5">
        <f ca="1">H173-(ROUNDDOWN((($G$1-C173)/365),1))</f>
        <v>17</v>
      </c>
    </row>
    <row r="174" spans="1:9" x14ac:dyDescent="0.25">
      <c r="A174" s="2">
        <f ca="1">RANK(I174,$I$6:$I$475,0)</f>
        <v>169</v>
      </c>
      <c r="B174" s="1" t="s">
        <v>153</v>
      </c>
      <c r="C174" s="18">
        <v>44437</v>
      </c>
      <c r="D174" s="1" t="s">
        <v>74</v>
      </c>
      <c r="E174" s="1" t="s">
        <v>17</v>
      </c>
      <c r="F174" s="1">
        <v>15</v>
      </c>
      <c r="G174" s="1">
        <v>7</v>
      </c>
      <c r="H174" s="1">
        <f>SUM(F174:G174)</f>
        <v>22</v>
      </c>
      <c r="I174" s="5">
        <f ca="1">H174-(ROUNDDOWN((($G$1-C174)/365),1))</f>
        <v>16.899999999999999</v>
      </c>
    </row>
    <row r="175" spans="1:9" x14ac:dyDescent="0.25">
      <c r="A175" s="2">
        <f ca="1">RANK(I175,$I$6:$I$475,0)</f>
        <v>169</v>
      </c>
      <c r="B175" s="1" t="s">
        <v>454</v>
      </c>
      <c r="C175" s="18">
        <v>45886</v>
      </c>
      <c r="D175" s="1" t="s">
        <v>377</v>
      </c>
      <c r="E175" s="1" t="s">
        <v>22</v>
      </c>
      <c r="F175" s="1">
        <v>13</v>
      </c>
      <c r="G175" s="1">
        <v>5</v>
      </c>
      <c r="H175" s="1">
        <f>SUM(F175:G175)</f>
        <v>18</v>
      </c>
      <c r="I175" s="5">
        <f ca="1">H175-(ROUNDDOWN((($G$1-C175)/365),1))</f>
        <v>16.899999999999999</v>
      </c>
    </row>
    <row r="176" spans="1:9" x14ac:dyDescent="0.25">
      <c r="A176" s="2">
        <f ca="1">RANK(I176,$I$6:$I$475,0)</f>
        <v>169</v>
      </c>
      <c r="B176" s="1" t="s">
        <v>145</v>
      </c>
      <c r="C176" s="18">
        <v>44423</v>
      </c>
      <c r="D176" s="1" t="s">
        <v>71</v>
      </c>
      <c r="E176" s="1" t="s">
        <v>22</v>
      </c>
      <c r="F176" s="1">
        <v>15</v>
      </c>
      <c r="G176" s="1">
        <v>7</v>
      </c>
      <c r="H176" s="1">
        <f>SUM(F176:G176)</f>
        <v>22</v>
      </c>
      <c r="I176" s="5">
        <f ca="1">H176-(ROUNDDOWN((($G$1-C176)/365),1))</f>
        <v>16.899999999999999</v>
      </c>
    </row>
    <row r="177" spans="1:9" x14ac:dyDescent="0.25">
      <c r="A177" s="2">
        <f ca="1">RANK(I177,$I$6:$I$475,0)</f>
        <v>169</v>
      </c>
      <c r="B177" s="1" t="s">
        <v>296</v>
      </c>
      <c r="C177" s="18">
        <v>45144</v>
      </c>
      <c r="D177" s="1" t="s">
        <v>154</v>
      </c>
      <c r="E177" s="1" t="s">
        <v>22</v>
      </c>
      <c r="F177" s="1">
        <v>12</v>
      </c>
      <c r="G177" s="1">
        <v>8</v>
      </c>
      <c r="H177" s="1">
        <f>SUM(F177:G177)</f>
        <v>20</v>
      </c>
      <c r="I177" s="5">
        <f ca="1">H177-(ROUNDDOWN((($G$1-C177)/365),1))</f>
        <v>16.899999999999999</v>
      </c>
    </row>
    <row r="178" spans="1:9" x14ac:dyDescent="0.25">
      <c r="A178" s="2">
        <f ca="1">RANK(I178,$I$6:$I$475,0)</f>
        <v>169</v>
      </c>
      <c r="B178" s="29" t="s">
        <v>524</v>
      </c>
      <c r="C178" s="18">
        <v>46235</v>
      </c>
      <c r="D178" s="1" t="s">
        <v>73</v>
      </c>
      <c r="E178" s="1" t="s">
        <v>40</v>
      </c>
      <c r="F178" s="1">
        <v>12</v>
      </c>
      <c r="G178" s="1">
        <v>5</v>
      </c>
      <c r="H178" s="1">
        <f>SUM(F178:G178)</f>
        <v>17</v>
      </c>
      <c r="I178" s="5">
        <f ca="1">H178-(ROUNDDOWN((($G$1-C178)/365),1))</f>
        <v>16.899999999999999</v>
      </c>
    </row>
    <row r="179" spans="1:9" x14ac:dyDescent="0.25">
      <c r="A179" s="2">
        <f ca="1">RANK(I179,$I$6:$I$475,0)</f>
        <v>174</v>
      </c>
      <c r="B179" s="1" t="s">
        <v>448</v>
      </c>
      <c r="C179" s="18">
        <v>45858</v>
      </c>
      <c r="D179" s="1" t="s">
        <v>368</v>
      </c>
      <c r="E179" s="1" t="s">
        <v>22</v>
      </c>
      <c r="F179" s="1">
        <v>13</v>
      </c>
      <c r="G179" s="1">
        <v>5</v>
      </c>
      <c r="H179" s="1">
        <f>SUM(F179:G179)</f>
        <v>18</v>
      </c>
      <c r="I179" s="5">
        <f ca="1">H179-(ROUNDDOWN((($G$1-C179)/365),1))</f>
        <v>16.8</v>
      </c>
    </row>
    <row r="180" spans="1:9" x14ac:dyDescent="0.25">
      <c r="A180" s="2">
        <f ca="1">RANK(I180,$I$6:$I$475,0)</f>
        <v>174</v>
      </c>
      <c r="B180" s="1" t="s">
        <v>517</v>
      </c>
      <c r="C180" s="18">
        <v>46201</v>
      </c>
      <c r="D180" s="1" t="s">
        <v>266</v>
      </c>
      <c r="E180" s="1" t="s">
        <v>17</v>
      </c>
      <c r="F180" s="1">
        <v>11</v>
      </c>
      <c r="G180" s="1">
        <v>6</v>
      </c>
      <c r="H180" s="1">
        <f>SUM(F180:G180)</f>
        <v>17</v>
      </c>
      <c r="I180" s="5">
        <f ca="1">H180-(ROUNDDOWN((($G$1-C180)/365),1))</f>
        <v>16.8</v>
      </c>
    </row>
    <row r="181" spans="1:9" x14ac:dyDescent="0.25">
      <c r="A181" s="2">
        <f ca="1">RANK(I181,$I$6:$I$475,0)</f>
        <v>174</v>
      </c>
      <c r="B181" s="1" t="s">
        <v>438</v>
      </c>
      <c r="C181" s="18">
        <v>45830</v>
      </c>
      <c r="D181" s="1" t="s">
        <v>69</v>
      </c>
      <c r="E181" s="1" t="s">
        <v>22</v>
      </c>
      <c r="F181" s="1">
        <v>12</v>
      </c>
      <c r="G181" s="1">
        <v>6</v>
      </c>
      <c r="H181" s="1">
        <f>SUM(F181:G181)</f>
        <v>18</v>
      </c>
      <c r="I181" s="5">
        <f ca="1">H181-(ROUNDDOWN((($G$1-C181)/365),1))</f>
        <v>16.8</v>
      </c>
    </row>
    <row r="182" spans="1:9" x14ac:dyDescent="0.25">
      <c r="A182" s="2">
        <f ca="1">RANK(I182,$I$6:$I$475,0)</f>
        <v>174</v>
      </c>
      <c r="B182" s="1" t="s">
        <v>439</v>
      </c>
      <c r="C182" s="18">
        <v>45830</v>
      </c>
      <c r="D182" s="1" t="s">
        <v>69</v>
      </c>
      <c r="E182" s="1" t="s">
        <v>17</v>
      </c>
      <c r="F182" s="1">
        <v>12</v>
      </c>
      <c r="G182" s="1">
        <v>6</v>
      </c>
      <c r="H182" s="1">
        <f>SUM(F182:G182)</f>
        <v>18</v>
      </c>
      <c r="I182" s="5">
        <f ca="1">H182-(ROUNDDOWN((($G$1-C182)/365),1))</f>
        <v>16.8</v>
      </c>
    </row>
    <row r="183" spans="1:9" x14ac:dyDescent="0.25">
      <c r="A183" s="2">
        <f ca="1">RANK(I183,$I$6:$I$475,0)</f>
        <v>178</v>
      </c>
      <c r="B183" s="1" t="s">
        <v>434</v>
      </c>
      <c r="C183" s="18">
        <v>45802</v>
      </c>
      <c r="D183" s="1" t="s">
        <v>149</v>
      </c>
      <c r="E183" s="1" t="s">
        <v>17</v>
      </c>
      <c r="F183" s="1">
        <v>12</v>
      </c>
      <c r="G183" s="1">
        <v>6</v>
      </c>
      <c r="H183" s="1">
        <f>SUM(F183:G183)</f>
        <v>18</v>
      </c>
      <c r="I183" s="5">
        <f ca="1">H183-(ROUNDDOWN((($G$1-C183)/365),1))</f>
        <v>16.7</v>
      </c>
    </row>
    <row r="184" spans="1:9" x14ac:dyDescent="0.25">
      <c r="A184" s="2">
        <f ca="1">RANK(I184,$I$6:$I$475,0)</f>
        <v>178</v>
      </c>
      <c r="B184" s="1" t="s">
        <v>107</v>
      </c>
      <c r="C184" s="18">
        <v>44703</v>
      </c>
      <c r="D184" s="1" t="s">
        <v>69</v>
      </c>
      <c r="E184" s="1" t="s">
        <v>22</v>
      </c>
      <c r="F184" s="1">
        <v>15</v>
      </c>
      <c r="G184" s="1">
        <v>6</v>
      </c>
      <c r="H184" s="1">
        <f>SUM(F184:G184)</f>
        <v>21</v>
      </c>
      <c r="I184" s="5">
        <f ca="1">H184-(ROUNDDOWN((($G$1-C184)/365),1))</f>
        <v>16.7</v>
      </c>
    </row>
    <row r="185" spans="1:9" x14ac:dyDescent="0.25">
      <c r="A185" s="2">
        <f ca="1">RANK(I185,$I$6:$I$475,0)</f>
        <v>178</v>
      </c>
      <c r="B185" s="1" t="s">
        <v>281</v>
      </c>
      <c r="C185" s="18">
        <v>45067</v>
      </c>
      <c r="D185" s="1" t="s">
        <v>69</v>
      </c>
      <c r="E185" s="1" t="s">
        <v>17</v>
      </c>
      <c r="F185" s="1">
        <v>14</v>
      </c>
      <c r="G185" s="1">
        <v>6</v>
      </c>
      <c r="H185" s="1">
        <f>SUM(F185:G185)</f>
        <v>20</v>
      </c>
      <c r="I185" s="5">
        <f ca="1">H185-(ROUNDDOWN((($G$1-C185)/365),1))</f>
        <v>16.7</v>
      </c>
    </row>
    <row r="186" spans="1:9" x14ac:dyDescent="0.25">
      <c r="A186" s="2">
        <f ca="1">RANK(I186,$I$6:$I$475,0)</f>
        <v>181</v>
      </c>
      <c r="B186" s="1" t="s">
        <v>345</v>
      </c>
      <c r="C186" s="18">
        <v>45417</v>
      </c>
      <c r="D186" s="1" t="s">
        <v>309</v>
      </c>
      <c r="E186" s="1" t="s">
        <v>22</v>
      </c>
      <c r="F186" s="1">
        <v>11</v>
      </c>
      <c r="G186" s="1">
        <v>8</v>
      </c>
      <c r="H186" s="1">
        <f>SUM(F186:G186)</f>
        <v>19</v>
      </c>
      <c r="I186" s="5">
        <f ca="1">H186-(ROUNDDOWN((($G$1-C186)/365),1))</f>
        <v>16.600000000000001</v>
      </c>
    </row>
    <row r="187" spans="1:9" x14ac:dyDescent="0.25">
      <c r="A187" s="2">
        <f ca="1">RANK(I187,$I$6:$I$475,0)</f>
        <v>181</v>
      </c>
      <c r="B187" s="1" t="s">
        <v>510</v>
      </c>
      <c r="C187" s="18">
        <v>46138</v>
      </c>
      <c r="D187" s="1" t="s">
        <v>377</v>
      </c>
      <c r="E187" s="1" t="s">
        <v>22</v>
      </c>
      <c r="F187" s="1">
        <v>10</v>
      </c>
      <c r="G187" s="1">
        <v>7</v>
      </c>
      <c r="H187" s="1">
        <f>SUM(F187:G187)</f>
        <v>17</v>
      </c>
      <c r="I187" s="5">
        <f ca="1">H187-(ROUNDDOWN((($G$1-C187)/365),1))</f>
        <v>16.600000000000001</v>
      </c>
    </row>
    <row r="188" spans="1:9" x14ac:dyDescent="0.25">
      <c r="A188" s="2">
        <f ca="1">RANK(I188,$I$6:$I$475,0)</f>
        <v>181</v>
      </c>
      <c r="B188" s="29" t="s">
        <v>276</v>
      </c>
      <c r="C188" s="18">
        <v>45032</v>
      </c>
      <c r="D188" s="1" t="s">
        <v>71</v>
      </c>
      <c r="E188" s="1" t="s">
        <v>17</v>
      </c>
      <c r="F188" s="1">
        <v>14</v>
      </c>
      <c r="G188" s="1">
        <v>6</v>
      </c>
      <c r="H188" s="1">
        <f>SUM(F188:G188)</f>
        <v>20</v>
      </c>
      <c r="I188" s="5">
        <f ca="1">H188-(ROUNDDOWN((($G$1-C188)/365),1))</f>
        <v>16.600000000000001</v>
      </c>
    </row>
    <row r="189" spans="1:9" x14ac:dyDescent="0.25">
      <c r="A189" s="2">
        <f ca="1">RANK(I189,$I$6:$I$475,0)</f>
        <v>184</v>
      </c>
      <c r="B189" s="29" t="s">
        <v>205</v>
      </c>
      <c r="C189" s="18">
        <v>44654</v>
      </c>
      <c r="D189" s="1" t="s">
        <v>71</v>
      </c>
      <c r="E189" s="1" t="s">
        <v>22</v>
      </c>
      <c r="F189" s="1">
        <v>14</v>
      </c>
      <c r="G189" s="1">
        <v>7</v>
      </c>
      <c r="H189" s="1">
        <f>SUM(F189:G189)</f>
        <v>21</v>
      </c>
      <c r="I189" s="5">
        <f ca="1">H189-(ROUNDDOWN((($G$1-C189)/365),1))</f>
        <v>16.5</v>
      </c>
    </row>
    <row r="190" spans="1:9" x14ac:dyDescent="0.25">
      <c r="A190" s="2">
        <f ca="1">RANK(I190,$I$6:$I$475,0)</f>
        <v>184</v>
      </c>
      <c r="B190" s="1" t="s">
        <v>337</v>
      </c>
      <c r="C190" s="18">
        <v>45368</v>
      </c>
      <c r="D190" s="1" t="s">
        <v>184</v>
      </c>
      <c r="E190" s="1" t="s">
        <v>17</v>
      </c>
      <c r="F190" s="1">
        <v>14</v>
      </c>
      <c r="G190" s="1">
        <v>5</v>
      </c>
      <c r="H190" s="1">
        <f>SUM(F190:G190)</f>
        <v>19</v>
      </c>
      <c r="I190" s="5">
        <f ca="1">H190-(ROUNDDOWN((($G$1-C190)/365),1))</f>
        <v>16.5</v>
      </c>
    </row>
    <row r="191" spans="1:9" x14ac:dyDescent="0.25">
      <c r="A191" s="2">
        <f ca="1">RANK(I191,$I$6:$I$475,0)</f>
        <v>184</v>
      </c>
      <c r="B191" s="29" t="s">
        <v>200</v>
      </c>
      <c r="C191" s="18">
        <v>44633</v>
      </c>
      <c r="D191" s="1" t="s">
        <v>68</v>
      </c>
      <c r="E191" s="1" t="s">
        <v>22</v>
      </c>
      <c r="F191" s="1">
        <v>12</v>
      </c>
      <c r="G191" s="1">
        <v>9</v>
      </c>
      <c r="H191" s="1">
        <f>SUM(F191:G191)</f>
        <v>21</v>
      </c>
      <c r="I191" s="5">
        <f ca="1">H191-(ROUNDDOWN((($G$1-C191)/365),1))</f>
        <v>16.5</v>
      </c>
    </row>
    <row r="192" spans="1:9" x14ac:dyDescent="0.25">
      <c r="A192" s="2">
        <f ca="1">RANK(I192,$I$6:$I$475,0)</f>
        <v>187</v>
      </c>
      <c r="B192" s="29" t="s">
        <v>108</v>
      </c>
      <c r="C192" s="18">
        <v>43889</v>
      </c>
      <c r="D192" s="1" t="s">
        <v>69</v>
      </c>
      <c r="E192" s="1" t="s">
        <v>22</v>
      </c>
      <c r="F192" s="1">
        <v>15</v>
      </c>
      <c r="G192" s="1">
        <v>8</v>
      </c>
      <c r="H192" s="1">
        <f>SUM(F192:G192)</f>
        <v>23</v>
      </c>
      <c r="I192" s="5">
        <f ca="1">H192-(ROUNDDOWN((($G$1-C192)/365),1))</f>
        <v>16.399999999999999</v>
      </c>
    </row>
    <row r="193" spans="1:9" x14ac:dyDescent="0.25">
      <c r="A193" s="2">
        <f ca="1">RANK(I193,$I$6:$I$475,0)</f>
        <v>187</v>
      </c>
      <c r="B193" s="1" t="s">
        <v>332</v>
      </c>
      <c r="C193" s="18">
        <v>45347</v>
      </c>
      <c r="D193" s="1" t="s">
        <v>67</v>
      </c>
      <c r="E193" s="1" t="s">
        <v>22</v>
      </c>
      <c r="F193" s="1">
        <v>12</v>
      </c>
      <c r="G193" s="1">
        <v>7</v>
      </c>
      <c r="H193" s="1">
        <f>SUM(F193:G193)</f>
        <v>19</v>
      </c>
      <c r="I193" s="5">
        <f ca="1">H193-(ROUNDDOWN((($G$1-C193)/365),1))</f>
        <v>16.399999999999999</v>
      </c>
    </row>
    <row r="194" spans="1:9" x14ac:dyDescent="0.25">
      <c r="A194" s="2">
        <f ca="1">RANK(I194,$I$6:$I$475,0)</f>
        <v>187</v>
      </c>
      <c r="B194" s="29" t="s">
        <v>196</v>
      </c>
      <c r="C194" s="18">
        <v>44612</v>
      </c>
      <c r="D194" s="1" t="s">
        <v>69</v>
      </c>
      <c r="E194" s="1" t="s">
        <v>22</v>
      </c>
      <c r="F194" s="1">
        <v>14</v>
      </c>
      <c r="G194" s="1">
        <v>7</v>
      </c>
      <c r="H194" s="1">
        <f>SUM(F194:G194)</f>
        <v>21</v>
      </c>
      <c r="I194" s="5">
        <f ca="1">H194-(ROUNDDOWN((($G$1-C194)/365),1))</f>
        <v>16.399999999999999</v>
      </c>
    </row>
    <row r="195" spans="1:9" x14ac:dyDescent="0.25">
      <c r="A195" s="2">
        <f ca="1">RANK(I195,$I$6:$I$475,0)</f>
        <v>187</v>
      </c>
      <c r="B195" s="29" t="s">
        <v>411</v>
      </c>
      <c r="C195" s="18">
        <v>45697</v>
      </c>
      <c r="D195" s="1" t="s">
        <v>266</v>
      </c>
      <c r="E195" s="1" t="s">
        <v>22</v>
      </c>
      <c r="F195" s="1">
        <v>13</v>
      </c>
      <c r="G195" s="1">
        <v>5</v>
      </c>
      <c r="H195" s="1">
        <f>SUM(F195:G195)</f>
        <v>18</v>
      </c>
      <c r="I195" s="5">
        <f ca="1">H195-(ROUNDDOWN((($G$1-C195)/365),1))</f>
        <v>16.399999999999999</v>
      </c>
    </row>
    <row r="196" spans="1:9" x14ac:dyDescent="0.25">
      <c r="A196" s="2">
        <f ca="1">RANK(I196,$I$6:$I$475,0)</f>
        <v>187</v>
      </c>
      <c r="B196" s="1" t="s">
        <v>410</v>
      </c>
      <c r="C196" s="18">
        <v>45690</v>
      </c>
      <c r="D196" s="1" t="s">
        <v>309</v>
      </c>
      <c r="E196" s="1" t="s">
        <v>22</v>
      </c>
      <c r="F196" s="1">
        <v>13</v>
      </c>
      <c r="G196" s="1">
        <v>5</v>
      </c>
      <c r="H196" s="1">
        <f>SUM(F196:G196)</f>
        <v>18</v>
      </c>
      <c r="I196" s="5">
        <f ca="1">H196-(ROUNDDOWN((($G$1-C196)/365),1))</f>
        <v>16.399999999999999</v>
      </c>
    </row>
    <row r="197" spans="1:9" x14ac:dyDescent="0.25">
      <c r="A197" s="2">
        <f ca="1">RANK(I197,$I$6:$I$475,0)</f>
        <v>187</v>
      </c>
      <c r="B197" s="1" t="s">
        <v>328</v>
      </c>
      <c r="C197" s="18">
        <v>45319</v>
      </c>
      <c r="D197" s="1" t="s">
        <v>66</v>
      </c>
      <c r="E197" s="1" t="s">
        <v>22</v>
      </c>
      <c r="F197" s="1">
        <v>13</v>
      </c>
      <c r="G197" s="1">
        <v>6</v>
      </c>
      <c r="H197" s="1">
        <f>SUM(F197:G197)</f>
        <v>19</v>
      </c>
      <c r="I197" s="5">
        <f ca="1">H197-(ROUNDDOWN((($G$1-C197)/365),1))</f>
        <v>16.399999999999999</v>
      </c>
    </row>
    <row r="198" spans="1:9" x14ac:dyDescent="0.25">
      <c r="A198" s="2">
        <f ca="1">RANK(I198,$I$6:$I$475,0)</f>
        <v>187</v>
      </c>
      <c r="B198" s="1" t="s">
        <v>329</v>
      </c>
      <c r="C198" s="18">
        <v>45319</v>
      </c>
      <c r="D198" s="1" t="s">
        <v>66</v>
      </c>
      <c r="E198" s="1" t="s">
        <v>17</v>
      </c>
      <c r="F198" s="1">
        <v>13</v>
      </c>
      <c r="G198" s="1">
        <v>6</v>
      </c>
      <c r="H198" s="1">
        <f>SUM(F198:G198)</f>
        <v>19</v>
      </c>
      <c r="I198" s="5">
        <f ca="1">H198-(ROUNDDOWN((($G$1-C198)/365),1))</f>
        <v>16.399999999999999</v>
      </c>
    </row>
    <row r="199" spans="1:9" x14ac:dyDescent="0.25">
      <c r="A199" s="2">
        <f ca="1">RANK(I199,$I$6:$I$475,0)</f>
        <v>187</v>
      </c>
      <c r="B199" s="29" t="s">
        <v>407</v>
      </c>
      <c r="C199" s="18">
        <v>45683</v>
      </c>
      <c r="D199" s="1" t="s">
        <v>71</v>
      </c>
      <c r="E199" s="1" t="s">
        <v>17</v>
      </c>
      <c r="F199" s="1">
        <v>14</v>
      </c>
      <c r="G199" s="1">
        <v>4</v>
      </c>
      <c r="H199" s="1">
        <f>SUM(F199:G199)</f>
        <v>18</v>
      </c>
      <c r="I199" s="5">
        <f ca="1">H199-(ROUNDDOWN((($G$1-C199)/365),1))</f>
        <v>16.399999999999999</v>
      </c>
    </row>
    <row r="200" spans="1:9" x14ac:dyDescent="0.25">
      <c r="A200" s="2">
        <f ca="1">RANK(I200,$I$6:$I$475,0)</f>
        <v>195</v>
      </c>
      <c r="B200" s="1" t="s">
        <v>406</v>
      </c>
      <c r="C200" s="18">
        <v>45676</v>
      </c>
      <c r="D200" s="1" t="s">
        <v>68</v>
      </c>
      <c r="E200" s="1" t="s">
        <v>22</v>
      </c>
      <c r="F200" s="1">
        <v>10</v>
      </c>
      <c r="G200" s="1">
        <v>8</v>
      </c>
      <c r="H200" s="1">
        <f>SUM(F200:G200)</f>
        <v>18</v>
      </c>
      <c r="I200" s="5">
        <f ca="1">H200-(ROUNDDOWN((($G$1-C200)/365),1))</f>
        <v>16.3</v>
      </c>
    </row>
    <row r="201" spans="1:9" x14ac:dyDescent="0.25">
      <c r="A201" s="2">
        <f ca="1">RANK(I201,$I$6:$I$475,0)</f>
        <v>195</v>
      </c>
      <c r="B201" s="29" t="s">
        <v>484</v>
      </c>
      <c r="C201" s="18">
        <v>46040</v>
      </c>
      <c r="D201" s="1" t="s">
        <v>378</v>
      </c>
      <c r="E201" s="1" t="s">
        <v>17</v>
      </c>
      <c r="F201" s="1">
        <v>12</v>
      </c>
      <c r="G201" s="1">
        <v>5</v>
      </c>
      <c r="H201" s="1">
        <f>SUM(F201:G201)</f>
        <v>17</v>
      </c>
      <c r="I201" s="5">
        <f ca="1">H201-(ROUNDDOWN((($G$1-C201)/365),1))</f>
        <v>16.3</v>
      </c>
    </row>
    <row r="202" spans="1:9" x14ac:dyDescent="0.25">
      <c r="A202" s="2">
        <f ca="1">RANK(I202,$I$6:$I$475,0)</f>
        <v>195</v>
      </c>
      <c r="B202" s="1" t="s">
        <v>83</v>
      </c>
      <c r="C202" s="18">
        <v>44577</v>
      </c>
      <c r="D202" s="1" t="s">
        <v>68</v>
      </c>
      <c r="E202" s="1" t="s">
        <v>17</v>
      </c>
      <c r="F202" s="1">
        <v>14</v>
      </c>
      <c r="G202" s="1">
        <v>7</v>
      </c>
      <c r="H202" s="1">
        <f>SUM(F202:G202)</f>
        <v>21</v>
      </c>
      <c r="I202" s="5">
        <f ca="1">H202-(ROUNDDOWN((($G$1-C202)/365),1))</f>
        <v>16.3</v>
      </c>
    </row>
    <row r="203" spans="1:9" x14ac:dyDescent="0.25">
      <c r="A203" s="2">
        <f ca="1">RANK(I203,$I$6:$I$475,0)</f>
        <v>195</v>
      </c>
      <c r="B203" s="1" t="s">
        <v>325</v>
      </c>
      <c r="C203" s="18">
        <v>45305</v>
      </c>
      <c r="D203" s="1" t="s">
        <v>307</v>
      </c>
      <c r="E203" s="1" t="s">
        <v>20</v>
      </c>
      <c r="F203" s="1">
        <v>12</v>
      </c>
      <c r="G203" s="1">
        <v>7</v>
      </c>
      <c r="H203" s="1">
        <f>SUM(F203:G203)</f>
        <v>19</v>
      </c>
      <c r="I203" s="5">
        <f ca="1">H203-(ROUNDDOWN((($G$1-C203)/365),1))</f>
        <v>16.3</v>
      </c>
    </row>
    <row r="204" spans="1:9" x14ac:dyDescent="0.25">
      <c r="A204" s="2">
        <f ca="1">RANK(I204,$I$6:$I$475,0)</f>
        <v>195</v>
      </c>
      <c r="B204" s="1" t="s">
        <v>261</v>
      </c>
      <c r="C204" s="18">
        <v>44934</v>
      </c>
      <c r="D204" s="1" t="s">
        <v>72</v>
      </c>
      <c r="E204" s="1" t="s">
        <v>22</v>
      </c>
      <c r="F204" s="1">
        <v>13</v>
      </c>
      <c r="G204" s="1">
        <v>7</v>
      </c>
      <c r="H204" s="1">
        <f>SUM(F204:G204)</f>
        <v>20</v>
      </c>
      <c r="I204" s="5">
        <f ca="1">H204-(ROUNDDOWN((($G$1-C204)/365),1))</f>
        <v>16.3</v>
      </c>
    </row>
    <row r="205" spans="1:9" x14ac:dyDescent="0.25">
      <c r="A205" s="2">
        <f ca="1">RANK(I205,$I$6:$I$475,0)</f>
        <v>195</v>
      </c>
      <c r="B205" s="1" t="s">
        <v>401</v>
      </c>
      <c r="C205" s="18">
        <v>45662</v>
      </c>
      <c r="D205" s="1" t="s">
        <v>68</v>
      </c>
      <c r="E205" s="1" t="s">
        <v>17</v>
      </c>
      <c r="F205" s="1">
        <v>10</v>
      </c>
      <c r="G205" s="1">
        <v>8</v>
      </c>
      <c r="H205" s="1">
        <f>SUM(F205:G205)</f>
        <v>18</v>
      </c>
      <c r="I205" s="5">
        <f ca="1">H205-(ROUNDDOWN((($G$1-C205)/365),1))</f>
        <v>16.3</v>
      </c>
    </row>
    <row r="206" spans="1:9" x14ac:dyDescent="0.25">
      <c r="A206" s="2">
        <f ca="1">RANK(I206,$I$6:$I$475,0)</f>
        <v>201</v>
      </c>
      <c r="B206" s="1" t="s">
        <v>473</v>
      </c>
      <c r="C206" s="18">
        <v>45991</v>
      </c>
      <c r="D206" s="1" t="s">
        <v>71</v>
      </c>
      <c r="E206" s="1" t="s">
        <v>17</v>
      </c>
      <c r="F206" s="1">
        <v>14</v>
      </c>
      <c r="G206" s="1">
        <v>3</v>
      </c>
      <c r="H206" s="1">
        <f>SUM(F206:G206)</f>
        <v>17</v>
      </c>
      <c r="I206" s="5">
        <f ca="1">H206-(ROUNDDOWN((($G$1-C206)/365),1))</f>
        <v>16.2</v>
      </c>
    </row>
    <row r="207" spans="1:9" x14ac:dyDescent="0.25">
      <c r="A207" s="2">
        <f ca="1">RANK(I207,$I$6:$I$475,0)</f>
        <v>201</v>
      </c>
      <c r="B207" s="29" t="s">
        <v>180</v>
      </c>
      <c r="C207" s="18">
        <v>44528</v>
      </c>
      <c r="D207" s="1" t="s">
        <v>71</v>
      </c>
      <c r="E207" s="1" t="s">
        <v>17</v>
      </c>
      <c r="F207" s="1">
        <v>15</v>
      </c>
      <c r="G207" s="1">
        <v>6</v>
      </c>
      <c r="H207" s="1">
        <f>SUM(F207:G207)</f>
        <v>21</v>
      </c>
      <c r="I207" s="5">
        <f ca="1">H207-(ROUNDDOWN((($G$1-C207)/365),1))</f>
        <v>16.2</v>
      </c>
    </row>
    <row r="208" spans="1:9" x14ac:dyDescent="0.25">
      <c r="A208" s="2">
        <f ca="1">RANK(I208,$I$6:$I$475,0)</f>
        <v>201</v>
      </c>
      <c r="B208" s="29" t="s">
        <v>316</v>
      </c>
      <c r="C208" s="18">
        <v>45256</v>
      </c>
      <c r="D208" s="1" t="s">
        <v>307</v>
      </c>
      <c r="E208" s="1" t="s">
        <v>20</v>
      </c>
      <c r="F208" s="1">
        <v>14</v>
      </c>
      <c r="G208" s="1">
        <v>5</v>
      </c>
      <c r="H208" s="1">
        <f>SUM(F208:G208)</f>
        <v>19</v>
      </c>
      <c r="I208" s="5">
        <f ca="1">H208-(ROUNDDOWN((($G$1-C208)/365),1))</f>
        <v>16.2</v>
      </c>
    </row>
    <row r="209" spans="1:9" x14ac:dyDescent="0.25">
      <c r="A209" s="2">
        <f ca="1">RANK(I209,$I$6:$I$475,0)</f>
        <v>201</v>
      </c>
      <c r="B209" s="29" t="s">
        <v>471</v>
      </c>
      <c r="C209" s="18">
        <v>45983</v>
      </c>
      <c r="D209" s="1" t="s">
        <v>378</v>
      </c>
      <c r="E209" s="1" t="s">
        <v>22</v>
      </c>
      <c r="F209" s="1">
        <v>9</v>
      </c>
      <c r="G209" s="1">
        <v>8</v>
      </c>
      <c r="H209" s="1">
        <f>SUM(F209:G209)</f>
        <v>17</v>
      </c>
      <c r="I209" s="5">
        <f ca="1">H209-(ROUNDDOWN((($G$1-C209)/365),1))</f>
        <v>16.2</v>
      </c>
    </row>
    <row r="210" spans="1:9" x14ac:dyDescent="0.25">
      <c r="A210" s="2">
        <f ca="1">RANK(I210,$I$6:$I$475,0)</f>
        <v>201</v>
      </c>
      <c r="B210" s="1" t="s">
        <v>385</v>
      </c>
      <c r="C210" s="18">
        <v>45613</v>
      </c>
      <c r="D210" s="1" t="s">
        <v>378</v>
      </c>
      <c r="E210" s="1" t="s">
        <v>22</v>
      </c>
      <c r="F210" s="1">
        <v>12</v>
      </c>
      <c r="G210" s="1">
        <v>6</v>
      </c>
      <c r="H210" s="1">
        <f>SUM(F210:G210)</f>
        <v>18</v>
      </c>
      <c r="I210" s="5">
        <f ca="1">H210-(ROUNDDOWN((($G$1-C210)/365),1))</f>
        <v>16.2</v>
      </c>
    </row>
    <row r="211" spans="1:9" x14ac:dyDescent="0.25">
      <c r="A211" s="2">
        <f ca="1">RANK(I211,$I$6:$I$475,0)</f>
        <v>206</v>
      </c>
      <c r="B211" s="1" t="s">
        <v>310</v>
      </c>
      <c r="C211" s="18">
        <v>45235</v>
      </c>
      <c r="D211" s="1" t="s">
        <v>184</v>
      </c>
      <c r="E211" s="1" t="s">
        <v>17</v>
      </c>
      <c r="F211" s="1">
        <v>13</v>
      </c>
      <c r="G211" s="1">
        <v>6</v>
      </c>
      <c r="H211" s="1">
        <f>SUM(F211:G211)</f>
        <v>19</v>
      </c>
      <c r="I211" s="5">
        <f ca="1">H211-(ROUNDDOWN((($G$1-C211)/365),1))</f>
        <v>16.100000000000001</v>
      </c>
    </row>
    <row r="212" spans="1:9" x14ac:dyDescent="0.25">
      <c r="A212" s="2">
        <f ca="1">RANK(I212,$I$6:$I$475,0)</f>
        <v>206</v>
      </c>
      <c r="B212" s="29" t="s">
        <v>249</v>
      </c>
      <c r="C212" s="18">
        <v>44864</v>
      </c>
      <c r="D212" s="1" t="s">
        <v>236</v>
      </c>
      <c r="E212" s="1" t="s">
        <v>22</v>
      </c>
      <c r="F212" s="1">
        <v>13</v>
      </c>
      <c r="G212" s="1">
        <v>7</v>
      </c>
      <c r="H212" s="1">
        <f>SUM(F212:G212)</f>
        <v>20</v>
      </c>
      <c r="I212" s="5">
        <f ca="1">H212-(ROUNDDOWN((($G$1-C212)/365),1))</f>
        <v>16.100000000000001</v>
      </c>
    </row>
    <row r="213" spans="1:9" x14ac:dyDescent="0.25">
      <c r="A213" s="2">
        <f ca="1">RANK(I213,$I$6:$I$475,0)</f>
        <v>206</v>
      </c>
      <c r="B213" s="1" t="s">
        <v>169</v>
      </c>
      <c r="C213" s="18">
        <v>44493</v>
      </c>
      <c r="D213" s="1" t="s">
        <v>71</v>
      </c>
      <c r="E213" s="1" t="s">
        <v>22</v>
      </c>
      <c r="F213" s="1">
        <v>15</v>
      </c>
      <c r="G213" s="1">
        <v>6</v>
      </c>
      <c r="H213" s="1">
        <f>SUM(F213:G213)</f>
        <v>21</v>
      </c>
      <c r="I213" s="5">
        <f ca="1">H213-(ROUNDDOWN((($G$1-C213)/365),1))</f>
        <v>16.100000000000001</v>
      </c>
    </row>
    <row r="214" spans="1:9" x14ac:dyDescent="0.25">
      <c r="A214" s="2">
        <f ca="1">RANK(I214,$I$6:$I$475,0)</f>
        <v>206</v>
      </c>
      <c r="B214" s="29" t="s">
        <v>168</v>
      </c>
      <c r="C214" s="18">
        <v>44485</v>
      </c>
      <c r="D214" s="1" t="s">
        <v>71</v>
      </c>
      <c r="E214" s="1" t="s">
        <v>22</v>
      </c>
      <c r="F214" s="1">
        <v>15</v>
      </c>
      <c r="G214" s="1">
        <v>6</v>
      </c>
      <c r="H214" s="1">
        <f>SUM(F214:G214)</f>
        <v>21</v>
      </c>
      <c r="I214" s="5">
        <f ca="1">H214-(ROUNDDOWN((($G$1-C214)/365),1))</f>
        <v>16.100000000000001</v>
      </c>
    </row>
    <row r="215" spans="1:9" x14ac:dyDescent="0.25">
      <c r="A215" s="2">
        <f ca="1">RANK(I215,$I$6:$I$475,0)</f>
        <v>210</v>
      </c>
      <c r="B215" s="1" t="s">
        <v>301</v>
      </c>
      <c r="C215" s="18">
        <v>45193</v>
      </c>
      <c r="D215" s="1" t="s">
        <v>266</v>
      </c>
      <c r="E215" s="1" t="s">
        <v>17</v>
      </c>
      <c r="F215" s="1">
        <v>13</v>
      </c>
      <c r="G215" s="1">
        <v>6</v>
      </c>
      <c r="H215" s="1">
        <f>SUM(F215:G215)</f>
        <v>19</v>
      </c>
      <c r="I215" s="5">
        <f ca="1">H215-(ROUNDDOWN((($G$1-C215)/365),1))</f>
        <v>16</v>
      </c>
    </row>
    <row r="216" spans="1:9" x14ac:dyDescent="0.25">
      <c r="A216" s="2">
        <f ca="1">RANK(I216,$I$6:$I$475,0)</f>
        <v>210</v>
      </c>
      <c r="B216" s="1" t="s">
        <v>373</v>
      </c>
      <c r="C216" s="18">
        <v>45557</v>
      </c>
      <c r="D216" s="1" t="s">
        <v>73</v>
      </c>
      <c r="E216" s="1" t="s">
        <v>20</v>
      </c>
      <c r="F216" s="1">
        <v>12</v>
      </c>
      <c r="G216" s="1">
        <v>6</v>
      </c>
      <c r="H216" s="1">
        <f>SUM(F216:G216)</f>
        <v>18</v>
      </c>
      <c r="I216" s="5">
        <f ca="1">H216-(ROUNDDOWN((($G$1-C216)/365),1))</f>
        <v>16</v>
      </c>
    </row>
    <row r="217" spans="1:9" x14ac:dyDescent="0.25">
      <c r="A217" s="2">
        <f ca="1">RANK(I217,$I$6:$I$475,0)</f>
        <v>210</v>
      </c>
      <c r="B217" s="29" t="s">
        <v>300</v>
      </c>
      <c r="C217" s="18">
        <v>45186</v>
      </c>
      <c r="D217" s="1" t="s">
        <v>149</v>
      </c>
      <c r="E217" s="1" t="s">
        <v>22</v>
      </c>
      <c r="F217" s="1">
        <v>14</v>
      </c>
      <c r="G217" s="1">
        <v>5</v>
      </c>
      <c r="H217" s="1">
        <f>SUM(F217:G217)</f>
        <v>19</v>
      </c>
      <c r="I217" s="5">
        <f ca="1">H217-(ROUNDDOWN((($G$1-C217)/365),1))</f>
        <v>16</v>
      </c>
    </row>
    <row r="218" spans="1:9" x14ac:dyDescent="0.25">
      <c r="A218" s="2">
        <f ca="1">RANK(I218,$I$6:$I$475,0)</f>
        <v>210</v>
      </c>
      <c r="B218" s="1" t="s">
        <v>234</v>
      </c>
      <c r="C218" s="18">
        <v>44815</v>
      </c>
      <c r="D218" s="1" t="s">
        <v>184</v>
      </c>
      <c r="E218" s="1" t="s">
        <v>22</v>
      </c>
      <c r="F218" s="1">
        <v>14</v>
      </c>
      <c r="G218" s="1">
        <v>6</v>
      </c>
      <c r="H218" s="1">
        <f>SUM(F218:G218)</f>
        <v>20</v>
      </c>
      <c r="I218" s="5">
        <f ca="1">H218-(ROUNDDOWN((($G$1-C218)/365),1))</f>
        <v>16</v>
      </c>
    </row>
    <row r="219" spans="1:9" x14ac:dyDescent="0.25">
      <c r="A219" s="2">
        <f ca="1">RANK(I219,$I$6:$I$475,0)</f>
        <v>210</v>
      </c>
      <c r="B219" s="1" t="s">
        <v>456</v>
      </c>
      <c r="C219" s="18">
        <v>45907</v>
      </c>
      <c r="D219" s="1" t="s">
        <v>377</v>
      </c>
      <c r="E219" s="1" t="s">
        <v>22</v>
      </c>
      <c r="F219" s="1">
        <v>12</v>
      </c>
      <c r="G219" s="1">
        <v>5</v>
      </c>
      <c r="H219" s="1">
        <f>SUM(F219:G219)</f>
        <v>17</v>
      </c>
      <c r="I219" s="5">
        <f ca="1">H219-(ROUNDDOWN((($G$1-C219)/365),1))</f>
        <v>16</v>
      </c>
    </row>
    <row r="220" spans="1:9" x14ac:dyDescent="0.25">
      <c r="A220" s="2">
        <f ca="1">RANK(I220,$I$6:$I$475,0)</f>
        <v>210</v>
      </c>
      <c r="B220" s="1" t="s">
        <v>299</v>
      </c>
      <c r="C220" s="18">
        <v>45172</v>
      </c>
      <c r="D220" s="1" t="s">
        <v>68</v>
      </c>
      <c r="E220" s="1" t="s">
        <v>20</v>
      </c>
      <c r="F220" s="1">
        <v>13</v>
      </c>
      <c r="G220" s="1">
        <v>6</v>
      </c>
      <c r="H220" s="1">
        <f>SUM(F220:G220)</f>
        <v>19</v>
      </c>
      <c r="I220" s="5">
        <f ca="1">H220-(ROUNDDOWN((($G$1-C220)/365),1))</f>
        <v>16</v>
      </c>
    </row>
    <row r="221" spans="1:9" x14ac:dyDescent="0.25">
      <c r="A221" s="2">
        <f ca="1">RANK(I221,$I$6:$I$475,0)</f>
        <v>216</v>
      </c>
      <c r="B221" s="1" t="s">
        <v>453</v>
      </c>
      <c r="C221" s="18">
        <v>45886</v>
      </c>
      <c r="D221" s="1" t="s">
        <v>309</v>
      </c>
      <c r="E221" s="1" t="s">
        <v>33</v>
      </c>
      <c r="F221" s="1">
        <v>11</v>
      </c>
      <c r="G221" s="1">
        <v>6</v>
      </c>
      <c r="H221" s="1">
        <f>SUM(F221:G221)</f>
        <v>17</v>
      </c>
      <c r="I221" s="5">
        <f ca="1">H221-(ROUNDDOWN((($G$1-C221)/365),1))</f>
        <v>15.9</v>
      </c>
    </row>
    <row r="222" spans="1:9" x14ac:dyDescent="0.25">
      <c r="A222" s="2">
        <f ca="1">RANK(I222,$I$6:$I$475,0)</f>
        <v>216</v>
      </c>
      <c r="B222" s="1" t="s">
        <v>362</v>
      </c>
      <c r="C222" s="18">
        <v>45515</v>
      </c>
      <c r="D222" s="1" t="s">
        <v>266</v>
      </c>
      <c r="E222" s="1" t="s">
        <v>17</v>
      </c>
      <c r="F222" s="1">
        <v>15</v>
      </c>
      <c r="G222" s="1">
        <v>3</v>
      </c>
      <c r="H222" s="1">
        <f>SUM(F222:G222)</f>
        <v>18</v>
      </c>
      <c r="I222" s="5">
        <f ca="1">H222-(ROUNDDOWN((($G$1-C222)/365),1))</f>
        <v>15.9</v>
      </c>
    </row>
    <row r="223" spans="1:9" x14ac:dyDescent="0.25">
      <c r="A223" s="2">
        <f ca="1">RANK(I223,$I$6:$I$475,0)</f>
        <v>216</v>
      </c>
      <c r="B223" s="29" t="s">
        <v>31</v>
      </c>
      <c r="C223" s="18">
        <v>44409</v>
      </c>
      <c r="D223" s="1" t="s">
        <v>72</v>
      </c>
      <c r="E223" s="1" t="s">
        <v>17</v>
      </c>
      <c r="F223" s="1">
        <v>13</v>
      </c>
      <c r="G223" s="1">
        <v>8</v>
      </c>
      <c r="H223" s="1">
        <f>SUM(F223:G223)</f>
        <v>21</v>
      </c>
      <c r="I223" s="5">
        <f ca="1">H223-(ROUNDDOWN((($G$1-C223)/365),1))</f>
        <v>15.9</v>
      </c>
    </row>
    <row r="224" spans="1:9" x14ac:dyDescent="0.25">
      <c r="A224" s="2">
        <f ca="1">RANK(I224,$I$6:$I$475,0)</f>
        <v>219</v>
      </c>
      <c r="B224" s="29" t="s">
        <v>357</v>
      </c>
      <c r="C224" s="18">
        <v>45494</v>
      </c>
      <c r="D224" s="1" t="s">
        <v>67</v>
      </c>
      <c r="E224" s="1" t="s">
        <v>22</v>
      </c>
      <c r="F224" s="1">
        <v>13</v>
      </c>
      <c r="G224" s="1">
        <v>5</v>
      </c>
      <c r="H224" s="1">
        <f>SUM(F224:G224)</f>
        <v>18</v>
      </c>
      <c r="I224" s="5">
        <f ca="1">H224-(ROUNDDOWN((($G$1-C224)/365),1))</f>
        <v>15.8</v>
      </c>
    </row>
    <row r="225" spans="1:9" x14ac:dyDescent="0.25">
      <c r="A225" s="2">
        <f ca="1">RANK(I225,$I$6:$I$475,0)</f>
        <v>219</v>
      </c>
      <c r="B225" s="1" t="s">
        <v>444</v>
      </c>
      <c r="C225" s="18">
        <v>45844</v>
      </c>
      <c r="D225" s="1" t="s">
        <v>68</v>
      </c>
      <c r="E225" s="1" t="s">
        <v>22</v>
      </c>
      <c r="F225" s="1">
        <v>9</v>
      </c>
      <c r="G225" s="1">
        <v>8</v>
      </c>
      <c r="H225" s="1">
        <f>SUM(F225:G225)</f>
        <v>17</v>
      </c>
      <c r="I225" s="5">
        <f ca="1">H225-(ROUNDDOWN((($G$1-C225)/365),1))</f>
        <v>15.8</v>
      </c>
    </row>
    <row r="226" spans="1:9" x14ac:dyDescent="0.25">
      <c r="A226" s="2">
        <f ca="1">RANK(I226,$I$6:$I$475,0)</f>
        <v>219</v>
      </c>
      <c r="B226" s="1" t="s">
        <v>290</v>
      </c>
      <c r="C226" s="18">
        <v>45102</v>
      </c>
      <c r="D226" s="1" t="s">
        <v>68</v>
      </c>
      <c r="E226" s="1" t="s">
        <v>33</v>
      </c>
      <c r="F226" s="1">
        <v>12</v>
      </c>
      <c r="G226" s="1">
        <v>7</v>
      </c>
      <c r="H226" s="1">
        <f>SUM(F226:G226)</f>
        <v>19</v>
      </c>
      <c r="I226" s="5">
        <f ca="1">H226-(ROUNDDOWN((($G$1-C226)/365),1))</f>
        <v>15.8</v>
      </c>
    </row>
    <row r="227" spans="1:9" x14ac:dyDescent="0.25">
      <c r="A227" s="2">
        <f ca="1">RANK(I227,$I$6:$I$475,0)</f>
        <v>219</v>
      </c>
      <c r="B227" s="1" t="s">
        <v>289</v>
      </c>
      <c r="C227" s="18">
        <v>45102</v>
      </c>
      <c r="D227" s="1" t="s">
        <v>68</v>
      </c>
      <c r="E227" s="1" t="s">
        <v>20</v>
      </c>
      <c r="F227" s="1">
        <v>12</v>
      </c>
      <c r="G227" s="1">
        <v>7</v>
      </c>
      <c r="H227" s="1">
        <f>SUM(F227:G227)</f>
        <v>19</v>
      </c>
      <c r="I227" s="5">
        <f ca="1">H227-(ROUNDDOWN((($G$1-C227)/365),1))</f>
        <v>15.8</v>
      </c>
    </row>
    <row r="228" spans="1:9" x14ac:dyDescent="0.25">
      <c r="A228" s="2">
        <f ca="1">RANK(I228,$I$6:$I$475,0)</f>
        <v>219</v>
      </c>
      <c r="B228" s="1" t="s">
        <v>134</v>
      </c>
      <c r="C228" s="18">
        <v>44367</v>
      </c>
      <c r="D228" s="1" t="s">
        <v>74</v>
      </c>
      <c r="E228" s="1" t="s">
        <v>22</v>
      </c>
      <c r="F228" s="1">
        <v>14</v>
      </c>
      <c r="G228" s="1">
        <v>7</v>
      </c>
      <c r="H228" s="1">
        <f>SUM(F228:G228)</f>
        <v>21</v>
      </c>
      <c r="I228" s="5">
        <f ca="1">H228-(ROUNDDOWN((($G$1-C228)/365),1))</f>
        <v>15.8</v>
      </c>
    </row>
    <row r="229" spans="1:9" x14ac:dyDescent="0.25">
      <c r="A229" s="2">
        <f ca="1">RANK(I229,$I$6:$I$475,0)</f>
        <v>224</v>
      </c>
      <c r="B229" s="29" t="s">
        <v>436</v>
      </c>
      <c r="C229" s="18">
        <v>45809</v>
      </c>
      <c r="D229" s="1" t="s">
        <v>71</v>
      </c>
      <c r="E229" s="1" t="s">
        <v>22</v>
      </c>
      <c r="F229" s="1">
        <v>11</v>
      </c>
      <c r="G229" s="1">
        <v>6</v>
      </c>
      <c r="H229" s="1">
        <f>SUM(F229:G229)</f>
        <v>17</v>
      </c>
      <c r="I229" s="5">
        <f ca="1">H229-(ROUNDDOWN((($G$1-C229)/365),1))</f>
        <v>15.7</v>
      </c>
    </row>
    <row r="230" spans="1:9" x14ac:dyDescent="0.25">
      <c r="A230" s="2">
        <f ca="1">RANK(I230,$I$6:$I$475,0)</f>
        <v>224</v>
      </c>
      <c r="B230" s="29" t="s">
        <v>284</v>
      </c>
      <c r="C230" s="18">
        <v>45074</v>
      </c>
      <c r="D230" s="1" t="s">
        <v>154</v>
      </c>
      <c r="E230" s="1" t="s">
        <v>22</v>
      </c>
      <c r="F230" s="1">
        <v>14</v>
      </c>
      <c r="G230" s="1">
        <v>5</v>
      </c>
      <c r="H230" s="1">
        <f>SUM(F230:G230)</f>
        <v>19</v>
      </c>
      <c r="I230" s="5">
        <f ca="1">H230-(ROUNDDOWN((($G$1-C230)/365),1))</f>
        <v>15.7</v>
      </c>
    </row>
    <row r="231" spans="1:9" x14ac:dyDescent="0.25">
      <c r="A231" s="2">
        <f ca="1">RANK(I231,$I$6:$I$475,0)</f>
        <v>224</v>
      </c>
      <c r="B231" s="1" t="s">
        <v>211</v>
      </c>
      <c r="C231" s="18">
        <v>44703</v>
      </c>
      <c r="D231" s="1" t="s">
        <v>69</v>
      </c>
      <c r="E231" s="1" t="s">
        <v>22</v>
      </c>
      <c r="F231" s="1">
        <v>13</v>
      </c>
      <c r="G231" s="1">
        <v>7</v>
      </c>
      <c r="H231" s="1">
        <f>SUM(F231:G231)</f>
        <v>20</v>
      </c>
      <c r="I231" s="5">
        <f ca="1">H231-(ROUNDDOWN((($G$1-C231)/365),1))</f>
        <v>15.7</v>
      </c>
    </row>
    <row r="232" spans="1:9" x14ac:dyDescent="0.25">
      <c r="A232" s="2">
        <f ca="1">RANK(I232,$I$6:$I$475,0)</f>
        <v>224</v>
      </c>
      <c r="B232" s="1" t="s">
        <v>112</v>
      </c>
      <c r="C232" s="18">
        <v>44703</v>
      </c>
      <c r="D232" s="1" t="s">
        <v>74</v>
      </c>
      <c r="E232" s="1" t="s">
        <v>40</v>
      </c>
      <c r="F232" s="1">
        <v>13</v>
      </c>
      <c r="G232" s="1">
        <v>7</v>
      </c>
      <c r="H232" s="1">
        <f>SUM(F232:G232)</f>
        <v>20</v>
      </c>
      <c r="I232" s="5">
        <f ca="1">H232-(ROUNDDOWN((($G$1-C232)/365),1))</f>
        <v>15.7</v>
      </c>
    </row>
    <row r="233" spans="1:9" x14ac:dyDescent="0.25">
      <c r="A233" s="2">
        <f ca="1">RANK(I233,$I$6:$I$475,0)</f>
        <v>228</v>
      </c>
      <c r="B233" s="29" t="s">
        <v>511</v>
      </c>
      <c r="C233" s="18">
        <v>46145</v>
      </c>
      <c r="D233" s="1" t="s">
        <v>378</v>
      </c>
      <c r="E233" s="1" t="s">
        <v>17</v>
      </c>
      <c r="F233" s="1">
        <v>12</v>
      </c>
      <c r="G233" s="1">
        <v>4</v>
      </c>
      <c r="H233" s="1">
        <f>SUM(F233:G233)</f>
        <v>16</v>
      </c>
      <c r="I233" s="5">
        <f ca="1">H233-(ROUNDDOWN((($G$1-C233)/365),1))</f>
        <v>15.6</v>
      </c>
    </row>
    <row r="234" spans="1:9" x14ac:dyDescent="0.25">
      <c r="A234" s="2">
        <f ca="1">RANK(I234,$I$6:$I$475,0)</f>
        <v>228</v>
      </c>
      <c r="B234" s="1" t="s">
        <v>278</v>
      </c>
      <c r="C234" s="18">
        <v>45039</v>
      </c>
      <c r="D234" s="1" t="s">
        <v>73</v>
      </c>
      <c r="E234" s="1" t="s">
        <v>33</v>
      </c>
      <c r="F234" s="1">
        <v>11</v>
      </c>
      <c r="G234" s="1">
        <v>8</v>
      </c>
      <c r="H234" s="1">
        <f>SUM(F234:G234)</f>
        <v>19</v>
      </c>
      <c r="I234" s="5">
        <f ca="1">H234-(ROUNDDOWN((($G$1-C234)/365),1))</f>
        <v>15.6</v>
      </c>
    </row>
    <row r="235" spans="1:9" x14ac:dyDescent="0.25">
      <c r="A235" s="2">
        <f ca="1">RANK(I235,$I$6:$I$475,0)</f>
        <v>228</v>
      </c>
      <c r="B235" s="1" t="s">
        <v>509</v>
      </c>
      <c r="C235" s="18">
        <v>46138</v>
      </c>
      <c r="D235" s="1" t="s">
        <v>483</v>
      </c>
      <c r="E235" s="1" t="s">
        <v>22</v>
      </c>
      <c r="F235" s="1">
        <v>12</v>
      </c>
      <c r="G235" s="1">
        <v>4</v>
      </c>
      <c r="H235" s="1">
        <f>SUM(F235:G235)</f>
        <v>16</v>
      </c>
      <c r="I235" s="5">
        <f ca="1">H235-(ROUNDDOWN((($G$1-C235)/365),1))</f>
        <v>15.6</v>
      </c>
    </row>
    <row r="236" spans="1:9" x14ac:dyDescent="0.25">
      <c r="A236" s="2">
        <f ca="1">RANK(I236,$I$6:$I$475,0)</f>
        <v>228</v>
      </c>
      <c r="B236" s="1" t="s">
        <v>506</v>
      </c>
      <c r="C236" s="18">
        <v>46124</v>
      </c>
      <c r="D236" s="1" t="s">
        <v>377</v>
      </c>
      <c r="E236" s="1" t="s">
        <v>22</v>
      </c>
      <c r="F236" s="1">
        <v>11</v>
      </c>
      <c r="G236" s="1">
        <v>5</v>
      </c>
      <c r="H236" s="1">
        <f>SUM(F236:G236)</f>
        <v>16</v>
      </c>
      <c r="I236" s="5">
        <f ca="1">H236-(ROUNDDOWN((($G$1-C236)/365),1))</f>
        <v>15.6</v>
      </c>
    </row>
    <row r="237" spans="1:9" x14ac:dyDescent="0.25">
      <c r="A237" s="2">
        <f ca="1">RANK(I237,$I$6:$I$475,0)</f>
        <v>228</v>
      </c>
      <c r="B237" s="1" t="s">
        <v>341</v>
      </c>
      <c r="C237" s="18">
        <v>45389</v>
      </c>
      <c r="D237" s="1" t="s">
        <v>149</v>
      </c>
      <c r="E237" s="1" t="s">
        <v>17</v>
      </c>
      <c r="F237" s="1">
        <v>12</v>
      </c>
      <c r="G237" s="1">
        <v>6</v>
      </c>
      <c r="H237" s="1">
        <f>SUM(F237:G237)</f>
        <v>18</v>
      </c>
      <c r="I237" s="5">
        <f ca="1">H237-(ROUNDDOWN((($G$1-C237)/365),1))</f>
        <v>15.6</v>
      </c>
    </row>
    <row r="238" spans="1:9" x14ac:dyDescent="0.25">
      <c r="A238" s="2">
        <f ca="1">RANK(I238,$I$6:$I$475,0)</f>
        <v>233</v>
      </c>
      <c r="B238" s="29" t="s">
        <v>113</v>
      </c>
      <c r="C238" s="18">
        <v>44290</v>
      </c>
      <c r="D238" s="1" t="s">
        <v>71</v>
      </c>
      <c r="E238" s="1" t="s">
        <v>22</v>
      </c>
      <c r="F238" s="1">
        <v>14</v>
      </c>
      <c r="G238" s="1">
        <v>7</v>
      </c>
      <c r="H238" s="1">
        <f>SUM(F238:G238)</f>
        <v>21</v>
      </c>
      <c r="I238" s="5">
        <f ca="1">H238-(ROUNDDOWN((($G$1-C238)/365),1))</f>
        <v>15.5</v>
      </c>
    </row>
    <row r="239" spans="1:9" x14ac:dyDescent="0.25">
      <c r="A239" s="2">
        <f ca="1">RANK(I239,$I$6:$I$475,0)</f>
        <v>233</v>
      </c>
      <c r="B239" s="1" t="s">
        <v>420</v>
      </c>
      <c r="C239" s="18">
        <v>45746</v>
      </c>
      <c r="D239" s="1" t="s">
        <v>74</v>
      </c>
      <c r="E239" s="1" t="s">
        <v>22</v>
      </c>
      <c r="F239" s="1">
        <v>12</v>
      </c>
      <c r="G239" s="1">
        <v>5</v>
      </c>
      <c r="H239" s="1">
        <f>SUM(F239:G239)</f>
        <v>17</v>
      </c>
      <c r="I239" s="5">
        <f ca="1">H239-(ROUNDDOWN((($G$1-C239)/365),1))</f>
        <v>15.5</v>
      </c>
    </row>
    <row r="240" spans="1:9" x14ac:dyDescent="0.25">
      <c r="A240" s="2">
        <f ca="1">RANK(I240,$I$6:$I$475,0)</f>
        <v>233</v>
      </c>
      <c r="B240" s="1" t="s">
        <v>103</v>
      </c>
      <c r="C240" s="18">
        <v>45011</v>
      </c>
      <c r="D240" s="1" t="s">
        <v>66</v>
      </c>
      <c r="E240" s="1" t="s">
        <v>40</v>
      </c>
      <c r="F240" s="1">
        <v>14</v>
      </c>
      <c r="G240" s="1">
        <v>5</v>
      </c>
      <c r="H240" s="1">
        <f>SUM(F240:G240)</f>
        <v>19</v>
      </c>
      <c r="I240" s="5">
        <f ca="1">H240-(ROUNDDOWN((($G$1-C240)/365),1))</f>
        <v>15.5</v>
      </c>
    </row>
    <row r="241" spans="1:9" x14ac:dyDescent="0.25">
      <c r="A241" s="2">
        <f ca="1">RANK(I241,$I$6:$I$475,0)</f>
        <v>233</v>
      </c>
      <c r="B241" s="29" t="s">
        <v>136</v>
      </c>
      <c r="C241" s="18">
        <v>45011</v>
      </c>
      <c r="D241" s="1" t="s">
        <v>72</v>
      </c>
      <c r="E241" s="1" t="s">
        <v>17</v>
      </c>
      <c r="F241" s="1">
        <v>11</v>
      </c>
      <c r="G241" s="1">
        <v>8</v>
      </c>
      <c r="H241" s="1">
        <f>SUM(F241:G241)</f>
        <v>19</v>
      </c>
      <c r="I241" s="5">
        <f ca="1">H241-(ROUNDDOWN((($G$1-C241)/365),1))</f>
        <v>15.5</v>
      </c>
    </row>
    <row r="242" spans="1:9" x14ac:dyDescent="0.25">
      <c r="A242" s="2">
        <f ca="1">RANK(I242,$I$6:$I$475,0)</f>
        <v>233</v>
      </c>
      <c r="B242" s="29" t="s">
        <v>338</v>
      </c>
      <c r="C242" s="18">
        <v>45375</v>
      </c>
      <c r="D242" s="1" t="s">
        <v>149</v>
      </c>
      <c r="E242" s="1" t="s">
        <v>22</v>
      </c>
      <c r="F242" s="1">
        <v>9</v>
      </c>
      <c r="G242" s="1">
        <v>9</v>
      </c>
      <c r="H242" s="1">
        <f>SUM(F242:G242)</f>
        <v>18</v>
      </c>
      <c r="I242" s="5">
        <f ca="1">H242-(ROUNDDOWN((($G$1-C242)/365),1))</f>
        <v>15.5</v>
      </c>
    </row>
    <row r="243" spans="1:9" x14ac:dyDescent="0.25">
      <c r="A243" s="2">
        <f ca="1">RANK(I243,$I$6:$I$475,0)</f>
        <v>233</v>
      </c>
      <c r="B243" s="1" t="s">
        <v>500</v>
      </c>
      <c r="C243" s="18">
        <v>46103</v>
      </c>
      <c r="D243" s="1" t="s">
        <v>74</v>
      </c>
      <c r="E243" s="1" t="s">
        <v>17</v>
      </c>
      <c r="F243" s="1">
        <v>11</v>
      </c>
      <c r="G243" s="1">
        <v>5</v>
      </c>
      <c r="H243" s="1">
        <f>SUM(F243:G243)</f>
        <v>16</v>
      </c>
      <c r="I243" s="5">
        <f ca="1">H243-(ROUNDDOWN((($G$1-C243)/365),1))</f>
        <v>15.5</v>
      </c>
    </row>
    <row r="244" spans="1:9" x14ac:dyDescent="0.25">
      <c r="A244" s="2">
        <f ca="1">RANK(I244,$I$6:$I$475,0)</f>
        <v>233</v>
      </c>
      <c r="B244" s="1" t="s">
        <v>202</v>
      </c>
      <c r="C244" s="18">
        <v>44640</v>
      </c>
      <c r="D244" s="1" t="s">
        <v>71</v>
      </c>
      <c r="E244" s="1" t="s">
        <v>17</v>
      </c>
      <c r="F244" s="1">
        <v>15</v>
      </c>
      <c r="G244" s="1">
        <v>5</v>
      </c>
      <c r="H244" s="1">
        <f>SUM(F244:G244)</f>
        <v>20</v>
      </c>
      <c r="I244" s="5">
        <f ca="1">H244-(ROUNDDOWN((($G$1-C244)/365),1))</f>
        <v>15.5</v>
      </c>
    </row>
    <row r="245" spans="1:9" x14ac:dyDescent="0.25">
      <c r="A245" s="2">
        <f ca="1">RANK(I245,$I$6:$I$475,0)</f>
        <v>233</v>
      </c>
      <c r="B245" s="1" t="s">
        <v>336</v>
      </c>
      <c r="C245" s="18">
        <v>45368</v>
      </c>
      <c r="D245" s="1" t="s">
        <v>72</v>
      </c>
      <c r="E245" s="1" t="s">
        <v>22</v>
      </c>
      <c r="F245" s="1">
        <v>11</v>
      </c>
      <c r="G245" s="1">
        <v>7</v>
      </c>
      <c r="H245" s="1">
        <f>SUM(F245:G245)</f>
        <v>18</v>
      </c>
      <c r="I245" s="5">
        <f ca="1">H245-(ROUNDDOWN((($G$1-C245)/365),1))</f>
        <v>15.5</v>
      </c>
    </row>
    <row r="246" spans="1:9" x14ac:dyDescent="0.25">
      <c r="A246" s="2">
        <f ca="1">RANK(I246,$I$6:$I$475,0)</f>
        <v>233</v>
      </c>
      <c r="B246" s="1" t="s">
        <v>417</v>
      </c>
      <c r="C246" s="18">
        <v>45732</v>
      </c>
      <c r="D246" s="1" t="s">
        <v>308</v>
      </c>
      <c r="E246" s="1" t="s">
        <v>17</v>
      </c>
      <c r="F246" s="1">
        <v>11</v>
      </c>
      <c r="G246" s="1">
        <v>6</v>
      </c>
      <c r="H246" s="1">
        <f>SUM(F246:G246)</f>
        <v>17</v>
      </c>
      <c r="I246" s="5">
        <f ca="1">H246-(ROUNDDOWN((($G$1-C246)/365),1))</f>
        <v>15.5</v>
      </c>
    </row>
    <row r="247" spans="1:9" x14ac:dyDescent="0.25">
      <c r="A247" s="2">
        <f ca="1">RANK(I247,$I$6:$I$475,0)</f>
        <v>233</v>
      </c>
      <c r="B247" s="29" t="s">
        <v>495</v>
      </c>
      <c r="C247" s="18">
        <v>46082</v>
      </c>
      <c r="D247" s="1" t="s">
        <v>266</v>
      </c>
      <c r="E247" s="1" t="s">
        <v>17</v>
      </c>
      <c r="F247" s="1">
        <v>10</v>
      </c>
      <c r="G247" s="1">
        <v>6</v>
      </c>
      <c r="H247" s="1">
        <f>SUM(F247:G247)</f>
        <v>16</v>
      </c>
      <c r="I247" s="5">
        <f ca="1">H247-(ROUNDDOWN((($G$1-C247)/365),1))</f>
        <v>15.5</v>
      </c>
    </row>
    <row r="248" spans="1:9" x14ac:dyDescent="0.25">
      <c r="A248" s="2">
        <f ca="1">RANK(I248,$I$6:$I$475,0)</f>
        <v>243</v>
      </c>
      <c r="B248" s="1" t="s">
        <v>193</v>
      </c>
      <c r="C248" s="18">
        <v>44605</v>
      </c>
      <c r="D248" s="1" t="s">
        <v>68</v>
      </c>
      <c r="E248" s="1" t="s">
        <v>22</v>
      </c>
      <c r="F248" s="1">
        <v>14</v>
      </c>
      <c r="G248" s="1">
        <v>6</v>
      </c>
      <c r="H248" s="1">
        <f>SUM(F248:G248)</f>
        <v>20</v>
      </c>
      <c r="I248" s="5">
        <f ca="1">H248-(ROUNDDOWN((($G$1-C248)/365),1))</f>
        <v>15.4</v>
      </c>
    </row>
    <row r="249" spans="1:9" x14ac:dyDescent="0.25">
      <c r="A249" s="2">
        <f ca="1">RANK(I249,$I$6:$I$475,0)</f>
        <v>243</v>
      </c>
      <c r="B249" s="1" t="s">
        <v>492</v>
      </c>
      <c r="C249" s="18">
        <v>46061</v>
      </c>
      <c r="D249" s="1" t="s">
        <v>71</v>
      </c>
      <c r="E249" s="1" t="s">
        <v>22</v>
      </c>
      <c r="F249" s="1">
        <v>12</v>
      </c>
      <c r="G249" s="1">
        <v>4</v>
      </c>
      <c r="H249" s="1">
        <f>SUM(F249:G249)</f>
        <v>16</v>
      </c>
      <c r="I249" s="5">
        <f ca="1">H249-(ROUNDDOWN((($G$1-C249)/365),1))</f>
        <v>15.4</v>
      </c>
    </row>
    <row r="250" spans="1:9" x14ac:dyDescent="0.25">
      <c r="A250" s="2">
        <f ca="1">RANK(I250,$I$6:$I$475,0)</f>
        <v>243</v>
      </c>
      <c r="B250" s="1" t="s">
        <v>269</v>
      </c>
      <c r="C250" s="18">
        <v>44962</v>
      </c>
      <c r="D250" s="1" t="s">
        <v>154</v>
      </c>
      <c r="E250" s="1" t="s">
        <v>22</v>
      </c>
      <c r="F250" s="1">
        <v>13</v>
      </c>
      <c r="G250" s="1">
        <v>6</v>
      </c>
      <c r="H250" s="1">
        <f>SUM(F250:G250)</f>
        <v>19</v>
      </c>
      <c r="I250" s="5">
        <f ca="1">H250-(ROUNDDOWN((($G$1-C250)/365),1))</f>
        <v>15.4</v>
      </c>
    </row>
    <row r="251" spans="1:9" x14ac:dyDescent="0.25">
      <c r="A251" s="2">
        <f ca="1">RANK(I251,$I$6:$I$475,0)</f>
        <v>243</v>
      </c>
      <c r="B251" s="29" t="s">
        <v>95</v>
      </c>
      <c r="C251" s="18">
        <v>44226</v>
      </c>
      <c r="D251" s="1" t="s">
        <v>74</v>
      </c>
      <c r="E251" s="1" t="s">
        <v>22</v>
      </c>
      <c r="F251" s="1">
        <v>15</v>
      </c>
      <c r="G251" s="1">
        <v>6</v>
      </c>
      <c r="H251" s="1">
        <f>SUM(F251:G251)</f>
        <v>21</v>
      </c>
      <c r="I251" s="5">
        <f ca="1">H251-(ROUNDDOWN((($G$1-C251)/365),1))</f>
        <v>15.4</v>
      </c>
    </row>
    <row r="252" spans="1:9" x14ac:dyDescent="0.25">
      <c r="A252" s="2">
        <f ca="1">RANK(I252,$I$6:$I$475,0)</f>
        <v>247</v>
      </c>
      <c r="B252" s="1" t="s">
        <v>94</v>
      </c>
      <c r="C252" s="18">
        <v>44577</v>
      </c>
      <c r="D252" s="1" t="s">
        <v>71</v>
      </c>
      <c r="E252" s="1" t="s">
        <v>22</v>
      </c>
      <c r="F252" s="1">
        <v>14</v>
      </c>
      <c r="G252" s="1">
        <v>6</v>
      </c>
      <c r="H252" s="1">
        <f>SUM(F252:G252)</f>
        <v>20</v>
      </c>
      <c r="I252" s="5">
        <f ca="1">H252-(ROUNDDOWN((($G$1-C252)/365),1))</f>
        <v>15.3</v>
      </c>
    </row>
    <row r="253" spans="1:9" x14ac:dyDescent="0.25">
      <c r="A253" s="2">
        <f ca="1">RANK(I253,$I$6:$I$475,0)</f>
        <v>247</v>
      </c>
      <c r="B253" s="1" t="s">
        <v>82</v>
      </c>
      <c r="C253" s="18">
        <v>44577</v>
      </c>
      <c r="D253" s="1" t="s">
        <v>68</v>
      </c>
      <c r="E253" s="1" t="s">
        <v>22</v>
      </c>
      <c r="F253" s="1">
        <v>13</v>
      </c>
      <c r="G253" s="1">
        <v>7</v>
      </c>
      <c r="H253" s="1">
        <f>SUM(F253:G253)</f>
        <v>20</v>
      </c>
      <c r="I253" s="5">
        <f ca="1">H253-(ROUNDDOWN((($G$1-C253)/365),1))</f>
        <v>15.3</v>
      </c>
    </row>
    <row r="254" spans="1:9" x14ac:dyDescent="0.25">
      <c r="A254" s="2">
        <f ca="1">RANK(I254,$I$6:$I$475,0)</f>
        <v>247</v>
      </c>
      <c r="B254" s="29" t="s">
        <v>183</v>
      </c>
      <c r="C254" s="18">
        <v>44556</v>
      </c>
      <c r="D254" s="1" t="s">
        <v>70</v>
      </c>
      <c r="E254" s="1" t="s">
        <v>22</v>
      </c>
      <c r="F254" s="1">
        <v>13</v>
      </c>
      <c r="G254" s="1">
        <v>7</v>
      </c>
      <c r="H254" s="1">
        <f>SUM(F254:G254)</f>
        <v>20</v>
      </c>
      <c r="I254" s="5">
        <f ca="1">H254-(ROUNDDOWN((($G$1-C254)/365),1))</f>
        <v>15.3</v>
      </c>
    </row>
    <row r="255" spans="1:9" x14ac:dyDescent="0.25">
      <c r="A255" s="2">
        <f ca="1">RANK(I255,$I$6:$I$475,0)</f>
        <v>250</v>
      </c>
      <c r="B255" s="1" t="s">
        <v>394</v>
      </c>
      <c r="C255" s="18">
        <v>45641</v>
      </c>
      <c r="D255" s="1" t="s">
        <v>266</v>
      </c>
      <c r="E255" s="1" t="s">
        <v>22</v>
      </c>
      <c r="F255" s="1">
        <v>12</v>
      </c>
      <c r="G255" s="1">
        <v>5</v>
      </c>
      <c r="H255" s="1">
        <f>SUM(F255:G255)</f>
        <v>17</v>
      </c>
      <c r="I255" s="5">
        <f ca="1">H255-(ROUNDDOWN((($G$1-C255)/365),1))</f>
        <v>15.2</v>
      </c>
    </row>
    <row r="256" spans="1:9" x14ac:dyDescent="0.25">
      <c r="A256" s="2">
        <f ca="1">RANK(I256,$I$6:$I$475,0)</f>
        <v>250</v>
      </c>
      <c r="B256" s="1" t="s">
        <v>256</v>
      </c>
      <c r="C256" s="18">
        <v>44906</v>
      </c>
      <c r="D256" s="1" t="s">
        <v>71</v>
      </c>
      <c r="E256" s="1" t="s">
        <v>17</v>
      </c>
      <c r="F256" s="1">
        <v>13</v>
      </c>
      <c r="G256" s="1">
        <v>6</v>
      </c>
      <c r="H256" s="1">
        <f>SUM(F256:G256)</f>
        <v>19</v>
      </c>
      <c r="I256" s="5">
        <f ca="1">H256-(ROUNDDOWN((($G$1-C256)/365),1))</f>
        <v>15.2</v>
      </c>
    </row>
    <row r="257" spans="1:9" x14ac:dyDescent="0.25">
      <c r="A257" s="2">
        <f ca="1">RANK(I257,$I$6:$I$475,0)</f>
        <v>250</v>
      </c>
      <c r="B257" s="1" t="s">
        <v>317</v>
      </c>
      <c r="C257" s="18">
        <v>45263</v>
      </c>
      <c r="D257" s="1" t="s">
        <v>379</v>
      </c>
      <c r="E257" s="1" t="s">
        <v>22</v>
      </c>
      <c r="F257" s="1">
        <v>13</v>
      </c>
      <c r="G257" s="1">
        <v>5</v>
      </c>
      <c r="H257" s="1">
        <f>SUM(F257:G257)</f>
        <v>18</v>
      </c>
      <c r="I257" s="5">
        <f ca="1">H257-(ROUNDDOWN((($G$1-C257)/365),1))</f>
        <v>15.2</v>
      </c>
    </row>
    <row r="258" spans="1:9" x14ac:dyDescent="0.25">
      <c r="A258" s="2">
        <f ca="1">RANK(I258,$I$6:$I$475,0)</f>
        <v>250</v>
      </c>
      <c r="B258" s="1" t="s">
        <v>390</v>
      </c>
      <c r="C258" s="18">
        <v>45627</v>
      </c>
      <c r="D258" s="1" t="s">
        <v>66</v>
      </c>
      <c r="E258" s="1" t="s">
        <v>22</v>
      </c>
      <c r="F258" s="1">
        <v>12</v>
      </c>
      <c r="G258" s="1">
        <v>5</v>
      </c>
      <c r="H258" s="1">
        <f>SUM(F258:G258)</f>
        <v>17</v>
      </c>
      <c r="I258" s="5">
        <f ca="1">H258-(ROUNDDOWN((($G$1-C258)/365),1))</f>
        <v>15.2</v>
      </c>
    </row>
    <row r="259" spans="1:9" x14ac:dyDescent="0.25">
      <c r="A259" s="2">
        <f ca="1">RANK(I259,$I$6:$I$475,0)</f>
        <v>250</v>
      </c>
      <c r="B259" s="1" t="s">
        <v>177</v>
      </c>
      <c r="C259" s="18">
        <v>44521</v>
      </c>
      <c r="D259" s="1" t="s">
        <v>74</v>
      </c>
      <c r="E259" s="1" t="s">
        <v>22</v>
      </c>
      <c r="F259" s="1">
        <v>15</v>
      </c>
      <c r="G259" s="1">
        <v>5</v>
      </c>
      <c r="H259" s="1">
        <f>SUM(F259:G259)</f>
        <v>20</v>
      </c>
      <c r="I259" s="5">
        <f ca="1">H259-(ROUNDDOWN((($G$1-C259)/365),1))</f>
        <v>15.2</v>
      </c>
    </row>
    <row r="260" spans="1:9" x14ac:dyDescent="0.25">
      <c r="A260" s="2">
        <f ca="1">RANK(I260,$I$6:$I$475,0)</f>
        <v>255</v>
      </c>
      <c r="B260" s="1" t="s">
        <v>250</v>
      </c>
      <c r="C260" s="18">
        <v>44871</v>
      </c>
      <c r="D260" s="1" t="s">
        <v>236</v>
      </c>
      <c r="E260" s="1" t="s">
        <v>17</v>
      </c>
      <c r="F260" s="1">
        <v>13</v>
      </c>
      <c r="G260" s="1">
        <v>6</v>
      </c>
      <c r="H260" s="1">
        <f>SUM(F260:G260)</f>
        <v>19</v>
      </c>
      <c r="I260" s="5">
        <f ca="1">H260-(ROUNDDOWN((($G$1-C260)/365),1))</f>
        <v>15.1</v>
      </c>
    </row>
    <row r="261" spans="1:9" x14ac:dyDescent="0.25">
      <c r="A261" s="2">
        <f ca="1">RANK(I261,$I$6:$I$475,0)</f>
        <v>255</v>
      </c>
      <c r="B261" s="1" t="s">
        <v>251</v>
      </c>
      <c r="C261" s="18">
        <v>44871</v>
      </c>
      <c r="D261" s="1" t="s">
        <v>236</v>
      </c>
      <c r="E261" s="1" t="s">
        <v>17</v>
      </c>
      <c r="F261" s="1">
        <v>14</v>
      </c>
      <c r="G261" s="1">
        <v>5</v>
      </c>
      <c r="H261" s="1">
        <f>SUM(F261:G261)</f>
        <v>19</v>
      </c>
      <c r="I261" s="5">
        <f ca="1">H261-(ROUNDDOWN((($G$1-C261)/365),1))</f>
        <v>15.1</v>
      </c>
    </row>
    <row r="262" spans="1:9" x14ac:dyDescent="0.25">
      <c r="A262" s="2">
        <f ca="1">RANK(I262,$I$6:$I$475,0)</f>
        <v>255</v>
      </c>
      <c r="B262" s="1" t="s">
        <v>194</v>
      </c>
      <c r="C262" s="18">
        <v>45235</v>
      </c>
      <c r="D262" s="1" t="s">
        <v>236</v>
      </c>
      <c r="E262" s="1" t="s">
        <v>22</v>
      </c>
      <c r="F262" s="1">
        <v>10</v>
      </c>
      <c r="G262" s="1">
        <v>8</v>
      </c>
      <c r="H262" s="1">
        <f>SUM(F262:G262)</f>
        <v>18</v>
      </c>
      <c r="I262" s="5">
        <f ca="1">H262-(ROUNDDOWN((($G$1-C262)/365),1))</f>
        <v>15.1</v>
      </c>
    </row>
    <row r="263" spans="1:9" x14ac:dyDescent="0.25">
      <c r="A263" s="2">
        <f ca="1">RANK(I263,$I$6:$I$475,0)</f>
        <v>255</v>
      </c>
      <c r="B263" s="29" t="s">
        <v>172</v>
      </c>
      <c r="C263" s="18">
        <v>44500</v>
      </c>
      <c r="D263" s="1" t="s">
        <v>68</v>
      </c>
      <c r="E263" s="1" t="s">
        <v>17</v>
      </c>
      <c r="F263" s="1">
        <v>14</v>
      </c>
      <c r="G263" s="1">
        <v>6</v>
      </c>
      <c r="H263" s="1">
        <f>SUM(F263:G263)</f>
        <v>20</v>
      </c>
      <c r="I263" s="5">
        <f ca="1">H263-(ROUNDDOWN((($G$1-C263)/365),1))</f>
        <v>15.1</v>
      </c>
    </row>
    <row r="264" spans="1:9" x14ac:dyDescent="0.25">
      <c r="A264" s="2">
        <f ca="1">RANK(I264,$I$6:$I$475,0)</f>
        <v>255</v>
      </c>
      <c r="B264" s="29" t="s">
        <v>51</v>
      </c>
      <c r="C264" s="18">
        <v>45220</v>
      </c>
      <c r="D264" s="1" t="s">
        <v>149</v>
      </c>
      <c r="E264" s="1" t="s">
        <v>22</v>
      </c>
      <c r="F264" s="1">
        <v>12</v>
      </c>
      <c r="G264" s="1">
        <v>6</v>
      </c>
      <c r="H264" s="1">
        <f>SUM(F264:G264)</f>
        <v>18</v>
      </c>
      <c r="I264" s="5">
        <f ca="1">H264-(ROUNDDOWN((($G$1-C264)/365),1))</f>
        <v>15.1</v>
      </c>
    </row>
    <row r="265" spans="1:9" x14ac:dyDescent="0.25">
      <c r="A265" s="2">
        <f ca="1">RANK(I265,$I$6:$I$475,0)</f>
        <v>255</v>
      </c>
      <c r="B265" s="29" t="s">
        <v>463</v>
      </c>
      <c r="C265" s="18">
        <v>45941</v>
      </c>
      <c r="D265" s="1" t="s">
        <v>71</v>
      </c>
      <c r="E265" s="1" t="s">
        <v>17</v>
      </c>
      <c r="F265" s="1">
        <v>13</v>
      </c>
      <c r="G265" s="1">
        <v>3</v>
      </c>
      <c r="H265" s="1">
        <f>SUM(F265:G265)</f>
        <v>16</v>
      </c>
      <c r="I265" s="5">
        <f ca="1">H265-(ROUNDDOWN((($G$1-C265)/365),1))</f>
        <v>15.1</v>
      </c>
    </row>
    <row r="266" spans="1:9" x14ac:dyDescent="0.25">
      <c r="A266" s="2">
        <f ca="1">RANK(I266,$I$6:$I$475,0)</f>
        <v>261</v>
      </c>
      <c r="B266" s="29" t="s">
        <v>164</v>
      </c>
      <c r="C266" s="18">
        <v>44472</v>
      </c>
      <c r="D266" s="1" t="s">
        <v>71</v>
      </c>
      <c r="E266" s="1" t="s">
        <v>22</v>
      </c>
      <c r="F266" s="1">
        <v>14</v>
      </c>
      <c r="G266" s="1">
        <v>6</v>
      </c>
      <c r="H266" s="1">
        <f>SUM(F266:G266)</f>
        <v>20</v>
      </c>
      <c r="I266" s="5">
        <f ca="1">H266-(ROUNDDOWN((($G$1-C266)/365),1))</f>
        <v>15</v>
      </c>
    </row>
    <row r="267" spans="1:9" x14ac:dyDescent="0.25">
      <c r="A267" s="2">
        <f ca="1">RANK(I267,$I$6:$I$475,0)</f>
        <v>261</v>
      </c>
      <c r="B267" s="29" t="s">
        <v>376</v>
      </c>
      <c r="C267" s="18">
        <v>45564</v>
      </c>
      <c r="D267" s="1" t="s">
        <v>71</v>
      </c>
      <c r="E267" s="1" t="s">
        <v>22</v>
      </c>
      <c r="F267" s="1">
        <v>12</v>
      </c>
      <c r="G267" s="1">
        <v>5</v>
      </c>
      <c r="H267" s="1">
        <f>SUM(F267:G267)</f>
        <v>17</v>
      </c>
      <c r="I267" s="5">
        <f ca="1">H267-(ROUNDDOWN((($G$1-C267)/365),1))</f>
        <v>15</v>
      </c>
    </row>
    <row r="268" spans="1:9" x14ac:dyDescent="0.25">
      <c r="A268" s="2">
        <f ca="1">RANK(I268,$I$6:$I$475,0)</f>
        <v>261</v>
      </c>
      <c r="B268" s="1" t="s">
        <v>458</v>
      </c>
      <c r="C268" s="18">
        <v>45921</v>
      </c>
      <c r="D268" s="1" t="s">
        <v>266</v>
      </c>
      <c r="E268" s="1" t="s">
        <v>17</v>
      </c>
      <c r="F268" s="1">
        <v>11</v>
      </c>
      <c r="G268" s="1">
        <v>5</v>
      </c>
      <c r="H268" s="1">
        <f>SUM(F268:G268)</f>
        <v>16</v>
      </c>
      <c r="I268" s="5">
        <f ca="1">H268-(ROUNDDOWN((($G$1-C268)/365),1))</f>
        <v>15</v>
      </c>
    </row>
    <row r="269" spans="1:9" x14ac:dyDescent="0.25">
      <c r="A269" s="2">
        <f ca="1">RANK(I269,$I$6:$I$475,0)</f>
        <v>261</v>
      </c>
      <c r="B269" s="1" t="s">
        <v>460</v>
      </c>
      <c r="C269" s="18">
        <v>45921</v>
      </c>
      <c r="D269" s="1" t="s">
        <v>69</v>
      </c>
      <c r="E269" s="1" t="s">
        <v>22</v>
      </c>
      <c r="F269" s="1">
        <v>12</v>
      </c>
      <c r="G269" s="1">
        <v>4</v>
      </c>
      <c r="H269" s="1">
        <f>SUM(F269:G269)</f>
        <v>16</v>
      </c>
      <c r="I269" s="5">
        <f ca="1">H269-(ROUNDDOWN((($G$1-C269)/365),1))</f>
        <v>15</v>
      </c>
    </row>
    <row r="270" spans="1:9" x14ac:dyDescent="0.25">
      <c r="A270" s="2">
        <f ca="1">RANK(I270,$I$6:$I$475,0)</f>
        <v>261</v>
      </c>
      <c r="B270" s="1" t="s">
        <v>529</v>
      </c>
      <c r="C270" s="18">
        <v>46271</v>
      </c>
      <c r="D270" s="1" t="s">
        <v>74</v>
      </c>
      <c r="E270" s="1" t="s">
        <v>22</v>
      </c>
      <c r="F270" s="1">
        <v>10</v>
      </c>
      <c r="G270" s="1">
        <v>5</v>
      </c>
      <c r="H270" s="1">
        <f>SUM(F270:G270)</f>
        <v>15</v>
      </c>
      <c r="I270" s="5">
        <f ca="1">H270-(ROUNDDOWN((($G$1-C270)/365),1))</f>
        <v>15</v>
      </c>
    </row>
    <row r="271" spans="1:9" x14ac:dyDescent="0.25">
      <c r="A271" s="2">
        <f ca="1">RANK(I271,$I$6:$I$475,0)</f>
        <v>266</v>
      </c>
      <c r="B271" s="1" t="s">
        <v>152</v>
      </c>
      <c r="C271" s="18">
        <v>44437</v>
      </c>
      <c r="D271" s="1" t="s">
        <v>72</v>
      </c>
      <c r="E271" s="1" t="s">
        <v>22</v>
      </c>
      <c r="F271" s="1">
        <v>14</v>
      </c>
      <c r="G271" s="1">
        <v>6</v>
      </c>
      <c r="H271" s="1">
        <f>SUM(F271:G271)</f>
        <v>20</v>
      </c>
      <c r="I271" s="5">
        <f ca="1">H271-(ROUNDDOWN((($G$1-C271)/365),1))</f>
        <v>14.9</v>
      </c>
    </row>
    <row r="272" spans="1:9" x14ac:dyDescent="0.25">
      <c r="A272" s="2">
        <f ca="1">RANK(I272,$I$6:$I$475,0)</f>
        <v>266</v>
      </c>
      <c r="B272" s="29" t="s">
        <v>364</v>
      </c>
      <c r="C272" s="18">
        <v>45522</v>
      </c>
      <c r="D272" s="1" t="s">
        <v>71</v>
      </c>
      <c r="E272" s="1" t="s">
        <v>22</v>
      </c>
      <c r="F272" s="1">
        <v>14</v>
      </c>
      <c r="G272" s="1">
        <v>3</v>
      </c>
      <c r="H272" s="1">
        <f>SUM(F272:G272)</f>
        <v>17</v>
      </c>
      <c r="I272" s="5">
        <f ca="1">H272-(ROUNDDOWN((($G$1-C272)/365),1))</f>
        <v>14.9</v>
      </c>
    </row>
    <row r="273" spans="1:9" x14ac:dyDescent="0.25">
      <c r="A273" s="2">
        <f ca="1">RANK(I273,$I$6:$I$475,0)</f>
        <v>266</v>
      </c>
      <c r="B273" s="1" t="s">
        <v>146</v>
      </c>
      <c r="C273" s="18">
        <v>44423</v>
      </c>
      <c r="D273" s="1" t="s">
        <v>71</v>
      </c>
      <c r="E273" s="1" t="s">
        <v>17</v>
      </c>
      <c r="F273" s="1">
        <v>14</v>
      </c>
      <c r="G273" s="1">
        <v>6</v>
      </c>
      <c r="H273" s="1">
        <f>SUM(F273:G273)</f>
        <v>20</v>
      </c>
      <c r="I273" s="5">
        <f ca="1">H273-(ROUNDDOWN((($G$1-C273)/365),1))</f>
        <v>14.9</v>
      </c>
    </row>
    <row r="274" spans="1:9" x14ac:dyDescent="0.25">
      <c r="A274" s="2">
        <f ca="1">RANK(I274,$I$6:$I$475,0)</f>
        <v>266</v>
      </c>
      <c r="B274" s="1" t="s">
        <v>151</v>
      </c>
      <c r="C274" s="18">
        <v>44417</v>
      </c>
      <c r="D274" s="1" t="s">
        <v>72</v>
      </c>
      <c r="E274" s="1" t="s">
        <v>17</v>
      </c>
      <c r="F274" s="1">
        <v>14</v>
      </c>
      <c r="G274" s="1">
        <v>6</v>
      </c>
      <c r="H274" s="1">
        <f>SUM(F274:G274)</f>
        <v>20</v>
      </c>
      <c r="I274" s="5">
        <f ca="1">H274-(ROUNDDOWN((($G$1-C274)/365),1))</f>
        <v>14.9</v>
      </c>
    </row>
    <row r="275" spans="1:9" x14ac:dyDescent="0.25">
      <c r="A275" s="2">
        <f ca="1">RANK(I275,$I$6:$I$475,0)</f>
        <v>266</v>
      </c>
      <c r="B275" s="29" t="s">
        <v>229</v>
      </c>
      <c r="C275" s="18">
        <v>44780</v>
      </c>
      <c r="D275" s="1" t="s">
        <v>72</v>
      </c>
      <c r="E275" s="1" t="s">
        <v>22</v>
      </c>
      <c r="F275" s="1">
        <v>14</v>
      </c>
      <c r="G275" s="1">
        <v>5</v>
      </c>
      <c r="H275" s="1">
        <f>SUM(F275:G275)</f>
        <v>19</v>
      </c>
      <c r="I275" s="5">
        <f ca="1">H275-(ROUNDDOWN((($G$1-C275)/365),1))</f>
        <v>14.9</v>
      </c>
    </row>
    <row r="276" spans="1:9" x14ac:dyDescent="0.25">
      <c r="A276" s="2">
        <f ca="1">RANK(I276,$I$6:$I$475,0)</f>
        <v>266</v>
      </c>
      <c r="B276" s="1" t="s">
        <v>140</v>
      </c>
      <c r="C276" s="18">
        <v>44409</v>
      </c>
      <c r="D276" s="1" t="s">
        <v>69</v>
      </c>
      <c r="E276" s="1" t="s">
        <v>17</v>
      </c>
      <c r="F276" s="1">
        <v>13</v>
      </c>
      <c r="G276" s="1">
        <v>7</v>
      </c>
      <c r="H276" s="1">
        <f>SUM(F276:G276)</f>
        <v>20</v>
      </c>
      <c r="I276" s="5">
        <f ca="1">H276-(ROUNDDOWN((($G$1-C276)/365),1))</f>
        <v>14.9</v>
      </c>
    </row>
    <row r="277" spans="1:9" x14ac:dyDescent="0.25">
      <c r="A277" s="2">
        <f ca="1">RANK(I277,$I$6:$I$475,0)</f>
        <v>266</v>
      </c>
      <c r="B277" s="1" t="s">
        <v>36</v>
      </c>
      <c r="C277" s="18">
        <v>44409</v>
      </c>
      <c r="D277" s="1" t="s">
        <v>70</v>
      </c>
      <c r="E277" s="1" t="s">
        <v>22</v>
      </c>
      <c r="F277" s="1">
        <v>13</v>
      </c>
      <c r="G277" s="1">
        <v>7</v>
      </c>
      <c r="H277" s="1">
        <f>SUM(F277:G277)</f>
        <v>20</v>
      </c>
      <c r="I277" s="5">
        <f ca="1">H277-(ROUNDDOWN((($G$1-C277)/365),1))</f>
        <v>14.9</v>
      </c>
    </row>
    <row r="278" spans="1:9" x14ac:dyDescent="0.25">
      <c r="A278" s="2">
        <f ca="1">RANK(I278,$I$6:$I$475,0)</f>
        <v>266</v>
      </c>
      <c r="B278" s="1" t="s">
        <v>37</v>
      </c>
      <c r="C278" s="18">
        <v>44409</v>
      </c>
      <c r="D278" s="1" t="s">
        <v>70</v>
      </c>
      <c r="E278" s="1" t="s">
        <v>17</v>
      </c>
      <c r="F278" s="1">
        <v>13</v>
      </c>
      <c r="G278" s="1">
        <v>7</v>
      </c>
      <c r="H278" s="1">
        <f>SUM(F278:G278)</f>
        <v>20</v>
      </c>
      <c r="I278" s="5">
        <f ca="1">H278-(ROUNDDOWN((($G$1-C278)/365),1))</f>
        <v>14.9</v>
      </c>
    </row>
    <row r="279" spans="1:9" x14ac:dyDescent="0.25">
      <c r="A279" s="2">
        <f ca="1">RANK(I279,$I$6:$I$475,0)</f>
        <v>266</v>
      </c>
      <c r="B279" s="1" t="s">
        <v>45</v>
      </c>
      <c r="C279" s="18">
        <v>44409</v>
      </c>
      <c r="D279" s="1" t="s">
        <v>73</v>
      </c>
      <c r="E279" s="1" t="s">
        <v>22</v>
      </c>
      <c r="F279" s="1">
        <v>14</v>
      </c>
      <c r="G279" s="1">
        <v>6</v>
      </c>
      <c r="H279" s="1">
        <f>SUM(F279:G279)</f>
        <v>20</v>
      </c>
      <c r="I279" s="5">
        <f ca="1">H279-(ROUNDDOWN((($G$1-C279)/365),1))</f>
        <v>14.9</v>
      </c>
    </row>
    <row r="280" spans="1:9" x14ac:dyDescent="0.25">
      <c r="A280" s="2">
        <f ca="1">RANK(I280,$I$6:$I$475,0)</f>
        <v>266</v>
      </c>
      <c r="B280" s="1" t="s">
        <v>523</v>
      </c>
      <c r="C280" s="18">
        <v>46229</v>
      </c>
      <c r="D280" s="1" t="s">
        <v>75</v>
      </c>
      <c r="E280" s="1" t="s">
        <v>22</v>
      </c>
      <c r="F280" s="1">
        <v>10</v>
      </c>
      <c r="G280" s="1">
        <v>5</v>
      </c>
      <c r="H280" s="1">
        <f>SUM(F280:G280)</f>
        <v>15</v>
      </c>
      <c r="I280" s="5">
        <f ca="1">H280-(ROUNDDOWN((($G$1-C280)/365),1))</f>
        <v>14.9</v>
      </c>
    </row>
    <row r="281" spans="1:9" x14ac:dyDescent="0.25">
      <c r="A281" s="2">
        <f ca="1">RANK(I281,$I$6:$I$475,0)</f>
        <v>276</v>
      </c>
      <c r="B281" s="29" t="s">
        <v>288</v>
      </c>
      <c r="C281" s="18">
        <v>45088</v>
      </c>
      <c r="D281" s="1" t="s">
        <v>74</v>
      </c>
      <c r="E281" s="1" t="s">
        <v>40</v>
      </c>
      <c r="F281" s="1">
        <v>13</v>
      </c>
      <c r="G281" s="1">
        <v>5</v>
      </c>
      <c r="H281" s="1">
        <f>SUM(F281:G281)</f>
        <v>18</v>
      </c>
      <c r="I281" s="5">
        <f ca="1">H281-(ROUNDDOWN((($G$1-C281)/365),1))</f>
        <v>14.7</v>
      </c>
    </row>
    <row r="282" spans="1:9" x14ac:dyDescent="0.25">
      <c r="A282" s="2">
        <f ca="1">RANK(I282,$I$6:$I$475,0)</f>
        <v>276</v>
      </c>
      <c r="B282" s="29" t="s">
        <v>348</v>
      </c>
      <c r="C282" s="18">
        <v>45452</v>
      </c>
      <c r="D282" s="1" t="s">
        <v>71</v>
      </c>
      <c r="E282" s="1" t="s">
        <v>22</v>
      </c>
      <c r="F282" s="1">
        <v>10</v>
      </c>
      <c r="G282" s="1">
        <v>7</v>
      </c>
      <c r="H282" s="1">
        <f>SUM(F282:G282)</f>
        <v>17</v>
      </c>
      <c r="I282" s="5">
        <f ca="1">H282-(ROUNDDOWN((($G$1-C282)/365),1))</f>
        <v>14.7</v>
      </c>
    </row>
    <row r="283" spans="1:9" x14ac:dyDescent="0.25">
      <c r="A283" s="2">
        <f ca="1">RANK(I283,$I$6:$I$475,0)</f>
        <v>276</v>
      </c>
      <c r="B283" s="1" t="s">
        <v>287</v>
      </c>
      <c r="C283" s="18">
        <v>45081</v>
      </c>
      <c r="D283" s="1" t="s">
        <v>236</v>
      </c>
      <c r="E283" s="1" t="s">
        <v>33</v>
      </c>
      <c r="F283" s="1">
        <v>12</v>
      </c>
      <c r="G283" s="1">
        <v>6</v>
      </c>
      <c r="H283" s="1">
        <f>SUM(F283:G283)</f>
        <v>18</v>
      </c>
      <c r="I283" s="5">
        <f ca="1">H283-(ROUNDDOWN((($G$1-C283)/365),1))</f>
        <v>14.7</v>
      </c>
    </row>
    <row r="284" spans="1:9" x14ac:dyDescent="0.25">
      <c r="A284" s="2">
        <f ca="1">RANK(I284,$I$6:$I$475,0)</f>
        <v>276</v>
      </c>
      <c r="B284" s="29" t="s">
        <v>128</v>
      </c>
      <c r="C284" s="18">
        <v>44346</v>
      </c>
      <c r="D284" s="1" t="s">
        <v>72</v>
      </c>
      <c r="E284" s="1" t="s">
        <v>22</v>
      </c>
      <c r="F284" s="1">
        <v>14</v>
      </c>
      <c r="G284" s="1">
        <v>6</v>
      </c>
      <c r="H284" s="1">
        <f>SUM(F284:G284)</f>
        <v>20</v>
      </c>
      <c r="I284" s="5">
        <f ca="1">H284-(ROUNDDOWN((($G$1-C284)/365),1))</f>
        <v>14.7</v>
      </c>
    </row>
    <row r="285" spans="1:9" x14ac:dyDescent="0.25">
      <c r="A285" s="2">
        <f ca="1">RANK(I285,$I$6:$I$475,0)</f>
        <v>276</v>
      </c>
      <c r="B285" s="1" t="s">
        <v>435</v>
      </c>
      <c r="C285" s="18">
        <v>45802</v>
      </c>
      <c r="D285" s="1" t="s">
        <v>307</v>
      </c>
      <c r="E285" s="1" t="s">
        <v>17</v>
      </c>
      <c r="F285" s="1">
        <v>10</v>
      </c>
      <c r="G285" s="1">
        <v>6</v>
      </c>
      <c r="H285" s="1">
        <f>SUM(F285:G285)</f>
        <v>16</v>
      </c>
      <c r="I285" s="5">
        <f ca="1">H285-(ROUNDDOWN((($G$1-C285)/365),1))</f>
        <v>14.7</v>
      </c>
    </row>
    <row r="286" spans="1:9" x14ac:dyDescent="0.25">
      <c r="A286" s="2">
        <f ca="1">RANK(I286,$I$6:$I$475,0)</f>
        <v>276</v>
      </c>
      <c r="B286" s="1" t="s">
        <v>282</v>
      </c>
      <c r="C286" s="18">
        <v>45067</v>
      </c>
      <c r="D286" s="1" t="s">
        <v>69</v>
      </c>
      <c r="E286" s="1" t="s">
        <v>22</v>
      </c>
      <c r="F286" s="1">
        <v>12</v>
      </c>
      <c r="G286" s="1">
        <v>6</v>
      </c>
      <c r="H286" s="1">
        <f>SUM(F286:G286)</f>
        <v>18</v>
      </c>
      <c r="I286" s="5">
        <f ca="1">H286-(ROUNDDOWN((($G$1-C286)/365),1))</f>
        <v>14.7</v>
      </c>
    </row>
    <row r="287" spans="1:9" x14ac:dyDescent="0.25">
      <c r="A287" s="2">
        <f ca="1">RANK(I287,$I$6:$I$475,0)</f>
        <v>282</v>
      </c>
      <c r="B287" s="1" t="s">
        <v>122</v>
      </c>
      <c r="C287" s="18">
        <v>44325</v>
      </c>
      <c r="D287" s="1" t="s">
        <v>68</v>
      </c>
      <c r="E287" s="1" t="s">
        <v>22</v>
      </c>
      <c r="F287" s="1">
        <v>14</v>
      </c>
      <c r="G287" s="1">
        <v>6</v>
      </c>
      <c r="H287" s="1">
        <f>SUM(F287:G287)</f>
        <v>20</v>
      </c>
      <c r="I287" s="5">
        <f ca="1">H287-(ROUNDDOWN((($G$1-C287)/365),1))</f>
        <v>14.6</v>
      </c>
    </row>
    <row r="288" spans="1:9" x14ac:dyDescent="0.25">
      <c r="A288" s="2">
        <f ca="1">RANK(I288,$I$6:$I$475,0)</f>
        <v>282</v>
      </c>
      <c r="B288" s="1" t="s">
        <v>124</v>
      </c>
      <c r="C288" s="18">
        <v>44325</v>
      </c>
      <c r="D288" s="1" t="s">
        <v>72</v>
      </c>
      <c r="E288" s="1" t="s">
        <v>17</v>
      </c>
      <c r="F288" s="1">
        <v>14</v>
      </c>
      <c r="G288" s="1">
        <v>6</v>
      </c>
      <c r="H288" s="1">
        <f>SUM(F288:G288)</f>
        <v>20</v>
      </c>
      <c r="I288" s="5">
        <f ca="1">H288-(ROUNDDOWN((($G$1-C288)/365),1))</f>
        <v>14.6</v>
      </c>
    </row>
    <row r="289" spans="1:9" x14ac:dyDescent="0.25">
      <c r="A289" s="2">
        <f ca="1">RANK(I289,$I$6:$I$475,0)</f>
        <v>282</v>
      </c>
      <c r="B289" s="29" t="s">
        <v>279</v>
      </c>
      <c r="C289" s="18">
        <v>45046</v>
      </c>
      <c r="D289" s="1" t="s">
        <v>71</v>
      </c>
      <c r="E289" s="1" t="s">
        <v>22</v>
      </c>
      <c r="F289" s="1">
        <v>12</v>
      </c>
      <c r="G289" s="1">
        <v>6</v>
      </c>
      <c r="H289" s="1">
        <f>SUM(F289:G289)</f>
        <v>18</v>
      </c>
      <c r="I289" s="5">
        <f ca="1">H289-(ROUNDDOWN((($G$1-C289)/365),1))</f>
        <v>14.6</v>
      </c>
    </row>
    <row r="290" spans="1:9" x14ac:dyDescent="0.25">
      <c r="A290" s="2">
        <f ca="1">RANK(I290,$I$6:$I$475,0)</f>
        <v>282</v>
      </c>
      <c r="B290" s="1" t="s">
        <v>115</v>
      </c>
      <c r="C290" s="18">
        <v>44297</v>
      </c>
      <c r="D290" s="1" t="s">
        <v>71</v>
      </c>
      <c r="E290" s="1" t="s">
        <v>17</v>
      </c>
      <c r="F290" s="1">
        <v>14</v>
      </c>
      <c r="G290" s="1">
        <v>6</v>
      </c>
      <c r="H290" s="1">
        <f>SUM(F290:G290)</f>
        <v>20</v>
      </c>
      <c r="I290" s="5">
        <f ca="1">H290-(ROUNDDOWN((($G$1-C290)/365),1))</f>
        <v>14.6</v>
      </c>
    </row>
    <row r="291" spans="1:9" x14ac:dyDescent="0.25">
      <c r="A291" s="2">
        <f ca="1">RANK(I291,$I$6:$I$475,0)</f>
        <v>286</v>
      </c>
      <c r="B291" s="29" t="s">
        <v>419</v>
      </c>
      <c r="C291" s="18">
        <v>45739</v>
      </c>
      <c r="D291" s="1" t="s">
        <v>68</v>
      </c>
      <c r="E291" s="1" t="s">
        <v>22</v>
      </c>
      <c r="F291" s="1">
        <v>11</v>
      </c>
      <c r="G291" s="1">
        <v>5</v>
      </c>
      <c r="H291" s="1">
        <f>SUM(F291:G291)</f>
        <v>16</v>
      </c>
      <c r="I291" s="5">
        <f ca="1">H291-(ROUNDDOWN((($G$1-C291)/365),1))</f>
        <v>14.5</v>
      </c>
    </row>
    <row r="292" spans="1:9" x14ac:dyDescent="0.25">
      <c r="A292" s="2">
        <f ca="1">RANK(I292,$I$6:$I$475,0)</f>
        <v>286</v>
      </c>
      <c r="B292" s="1" t="s">
        <v>415</v>
      </c>
      <c r="C292" s="18">
        <v>45732</v>
      </c>
      <c r="D292" s="1" t="s">
        <v>73</v>
      </c>
      <c r="E292" s="1" t="s">
        <v>22</v>
      </c>
      <c r="F292" s="1">
        <v>10</v>
      </c>
      <c r="G292" s="1">
        <v>6</v>
      </c>
      <c r="H292" s="1">
        <f>SUM(F292:G292)</f>
        <v>16</v>
      </c>
      <c r="I292" s="5">
        <f ca="1">H292-(ROUNDDOWN((($G$1-C292)/365),1))</f>
        <v>14.5</v>
      </c>
    </row>
    <row r="293" spans="1:9" x14ac:dyDescent="0.25">
      <c r="A293" s="2">
        <f ca="1">RANK(I293,$I$6:$I$475,0)</f>
        <v>288</v>
      </c>
      <c r="B293" s="1" t="s">
        <v>334</v>
      </c>
      <c r="C293" s="18">
        <v>45347</v>
      </c>
      <c r="D293" s="1" t="s">
        <v>73</v>
      </c>
      <c r="E293" s="1" t="s">
        <v>40</v>
      </c>
      <c r="F293" s="1">
        <v>12</v>
      </c>
      <c r="G293" s="1">
        <v>5</v>
      </c>
      <c r="H293" s="1">
        <f>SUM(F293:G293)</f>
        <v>17</v>
      </c>
      <c r="I293" s="5">
        <f ca="1">H293-(ROUNDDOWN((($G$1-C293)/365),1))</f>
        <v>14.4</v>
      </c>
    </row>
    <row r="294" spans="1:9" x14ac:dyDescent="0.25">
      <c r="A294" s="2">
        <f ca="1">RANK(I294,$I$6:$I$475,0)</f>
        <v>288</v>
      </c>
      <c r="B294" s="1" t="s">
        <v>409</v>
      </c>
      <c r="C294" s="18">
        <v>45690</v>
      </c>
      <c r="D294" s="1" t="s">
        <v>149</v>
      </c>
      <c r="E294" s="1" t="s">
        <v>22</v>
      </c>
      <c r="F294" s="1">
        <v>10</v>
      </c>
      <c r="G294" s="1">
        <v>6</v>
      </c>
      <c r="H294" s="1">
        <f>SUM(F294:G294)</f>
        <v>16</v>
      </c>
      <c r="I294" s="5">
        <f ca="1">H294-(ROUNDDOWN((($G$1-C294)/365),1))</f>
        <v>14.4</v>
      </c>
    </row>
    <row r="295" spans="1:9" x14ac:dyDescent="0.25">
      <c r="A295" s="2">
        <f ca="1">RANK(I295,$I$6:$I$475,0)</f>
        <v>290</v>
      </c>
      <c r="B295" s="29" t="s">
        <v>327</v>
      </c>
      <c r="C295" s="18">
        <v>45312</v>
      </c>
      <c r="D295" s="1" t="s">
        <v>149</v>
      </c>
      <c r="E295" s="1" t="s">
        <v>22</v>
      </c>
      <c r="F295" s="1">
        <v>11</v>
      </c>
      <c r="G295" s="1">
        <v>6</v>
      </c>
      <c r="H295" s="1">
        <f>SUM(F295:G295)</f>
        <v>17</v>
      </c>
      <c r="I295" s="5">
        <f ca="1">H295-(ROUNDDOWN((($G$1-C295)/365),1))</f>
        <v>14.3</v>
      </c>
    </row>
    <row r="296" spans="1:9" x14ac:dyDescent="0.25">
      <c r="A296" s="2">
        <f ca="1">RANK(I296,$I$6:$I$475,0)</f>
        <v>290</v>
      </c>
      <c r="B296" s="1" t="s">
        <v>404</v>
      </c>
      <c r="C296" s="18">
        <v>45676</v>
      </c>
      <c r="D296" s="1" t="s">
        <v>149</v>
      </c>
      <c r="E296" s="1" t="s">
        <v>17</v>
      </c>
      <c r="F296" s="1">
        <v>11</v>
      </c>
      <c r="G296" s="1">
        <v>5</v>
      </c>
      <c r="H296" s="1">
        <f>SUM(F296:G296)</f>
        <v>16</v>
      </c>
      <c r="I296" s="5">
        <f ca="1">H296-(ROUNDDOWN((($G$1-C296)/365),1))</f>
        <v>14.3</v>
      </c>
    </row>
    <row r="297" spans="1:9" x14ac:dyDescent="0.25">
      <c r="A297" s="2">
        <f ca="1">RANK(I297,$I$6:$I$475,0)</f>
        <v>290</v>
      </c>
      <c r="B297" s="1" t="s">
        <v>186</v>
      </c>
      <c r="C297" s="18">
        <v>44577</v>
      </c>
      <c r="D297" s="1" t="s">
        <v>70</v>
      </c>
      <c r="E297" s="1" t="s">
        <v>22</v>
      </c>
      <c r="F297" s="1">
        <v>13</v>
      </c>
      <c r="G297" s="1">
        <v>6</v>
      </c>
      <c r="H297" s="1">
        <f>SUM(F297:G297)</f>
        <v>19</v>
      </c>
      <c r="I297" s="5">
        <f ca="1">H297-(ROUNDDOWN((($G$1-C297)/365),1))</f>
        <v>14.3</v>
      </c>
    </row>
    <row r="298" spans="1:9" x14ac:dyDescent="0.25">
      <c r="A298" s="2">
        <f ca="1">RANK(I298,$I$6:$I$475,0)</f>
        <v>290</v>
      </c>
      <c r="B298" s="29" t="s">
        <v>324</v>
      </c>
      <c r="C298" s="18">
        <v>45298</v>
      </c>
      <c r="D298" s="1" t="s">
        <v>67</v>
      </c>
      <c r="E298" s="1" t="s">
        <v>17</v>
      </c>
      <c r="F298" s="1">
        <v>12</v>
      </c>
      <c r="G298" s="1">
        <v>5</v>
      </c>
      <c r="H298" s="1">
        <f>SUM(F298:G298)</f>
        <v>17</v>
      </c>
      <c r="I298" s="5">
        <f ca="1">H298-(ROUNDDOWN((($G$1-C298)/365),1))</f>
        <v>14.3</v>
      </c>
    </row>
    <row r="299" spans="1:9" x14ac:dyDescent="0.25">
      <c r="A299" s="2">
        <f ca="1">RANK(I299,$I$6:$I$475,0)</f>
        <v>290</v>
      </c>
      <c r="B299" s="29" t="s">
        <v>479</v>
      </c>
      <c r="C299" s="18">
        <v>46026</v>
      </c>
      <c r="D299" s="1" t="s">
        <v>67</v>
      </c>
      <c r="E299" s="1" t="s">
        <v>22</v>
      </c>
      <c r="F299" s="1">
        <v>10</v>
      </c>
      <c r="G299" s="1">
        <v>5</v>
      </c>
      <c r="H299" s="1">
        <f>SUM(F299:G299)</f>
        <v>15</v>
      </c>
      <c r="I299" s="5">
        <f ca="1">H299-(ROUNDDOWN((($G$1-C299)/365),1))</f>
        <v>14.3</v>
      </c>
    </row>
    <row r="300" spans="1:9" x14ac:dyDescent="0.25">
      <c r="A300" s="2">
        <f ca="1">RANK(I300,$I$6:$I$475,0)</f>
        <v>290</v>
      </c>
      <c r="B300" s="1" t="s">
        <v>382</v>
      </c>
      <c r="C300" s="18">
        <v>45648</v>
      </c>
      <c r="D300" s="1" t="s">
        <v>307</v>
      </c>
      <c r="E300" s="1" t="s">
        <v>40</v>
      </c>
      <c r="F300" s="1">
        <v>12</v>
      </c>
      <c r="G300" s="1">
        <v>4</v>
      </c>
      <c r="H300" s="1">
        <f>SUM(F300:G300)</f>
        <v>16</v>
      </c>
      <c r="I300" s="5">
        <f ca="1">H300-(ROUNDDOWN((($G$1-C300)/365),1))</f>
        <v>14.3</v>
      </c>
    </row>
    <row r="301" spans="1:9" x14ac:dyDescent="0.25">
      <c r="A301" s="2">
        <f ca="1">RANK(I301,$I$6:$I$475,0)</f>
        <v>290</v>
      </c>
      <c r="B301" s="29" t="s">
        <v>86</v>
      </c>
      <c r="C301" s="18">
        <v>44185</v>
      </c>
      <c r="D301" s="1" t="s">
        <v>69</v>
      </c>
      <c r="E301" s="1" t="s">
        <v>22</v>
      </c>
      <c r="F301" s="1">
        <v>13</v>
      </c>
      <c r="G301" s="1">
        <v>7</v>
      </c>
      <c r="H301" s="1">
        <f>SUM(F301:G301)</f>
        <v>20</v>
      </c>
      <c r="I301" s="5">
        <f ca="1">H301-(ROUNDDOWN((($G$1-C301)/365),1))</f>
        <v>14.3</v>
      </c>
    </row>
    <row r="302" spans="1:9" x14ac:dyDescent="0.25">
      <c r="A302" s="2">
        <f ca="1">RANK(I302,$I$6:$I$475,0)</f>
        <v>297</v>
      </c>
      <c r="B302" s="1" t="s">
        <v>476</v>
      </c>
      <c r="C302" s="18">
        <v>46005</v>
      </c>
      <c r="D302" s="1" t="s">
        <v>75</v>
      </c>
      <c r="E302" s="1" t="s">
        <v>22</v>
      </c>
      <c r="F302" s="1">
        <v>9</v>
      </c>
      <c r="G302" s="1">
        <v>6</v>
      </c>
      <c r="H302" s="1">
        <f>SUM(F302:G302)</f>
        <v>15</v>
      </c>
      <c r="I302" s="5">
        <f ca="1">H302-(ROUNDDOWN((($G$1-C302)/365),1))</f>
        <v>14.2</v>
      </c>
    </row>
    <row r="303" spans="1:9" x14ac:dyDescent="0.25">
      <c r="A303" s="2">
        <f ca="1">RANK(I303,$I$6:$I$475,0)</f>
        <v>297</v>
      </c>
      <c r="B303" s="1" t="s">
        <v>391</v>
      </c>
      <c r="C303" s="18">
        <v>45627</v>
      </c>
      <c r="D303" s="1" t="s">
        <v>74</v>
      </c>
      <c r="E303" s="1" t="s">
        <v>17</v>
      </c>
      <c r="F303" s="1">
        <v>12</v>
      </c>
      <c r="G303" s="1">
        <v>4</v>
      </c>
      <c r="H303" s="1">
        <f>SUM(F303:G303)</f>
        <v>16</v>
      </c>
      <c r="I303" s="5">
        <f ca="1">H303-(ROUNDDOWN((($G$1-C303)/365),1))</f>
        <v>14.2</v>
      </c>
    </row>
    <row r="304" spans="1:9" x14ac:dyDescent="0.25">
      <c r="A304" s="2">
        <f ca="1">RANK(I304,$I$6:$I$475,0)</f>
        <v>297</v>
      </c>
      <c r="B304" s="1" t="s">
        <v>178</v>
      </c>
      <c r="C304" s="18">
        <v>44521</v>
      </c>
      <c r="D304" s="1" t="s">
        <v>74</v>
      </c>
      <c r="E304" s="1" t="s">
        <v>22</v>
      </c>
      <c r="F304" s="1">
        <v>14</v>
      </c>
      <c r="G304" s="1">
        <v>5</v>
      </c>
      <c r="H304" s="1">
        <f>SUM(F304:G304)</f>
        <v>19</v>
      </c>
      <c r="I304" s="5">
        <f ca="1">H304-(ROUNDDOWN((($G$1-C304)/365),1))</f>
        <v>14.2</v>
      </c>
    </row>
    <row r="305" spans="1:9" x14ac:dyDescent="0.25">
      <c r="A305" s="2">
        <f ca="1">RANK(I305,$I$6:$I$475,0)</f>
        <v>297</v>
      </c>
      <c r="B305" s="1" t="s">
        <v>179</v>
      </c>
      <c r="C305" s="18">
        <v>44521</v>
      </c>
      <c r="D305" s="1" t="s">
        <v>74</v>
      </c>
      <c r="E305" s="1" t="s">
        <v>17</v>
      </c>
      <c r="F305" s="1">
        <v>14</v>
      </c>
      <c r="G305" s="1">
        <v>5</v>
      </c>
      <c r="H305" s="1">
        <f>SUM(F305:G305)</f>
        <v>19</v>
      </c>
      <c r="I305" s="5">
        <f ca="1">H305-(ROUNDDOWN((($G$1-C305)/365),1))</f>
        <v>14.2</v>
      </c>
    </row>
    <row r="306" spans="1:9" x14ac:dyDescent="0.25">
      <c r="A306" s="2">
        <f ca="1">RANK(I306,$I$6:$I$475,0)</f>
        <v>297</v>
      </c>
      <c r="B306" s="1" t="s">
        <v>386</v>
      </c>
      <c r="C306" s="18">
        <v>45613</v>
      </c>
      <c r="D306" s="1" t="s">
        <v>307</v>
      </c>
      <c r="E306" s="1" t="s">
        <v>33</v>
      </c>
      <c r="F306" s="1">
        <v>11</v>
      </c>
      <c r="G306" s="1">
        <v>5</v>
      </c>
      <c r="H306" s="1">
        <f>SUM(F306:G306)</f>
        <v>16</v>
      </c>
      <c r="I306" s="5">
        <f ca="1">H306-(ROUNDDOWN((($G$1-C306)/365),1))</f>
        <v>14.2</v>
      </c>
    </row>
    <row r="307" spans="1:9" x14ac:dyDescent="0.25">
      <c r="A307" s="2">
        <f ca="1">RANK(I307,$I$6:$I$475,0)</f>
        <v>297</v>
      </c>
      <c r="B307" s="1" t="s">
        <v>387</v>
      </c>
      <c r="C307" s="18">
        <v>45613</v>
      </c>
      <c r="D307" s="1" t="s">
        <v>154</v>
      </c>
      <c r="E307" s="1" t="s">
        <v>22</v>
      </c>
      <c r="F307" s="1">
        <v>11</v>
      </c>
      <c r="G307" s="1">
        <v>5</v>
      </c>
      <c r="H307" s="1">
        <f>SUM(F307:G307)</f>
        <v>16</v>
      </c>
      <c r="I307" s="5">
        <f ca="1">H307-(ROUNDDOWN((($G$1-C307)/365),1))</f>
        <v>14.2</v>
      </c>
    </row>
    <row r="308" spans="1:9" x14ac:dyDescent="0.25">
      <c r="A308" s="2">
        <f ca="1">RANK(I308,$I$6:$I$475,0)</f>
        <v>303</v>
      </c>
      <c r="B308" s="1" t="s">
        <v>174</v>
      </c>
      <c r="C308" s="18">
        <v>44507</v>
      </c>
      <c r="D308" s="1" t="s">
        <v>71</v>
      </c>
      <c r="E308" s="1" t="s">
        <v>22</v>
      </c>
      <c r="F308" s="1">
        <v>14</v>
      </c>
      <c r="G308" s="1">
        <v>5</v>
      </c>
      <c r="H308" s="1">
        <f>SUM(F308:G308)</f>
        <v>19</v>
      </c>
      <c r="I308" s="5">
        <f ca="1">H308-(ROUNDDOWN((($G$1-C308)/365),1))</f>
        <v>14.1</v>
      </c>
    </row>
    <row r="309" spans="1:9" x14ac:dyDescent="0.25">
      <c r="A309" s="2">
        <f ca="1">RANK(I309,$I$6:$I$475,0)</f>
        <v>303</v>
      </c>
      <c r="B309" s="1" t="s">
        <v>311</v>
      </c>
      <c r="C309" s="18">
        <v>45235</v>
      </c>
      <c r="D309" s="1" t="s">
        <v>307</v>
      </c>
      <c r="E309" s="1" t="s">
        <v>20</v>
      </c>
      <c r="F309" s="1">
        <v>10</v>
      </c>
      <c r="G309" s="1">
        <v>7</v>
      </c>
      <c r="H309" s="1">
        <f>SUM(F309:G309)</f>
        <v>17</v>
      </c>
      <c r="I309" s="5">
        <f ca="1">H309-(ROUNDDOWN((($G$1-C309)/365),1))</f>
        <v>14.1</v>
      </c>
    </row>
    <row r="310" spans="1:9" x14ac:dyDescent="0.25">
      <c r="A310" s="2">
        <f ca="1">RANK(I310,$I$6:$I$475,0)</f>
        <v>303</v>
      </c>
      <c r="B310" s="1" t="s">
        <v>171</v>
      </c>
      <c r="C310" s="18">
        <v>44493</v>
      </c>
      <c r="D310" s="1" t="s">
        <v>149</v>
      </c>
      <c r="E310" s="1" t="s">
        <v>22</v>
      </c>
      <c r="F310" s="1">
        <v>14</v>
      </c>
      <c r="G310" s="1">
        <v>5</v>
      </c>
      <c r="H310" s="1">
        <f>SUM(F310:G310)</f>
        <v>19</v>
      </c>
      <c r="I310" s="5">
        <f ca="1">H310-(ROUNDDOWN((($G$1-C310)/365),1))</f>
        <v>14.1</v>
      </c>
    </row>
    <row r="311" spans="1:9" x14ac:dyDescent="0.25">
      <c r="A311" s="2">
        <f ca="1">RANK(I311,$I$6:$I$475,0)</f>
        <v>303</v>
      </c>
      <c r="B311" s="1" t="s">
        <v>275</v>
      </c>
      <c r="C311" s="18">
        <v>45220</v>
      </c>
      <c r="D311" s="1" t="s">
        <v>309</v>
      </c>
      <c r="E311" s="1" t="s">
        <v>22</v>
      </c>
      <c r="F311" s="1">
        <v>11</v>
      </c>
      <c r="G311" s="1">
        <v>6</v>
      </c>
      <c r="H311" s="1">
        <f>SUM(F311:G311)</f>
        <v>17</v>
      </c>
      <c r="I311" s="5">
        <f ca="1">H311-(ROUNDDOWN((($G$1-C311)/365),1))</f>
        <v>14.1</v>
      </c>
    </row>
    <row r="312" spans="1:9" x14ac:dyDescent="0.25">
      <c r="A312" s="2">
        <f ca="1">RANK(I312,$I$6:$I$475,0)</f>
        <v>303</v>
      </c>
      <c r="B312" s="29" t="s">
        <v>293</v>
      </c>
      <c r="C312" s="18">
        <v>45220</v>
      </c>
      <c r="D312" s="1" t="s">
        <v>309</v>
      </c>
      <c r="E312" s="1" t="s">
        <v>40</v>
      </c>
      <c r="F312" s="1">
        <v>12</v>
      </c>
      <c r="G312" s="1">
        <v>5</v>
      </c>
      <c r="H312" s="1">
        <f>SUM(F312:G312)</f>
        <v>17</v>
      </c>
      <c r="I312" s="5">
        <f ca="1">H312-(ROUNDDOWN((($G$1-C312)/365),1))</f>
        <v>14.1</v>
      </c>
    </row>
    <row r="313" spans="1:9" x14ac:dyDescent="0.25">
      <c r="A313" s="2">
        <f ca="1">RANK(I313,$I$6:$I$475,0)</f>
        <v>303</v>
      </c>
      <c r="B313" s="29" t="s">
        <v>49</v>
      </c>
      <c r="C313" s="18">
        <v>45220</v>
      </c>
      <c r="D313" s="1" t="s">
        <v>149</v>
      </c>
      <c r="E313" s="1" t="s">
        <v>22</v>
      </c>
      <c r="F313" s="1">
        <v>12</v>
      </c>
      <c r="G313" s="1">
        <v>5</v>
      </c>
      <c r="H313" s="1">
        <f>SUM(F313:G313)</f>
        <v>17</v>
      </c>
      <c r="I313" s="5">
        <f ca="1">H313-(ROUNDDOWN((($G$1-C313)/365),1))</f>
        <v>14.1</v>
      </c>
    </row>
    <row r="314" spans="1:9" x14ac:dyDescent="0.25">
      <c r="A314" s="2">
        <f ca="1">RANK(I314,$I$6:$I$475,0)</f>
        <v>303</v>
      </c>
      <c r="B314" s="29" t="s">
        <v>50</v>
      </c>
      <c r="C314" s="18">
        <v>45220</v>
      </c>
      <c r="D314" s="1" t="s">
        <v>149</v>
      </c>
      <c r="E314" s="1" t="s">
        <v>22</v>
      </c>
      <c r="F314" s="1">
        <v>12</v>
      </c>
      <c r="G314" s="1">
        <v>5</v>
      </c>
      <c r="H314" s="1">
        <f>SUM(F314:G314)</f>
        <v>17</v>
      </c>
      <c r="I314" s="5">
        <f ca="1">H314-(ROUNDDOWN((($G$1-C314)/365),1))</f>
        <v>14.1</v>
      </c>
    </row>
    <row r="315" spans="1:9" x14ac:dyDescent="0.25">
      <c r="A315" s="2">
        <f ca="1">RANK(I315,$I$6:$I$475,0)</f>
        <v>303</v>
      </c>
      <c r="B315" s="29" t="s">
        <v>383</v>
      </c>
      <c r="C315" s="18">
        <v>45585</v>
      </c>
      <c r="D315" s="1" t="s">
        <v>66</v>
      </c>
      <c r="E315" s="1" t="s">
        <v>17</v>
      </c>
      <c r="F315" s="1">
        <v>12</v>
      </c>
      <c r="G315" s="1">
        <v>4</v>
      </c>
      <c r="H315" s="1">
        <f>SUM(F315:G315)</f>
        <v>16</v>
      </c>
      <c r="I315" s="5">
        <f ca="1">H315-(ROUNDDOWN((($G$1-C315)/365),1))</f>
        <v>14.1</v>
      </c>
    </row>
    <row r="316" spans="1:9" x14ac:dyDescent="0.25">
      <c r="A316" s="2">
        <f ca="1">RANK(I316,$I$6:$I$475,0)</f>
        <v>303</v>
      </c>
      <c r="B316" s="1" t="s">
        <v>167</v>
      </c>
      <c r="C316" s="18">
        <v>44479</v>
      </c>
      <c r="D316" s="1" t="s">
        <v>72</v>
      </c>
      <c r="E316" s="1" t="s">
        <v>22</v>
      </c>
      <c r="F316" s="1">
        <v>13</v>
      </c>
      <c r="G316" s="1">
        <v>6</v>
      </c>
      <c r="H316" s="1">
        <f>SUM(F316:G316)</f>
        <v>19</v>
      </c>
      <c r="I316" s="5">
        <f ca="1">H316-(ROUNDDOWN((($G$1-C316)/365),1))</f>
        <v>14.1</v>
      </c>
    </row>
    <row r="317" spans="1:9" x14ac:dyDescent="0.25">
      <c r="A317" s="2">
        <f ca="1">RANK(I317,$I$6:$I$475,0)</f>
        <v>312</v>
      </c>
      <c r="B317" s="1" t="s">
        <v>55</v>
      </c>
      <c r="C317" s="18">
        <v>44451</v>
      </c>
      <c r="D317" s="1" t="s">
        <v>74</v>
      </c>
      <c r="E317" s="1" t="s">
        <v>22</v>
      </c>
      <c r="F317" s="1">
        <v>13</v>
      </c>
      <c r="G317" s="1">
        <v>6</v>
      </c>
      <c r="H317" s="1">
        <f>SUM(F317:G317)</f>
        <v>19</v>
      </c>
      <c r="I317" s="5">
        <f ca="1">H317-(ROUNDDOWN((($G$1-C317)/365),1))</f>
        <v>14</v>
      </c>
    </row>
    <row r="318" spans="1:9" x14ac:dyDescent="0.25">
      <c r="A318" s="2">
        <f ca="1">RANK(I318,$I$6:$I$475,0)</f>
        <v>312</v>
      </c>
      <c r="B318" s="1" t="s">
        <v>235</v>
      </c>
      <c r="C318" s="18">
        <v>44815</v>
      </c>
      <c r="D318" s="1" t="s">
        <v>236</v>
      </c>
      <c r="E318" s="1" t="s">
        <v>20</v>
      </c>
      <c r="F318" s="1">
        <v>13</v>
      </c>
      <c r="G318" s="1">
        <v>5</v>
      </c>
      <c r="H318" s="1">
        <f>SUM(F318:G318)</f>
        <v>18</v>
      </c>
      <c r="I318" s="5">
        <f ca="1">H318-(ROUNDDOWN((($G$1-C318)/365),1))</f>
        <v>14</v>
      </c>
    </row>
    <row r="319" spans="1:9" x14ac:dyDescent="0.25">
      <c r="A319" s="2">
        <f ca="1">RANK(I319,$I$6:$I$475,0)</f>
        <v>314</v>
      </c>
      <c r="B319" s="1" t="s">
        <v>139</v>
      </c>
      <c r="C319" s="18">
        <v>44409</v>
      </c>
      <c r="D319" s="1" t="s">
        <v>69</v>
      </c>
      <c r="E319" s="1" t="s">
        <v>22</v>
      </c>
      <c r="F319" s="1">
        <v>13</v>
      </c>
      <c r="G319" s="1">
        <v>6</v>
      </c>
      <c r="H319" s="1">
        <f>SUM(F319:G319)</f>
        <v>19</v>
      </c>
      <c r="I319" s="5">
        <f ca="1">H319-(ROUNDDOWN((($G$1-C319)/365),1))</f>
        <v>13.9</v>
      </c>
    </row>
    <row r="320" spans="1:9" x14ac:dyDescent="0.25">
      <c r="A320" s="2">
        <f ca="1">RANK(I320,$I$6:$I$475,0)</f>
        <v>315</v>
      </c>
      <c r="B320" s="1" t="s">
        <v>295</v>
      </c>
      <c r="C320" s="18">
        <v>45130</v>
      </c>
      <c r="D320" s="1" t="s">
        <v>69</v>
      </c>
      <c r="E320" s="1" t="s">
        <v>22</v>
      </c>
      <c r="F320" s="1">
        <v>13</v>
      </c>
      <c r="G320" s="1">
        <v>4</v>
      </c>
      <c r="H320" s="1">
        <f>SUM(F320:G320)</f>
        <v>17</v>
      </c>
      <c r="I320" s="5">
        <f ca="1">H320-(ROUNDDOWN((($G$1-C320)/365),1))</f>
        <v>13.8</v>
      </c>
    </row>
    <row r="321" spans="1:9" x14ac:dyDescent="0.25">
      <c r="A321" s="2">
        <f ca="1">RANK(I321,$I$6:$I$475,0)</f>
        <v>315</v>
      </c>
      <c r="B321" s="29" t="s">
        <v>225</v>
      </c>
      <c r="C321" s="18">
        <v>44752</v>
      </c>
      <c r="D321" s="1" t="s">
        <v>71</v>
      </c>
      <c r="E321" s="1" t="s">
        <v>22</v>
      </c>
      <c r="F321" s="1">
        <v>13</v>
      </c>
      <c r="G321" s="1">
        <v>5</v>
      </c>
      <c r="H321" s="1">
        <f>SUM(F321:G321)</f>
        <v>18</v>
      </c>
      <c r="I321" s="5">
        <f ca="1">H321-(ROUNDDOWN((($G$1-C321)/365),1))</f>
        <v>13.8</v>
      </c>
    </row>
    <row r="322" spans="1:9" x14ac:dyDescent="0.25">
      <c r="A322" s="2">
        <f ca="1">RANK(I322,$I$6:$I$475,0)</f>
        <v>315</v>
      </c>
      <c r="B322" s="29" t="s">
        <v>220</v>
      </c>
      <c r="C322" s="18">
        <v>44738</v>
      </c>
      <c r="D322" s="1" t="s">
        <v>69</v>
      </c>
      <c r="E322" s="1" t="s">
        <v>22</v>
      </c>
      <c r="F322" s="1">
        <v>11</v>
      </c>
      <c r="G322" s="1">
        <v>7</v>
      </c>
      <c r="H322" s="1">
        <f>SUM(F322:G322)</f>
        <v>18</v>
      </c>
      <c r="I322" s="5">
        <f ca="1">H322-(ROUNDDOWN((($G$1-C322)/365),1))</f>
        <v>13.8</v>
      </c>
    </row>
    <row r="323" spans="1:9" x14ac:dyDescent="0.25">
      <c r="A323" s="2">
        <f ca="1">RANK(I323,$I$6:$I$475,0)</f>
        <v>315</v>
      </c>
      <c r="B323" s="1" t="s">
        <v>440</v>
      </c>
      <c r="C323" s="18">
        <v>45830</v>
      </c>
      <c r="D323" s="1" t="s">
        <v>72</v>
      </c>
      <c r="E323" s="1" t="s">
        <v>17</v>
      </c>
      <c r="F323" s="1">
        <v>10</v>
      </c>
      <c r="G323" s="1">
        <v>5</v>
      </c>
      <c r="H323" s="1">
        <f>SUM(F323:G323)</f>
        <v>15</v>
      </c>
      <c r="I323" s="5">
        <f ca="1">H323-(ROUNDDOWN((($G$1-C323)/365),1))</f>
        <v>13.8</v>
      </c>
    </row>
    <row r="324" spans="1:9" x14ac:dyDescent="0.25">
      <c r="A324" s="2">
        <f ca="1">RANK(I324,$I$6:$I$475,0)</f>
        <v>315</v>
      </c>
      <c r="B324" s="1" t="s">
        <v>133</v>
      </c>
      <c r="C324" s="18">
        <v>44367</v>
      </c>
      <c r="D324" s="1" t="s">
        <v>74</v>
      </c>
      <c r="E324" s="1" t="s">
        <v>22</v>
      </c>
      <c r="F324" s="1">
        <v>13</v>
      </c>
      <c r="G324" s="1">
        <v>6</v>
      </c>
      <c r="H324" s="1">
        <f>SUM(F324:G324)</f>
        <v>19</v>
      </c>
      <c r="I324" s="5">
        <f ca="1">H324-(ROUNDDOWN((($G$1-C324)/365),1))</f>
        <v>13.8</v>
      </c>
    </row>
    <row r="325" spans="1:9" x14ac:dyDescent="0.25">
      <c r="A325" s="2">
        <f ca="1">RANK(I325,$I$6:$I$475,0)</f>
        <v>315</v>
      </c>
      <c r="B325" s="1" t="s">
        <v>219</v>
      </c>
      <c r="C325" s="18">
        <v>44731</v>
      </c>
      <c r="D325" s="1" t="s">
        <v>69</v>
      </c>
      <c r="E325" s="1" t="s">
        <v>17</v>
      </c>
      <c r="F325" s="1">
        <v>13</v>
      </c>
      <c r="G325" s="1">
        <v>5</v>
      </c>
      <c r="H325" s="1">
        <f>SUM(F325:G325)</f>
        <v>18</v>
      </c>
      <c r="I325" s="5">
        <f ca="1">H325-(ROUNDDOWN((($G$1-C325)/365),1))</f>
        <v>13.8</v>
      </c>
    </row>
    <row r="326" spans="1:9" x14ac:dyDescent="0.25">
      <c r="A326" s="2">
        <f ca="1">RANK(I326,$I$6:$I$475,0)</f>
        <v>321</v>
      </c>
      <c r="B326" s="1" t="s">
        <v>216</v>
      </c>
      <c r="C326" s="18">
        <v>44717</v>
      </c>
      <c r="D326" s="1" t="s">
        <v>184</v>
      </c>
      <c r="E326" s="1" t="s">
        <v>17</v>
      </c>
      <c r="F326" s="1">
        <v>12</v>
      </c>
      <c r="G326" s="1">
        <v>6</v>
      </c>
      <c r="H326" s="1">
        <f>SUM(F326:G326)</f>
        <v>18</v>
      </c>
      <c r="I326" s="5">
        <f ca="1">H326-(ROUNDDOWN((($G$1-C326)/365),1))</f>
        <v>13.7</v>
      </c>
    </row>
    <row r="327" spans="1:9" x14ac:dyDescent="0.25">
      <c r="A327" s="2">
        <f ca="1">RANK(I327,$I$6:$I$475,0)</f>
        <v>321</v>
      </c>
      <c r="B327" s="29" t="s">
        <v>213</v>
      </c>
      <c r="C327" s="18">
        <v>44710</v>
      </c>
      <c r="D327" s="1" t="s">
        <v>68</v>
      </c>
      <c r="E327" s="1" t="s">
        <v>22</v>
      </c>
      <c r="F327" s="1">
        <v>12</v>
      </c>
      <c r="G327" s="1">
        <v>6</v>
      </c>
      <c r="H327" s="1">
        <f>SUM(F327:G327)</f>
        <v>18</v>
      </c>
      <c r="I327" s="5">
        <f ca="1">H327-(ROUNDDOWN((($G$1-C327)/365),1))</f>
        <v>13.7</v>
      </c>
    </row>
    <row r="328" spans="1:9" x14ac:dyDescent="0.25">
      <c r="A328" s="2">
        <f ca="1">RANK(I328,$I$6:$I$475,0)</f>
        <v>321</v>
      </c>
      <c r="B328" s="1" t="s">
        <v>212</v>
      </c>
      <c r="C328" s="18">
        <v>44703</v>
      </c>
      <c r="D328" s="1" t="s">
        <v>69</v>
      </c>
      <c r="E328" s="1" t="s">
        <v>17</v>
      </c>
      <c r="F328" s="1">
        <v>13</v>
      </c>
      <c r="G328" s="1">
        <v>5</v>
      </c>
      <c r="H328" s="1">
        <f>SUM(F328:G328)</f>
        <v>18</v>
      </c>
      <c r="I328" s="5">
        <f ca="1">H328-(ROUNDDOWN((($G$1-C328)/365),1))</f>
        <v>13.7</v>
      </c>
    </row>
    <row r="329" spans="1:9" x14ac:dyDescent="0.25">
      <c r="A329" s="2">
        <f ca="1">RANK(I329,$I$6:$I$475,0)</f>
        <v>324</v>
      </c>
      <c r="B329" s="1" t="s">
        <v>427</v>
      </c>
      <c r="C329" s="18">
        <v>45781</v>
      </c>
      <c r="D329" s="1" t="s">
        <v>74</v>
      </c>
      <c r="E329" s="1" t="s">
        <v>17</v>
      </c>
      <c r="F329" s="1">
        <v>10</v>
      </c>
      <c r="G329" s="1">
        <v>5</v>
      </c>
      <c r="H329" s="1">
        <f>SUM(F329:G329)</f>
        <v>15</v>
      </c>
      <c r="I329" s="5">
        <f ca="1">H329-(ROUNDDOWN((($G$1-C329)/365),1))</f>
        <v>13.6</v>
      </c>
    </row>
    <row r="330" spans="1:9" x14ac:dyDescent="0.25">
      <c r="A330" s="2">
        <f ca="1">RANK(I330,$I$6:$I$475,0)</f>
        <v>324</v>
      </c>
      <c r="B330" s="29" t="s">
        <v>426</v>
      </c>
      <c r="C330" s="18">
        <v>45774</v>
      </c>
      <c r="D330" s="1" t="s">
        <v>470</v>
      </c>
      <c r="E330" s="1" t="s">
        <v>22</v>
      </c>
      <c r="F330" s="1">
        <v>6</v>
      </c>
      <c r="G330" s="1">
        <v>9</v>
      </c>
      <c r="H330" s="1">
        <f>SUM(F330:G330)</f>
        <v>15</v>
      </c>
      <c r="I330" s="5">
        <f ca="1">H330-(ROUNDDOWN((($G$1-C330)/365),1))</f>
        <v>13.6</v>
      </c>
    </row>
    <row r="331" spans="1:9" x14ac:dyDescent="0.25">
      <c r="A331" s="2">
        <f ca="1">RANK(I331,$I$6:$I$475,0)</f>
        <v>324</v>
      </c>
      <c r="B331" s="1" t="s">
        <v>120</v>
      </c>
      <c r="C331" s="18">
        <v>44311</v>
      </c>
      <c r="D331" s="1" t="s">
        <v>69</v>
      </c>
      <c r="E331" s="1" t="s">
        <v>17</v>
      </c>
      <c r="F331" s="1">
        <v>13</v>
      </c>
      <c r="G331" s="1">
        <v>6</v>
      </c>
      <c r="H331" s="1">
        <f>SUM(F331:G331)</f>
        <v>19</v>
      </c>
      <c r="I331" s="5">
        <f ca="1">H331-(ROUNDDOWN((($G$1-C331)/365),1))</f>
        <v>13.6</v>
      </c>
    </row>
    <row r="332" spans="1:9" x14ac:dyDescent="0.25">
      <c r="A332" s="2">
        <f ca="1">RANK(I332,$I$6:$I$475,0)</f>
        <v>324</v>
      </c>
      <c r="B332" s="1" t="s">
        <v>505</v>
      </c>
      <c r="C332" s="18">
        <v>46124</v>
      </c>
      <c r="D332" s="1" t="s">
        <v>378</v>
      </c>
      <c r="E332" s="1" t="s">
        <v>22</v>
      </c>
      <c r="F332" s="1">
        <v>10</v>
      </c>
      <c r="G332" s="1">
        <v>4</v>
      </c>
      <c r="H332" s="1">
        <f>SUM(F332:G332)</f>
        <v>14</v>
      </c>
      <c r="I332" s="5">
        <f ca="1">H332-(ROUNDDOWN((($G$1-C332)/365),1))</f>
        <v>13.6</v>
      </c>
    </row>
    <row r="333" spans="1:9" x14ac:dyDescent="0.25">
      <c r="A333" s="2">
        <f ca="1">RANK(I333,$I$6:$I$475,0)</f>
        <v>324</v>
      </c>
      <c r="B333" s="1" t="s">
        <v>422</v>
      </c>
      <c r="C333" s="18">
        <v>45753</v>
      </c>
      <c r="D333" s="1" t="s">
        <v>73</v>
      </c>
      <c r="E333" s="1" t="s">
        <v>22</v>
      </c>
      <c r="F333" s="1">
        <v>10</v>
      </c>
      <c r="G333" s="1">
        <v>5</v>
      </c>
      <c r="H333" s="1">
        <f>SUM(F333:G333)</f>
        <v>15</v>
      </c>
      <c r="I333" s="5">
        <f ca="1">H333-(ROUNDDOWN((($G$1-C333)/365),1))</f>
        <v>13.6</v>
      </c>
    </row>
    <row r="334" spans="1:9" x14ac:dyDescent="0.25">
      <c r="A334" s="2">
        <f ca="1">RANK(I334,$I$6:$I$475,0)</f>
        <v>329</v>
      </c>
      <c r="B334" s="1" t="s">
        <v>58</v>
      </c>
      <c r="C334" s="18">
        <v>45011</v>
      </c>
      <c r="D334" s="1" t="s">
        <v>68</v>
      </c>
      <c r="E334" s="1" t="s">
        <v>22</v>
      </c>
      <c r="F334" s="1">
        <v>10</v>
      </c>
      <c r="G334" s="1">
        <v>7</v>
      </c>
      <c r="H334" s="1">
        <f>SUM(F334:G334)</f>
        <v>17</v>
      </c>
      <c r="I334" s="5">
        <f ca="1">H334-(ROUNDDOWN((($G$1-C334)/365),1))</f>
        <v>13.5</v>
      </c>
    </row>
    <row r="335" spans="1:9" x14ac:dyDescent="0.25">
      <c r="A335" s="2">
        <f ca="1">RANK(I335,$I$6:$I$475,0)</f>
        <v>329</v>
      </c>
      <c r="B335" s="1" t="s">
        <v>104</v>
      </c>
      <c r="C335" s="18">
        <v>45011</v>
      </c>
      <c r="D335" s="1" t="s">
        <v>73</v>
      </c>
      <c r="E335" s="1" t="s">
        <v>40</v>
      </c>
      <c r="F335" s="1">
        <v>11</v>
      </c>
      <c r="G335" s="1">
        <v>6</v>
      </c>
      <c r="H335" s="1">
        <f>SUM(F335:G335)</f>
        <v>17</v>
      </c>
      <c r="I335" s="5">
        <f ca="1">H335-(ROUNDDOWN((($G$1-C335)/365),1))</f>
        <v>13.5</v>
      </c>
    </row>
    <row r="336" spans="1:9" x14ac:dyDescent="0.25">
      <c r="A336" s="2">
        <f ca="1">RANK(I336,$I$6:$I$475,0)</f>
        <v>329</v>
      </c>
      <c r="B336" s="1" t="s">
        <v>499</v>
      </c>
      <c r="C336" s="18">
        <v>46103</v>
      </c>
      <c r="D336" s="1" t="s">
        <v>74</v>
      </c>
      <c r="E336" s="1" t="s">
        <v>33</v>
      </c>
      <c r="F336" s="1">
        <v>10</v>
      </c>
      <c r="G336" s="1">
        <v>4</v>
      </c>
      <c r="H336" s="1">
        <f>SUM(F336:G336)</f>
        <v>14</v>
      </c>
      <c r="I336" s="5">
        <f ca="1">H336-(ROUNDDOWN((($G$1-C336)/365),1))</f>
        <v>13.5</v>
      </c>
    </row>
    <row r="337" spans="1:9" x14ac:dyDescent="0.25">
      <c r="A337" s="2">
        <f ca="1">RANK(I337,$I$6:$I$475,0)</f>
        <v>329</v>
      </c>
      <c r="B337" s="1" t="s">
        <v>111</v>
      </c>
      <c r="C337" s="18">
        <v>44276</v>
      </c>
      <c r="D337" s="1" t="s">
        <v>74</v>
      </c>
      <c r="E337" s="1" t="s">
        <v>17</v>
      </c>
      <c r="F337" s="1">
        <v>13</v>
      </c>
      <c r="G337" s="1">
        <v>6</v>
      </c>
      <c r="H337" s="1">
        <f>SUM(F337:G337)</f>
        <v>19</v>
      </c>
      <c r="I337" s="5">
        <f ca="1">H337-(ROUNDDOWN((($G$1-C337)/365),1))</f>
        <v>13.5</v>
      </c>
    </row>
    <row r="338" spans="1:9" x14ac:dyDescent="0.25">
      <c r="A338" s="2">
        <f ca="1">RANK(I338,$I$6:$I$475,0)</f>
        <v>329</v>
      </c>
      <c r="B338" s="1" t="s">
        <v>110</v>
      </c>
      <c r="C338" s="18">
        <v>44276</v>
      </c>
      <c r="D338" s="1" t="s">
        <v>74</v>
      </c>
      <c r="E338" s="1" t="s">
        <v>17</v>
      </c>
      <c r="F338" s="1">
        <v>13</v>
      </c>
      <c r="G338" s="1">
        <v>6</v>
      </c>
      <c r="H338" s="1">
        <f>SUM(F338:G338)</f>
        <v>19</v>
      </c>
      <c r="I338" s="5">
        <f ca="1">H338-(ROUNDDOWN((($G$1-C338)/365),1))</f>
        <v>13.5</v>
      </c>
    </row>
    <row r="339" spans="1:9" x14ac:dyDescent="0.25">
      <c r="A339" s="2">
        <f ca="1">RANK(I339,$I$6:$I$475,0)</f>
        <v>329</v>
      </c>
      <c r="B339" s="1" t="s">
        <v>203</v>
      </c>
      <c r="C339" s="18">
        <v>44640</v>
      </c>
      <c r="D339" s="1" t="s">
        <v>149</v>
      </c>
      <c r="E339" s="1" t="s">
        <v>22</v>
      </c>
      <c r="F339" s="1">
        <v>11</v>
      </c>
      <c r="G339" s="1">
        <v>7</v>
      </c>
      <c r="H339" s="1">
        <f>SUM(F339:G339)</f>
        <v>18</v>
      </c>
      <c r="I339" s="5">
        <f ca="1">H339-(ROUNDDOWN((($G$1-C339)/365),1))</f>
        <v>13.5</v>
      </c>
    </row>
    <row r="340" spans="1:9" x14ac:dyDescent="0.25">
      <c r="A340" s="2">
        <f ca="1">RANK(I340,$I$6:$I$475,0)</f>
        <v>335</v>
      </c>
      <c r="B340" s="29" t="s">
        <v>105</v>
      </c>
      <c r="C340" s="18">
        <v>43874</v>
      </c>
      <c r="D340" s="1" t="s">
        <v>69</v>
      </c>
      <c r="E340" s="1" t="s">
        <v>22</v>
      </c>
      <c r="F340" s="1">
        <v>14</v>
      </c>
      <c r="G340" s="1">
        <v>6</v>
      </c>
      <c r="H340" s="1">
        <f>SUM(F340:G340)</f>
        <v>20</v>
      </c>
      <c r="I340" s="5">
        <f ca="1">H340-(ROUNDDOWN((($G$1-C340)/365),1))</f>
        <v>13.4</v>
      </c>
    </row>
    <row r="341" spans="1:9" x14ac:dyDescent="0.25">
      <c r="A341" s="2">
        <f ca="1">RANK(I341,$I$6:$I$475,0)</f>
        <v>335</v>
      </c>
      <c r="B341" s="1" t="s">
        <v>267</v>
      </c>
      <c r="C341" s="18">
        <v>44962</v>
      </c>
      <c r="D341" s="1" t="s">
        <v>266</v>
      </c>
      <c r="E341" s="1" t="s">
        <v>17</v>
      </c>
      <c r="F341" s="1">
        <v>12</v>
      </c>
      <c r="G341" s="1">
        <v>5</v>
      </c>
      <c r="H341" s="1">
        <f>SUM(F341:G341)</f>
        <v>17</v>
      </c>
      <c r="I341" s="5">
        <f ca="1">H341-(ROUNDDOWN((($G$1-C341)/365),1))</f>
        <v>13.4</v>
      </c>
    </row>
    <row r="342" spans="1:9" x14ac:dyDescent="0.25">
      <c r="A342" s="2">
        <f ca="1">RANK(I342,$I$6:$I$475,0)</f>
        <v>335</v>
      </c>
      <c r="B342" s="1" t="s">
        <v>408</v>
      </c>
      <c r="C342" s="18">
        <v>45690</v>
      </c>
      <c r="D342" s="1" t="s">
        <v>309</v>
      </c>
      <c r="E342" s="1" t="s">
        <v>33</v>
      </c>
      <c r="F342" s="1">
        <v>10</v>
      </c>
      <c r="G342" s="1">
        <v>5</v>
      </c>
      <c r="H342" s="1">
        <f>SUM(F342:G342)</f>
        <v>15</v>
      </c>
      <c r="I342" s="5">
        <f ca="1">H342-(ROUNDDOWN((($G$1-C342)/365),1))</f>
        <v>13.4</v>
      </c>
    </row>
    <row r="343" spans="1:9" x14ac:dyDescent="0.25">
      <c r="A343" s="2">
        <f ca="1">RANK(I343,$I$6:$I$475,0)</f>
        <v>335</v>
      </c>
      <c r="B343" s="1" t="s">
        <v>191</v>
      </c>
      <c r="C343" s="18">
        <v>44591</v>
      </c>
      <c r="D343" s="1" t="s">
        <v>69</v>
      </c>
      <c r="E343" s="1" t="s">
        <v>22</v>
      </c>
      <c r="F343" s="1">
        <v>12</v>
      </c>
      <c r="G343" s="1">
        <v>6</v>
      </c>
      <c r="H343" s="1">
        <f>SUM(F343:G343)</f>
        <v>18</v>
      </c>
      <c r="I343" s="5">
        <f ca="1">H343-(ROUNDDOWN((($G$1-C343)/365),1))</f>
        <v>13.4</v>
      </c>
    </row>
    <row r="344" spans="1:9" x14ac:dyDescent="0.25">
      <c r="A344" s="2">
        <f ca="1">RANK(I344,$I$6:$I$475,0)</f>
        <v>339</v>
      </c>
      <c r="B344" s="1" t="s">
        <v>84</v>
      </c>
      <c r="C344" s="18">
        <v>44577</v>
      </c>
      <c r="D344" s="1" t="s">
        <v>68</v>
      </c>
      <c r="E344" s="1" t="s">
        <v>40</v>
      </c>
      <c r="F344" s="1">
        <v>12</v>
      </c>
      <c r="G344" s="1">
        <v>6</v>
      </c>
      <c r="H344" s="1">
        <f>SUM(F344:G344)</f>
        <v>18</v>
      </c>
      <c r="I344" s="5">
        <f ca="1">H344-(ROUNDDOWN((($G$1-C344)/365),1))</f>
        <v>13.3</v>
      </c>
    </row>
    <row r="345" spans="1:9" x14ac:dyDescent="0.25">
      <c r="A345" s="2">
        <f ca="1">RANK(I345,$I$6:$I$475,0)</f>
        <v>339</v>
      </c>
      <c r="B345" s="29" t="s">
        <v>87</v>
      </c>
      <c r="C345" s="18">
        <v>43832</v>
      </c>
      <c r="D345" s="1" t="s">
        <v>69</v>
      </c>
      <c r="E345" s="1" t="s">
        <v>22</v>
      </c>
      <c r="F345" s="1">
        <v>13</v>
      </c>
      <c r="G345" s="1">
        <v>7</v>
      </c>
      <c r="H345" s="1">
        <f>SUM(F345:G345)</f>
        <v>20</v>
      </c>
      <c r="I345" s="5">
        <f ca="1">H345-(ROUNDDOWN((($G$1-C345)/365),1))</f>
        <v>13.3</v>
      </c>
    </row>
    <row r="346" spans="1:9" x14ac:dyDescent="0.25">
      <c r="A346" s="2">
        <f ca="1">RANK(I346,$I$6:$I$475,0)</f>
        <v>339</v>
      </c>
      <c r="B346" s="1" t="s">
        <v>322</v>
      </c>
      <c r="C346" s="18">
        <v>45291</v>
      </c>
      <c r="D346" s="1" t="s">
        <v>71</v>
      </c>
      <c r="E346" s="1" t="s">
        <v>17</v>
      </c>
      <c r="F346" s="1">
        <v>11</v>
      </c>
      <c r="G346" s="1">
        <v>5</v>
      </c>
      <c r="H346" s="1">
        <f>SUM(F346:G346)</f>
        <v>16</v>
      </c>
      <c r="I346" s="5">
        <f ca="1">H346-(ROUNDDOWN((($G$1-C346)/365),1))</f>
        <v>13.3</v>
      </c>
    </row>
    <row r="347" spans="1:9" x14ac:dyDescent="0.25">
      <c r="A347" s="2">
        <f ca="1">RANK(I347,$I$6:$I$475,0)</f>
        <v>339</v>
      </c>
      <c r="B347" s="29" t="s">
        <v>257</v>
      </c>
      <c r="C347" s="18">
        <v>44913</v>
      </c>
      <c r="D347" s="1" t="s">
        <v>69</v>
      </c>
      <c r="E347" s="1" t="s">
        <v>22</v>
      </c>
      <c r="F347" s="1">
        <v>11</v>
      </c>
      <c r="G347" s="1">
        <v>6</v>
      </c>
      <c r="H347" s="1">
        <f>SUM(F347:G347)</f>
        <v>17</v>
      </c>
      <c r="I347" s="5">
        <f ca="1">H347-(ROUNDDOWN((($G$1-C347)/365),1))</f>
        <v>13.3</v>
      </c>
    </row>
    <row r="348" spans="1:9" x14ac:dyDescent="0.25">
      <c r="A348" s="2">
        <f ca="1">RANK(I348,$I$6:$I$475,0)</f>
        <v>343</v>
      </c>
      <c r="B348" s="1" t="s">
        <v>393</v>
      </c>
      <c r="C348" s="18">
        <v>45641</v>
      </c>
      <c r="D348" s="1" t="s">
        <v>236</v>
      </c>
      <c r="E348" s="1" t="s">
        <v>17</v>
      </c>
      <c r="F348" s="1">
        <v>12</v>
      </c>
      <c r="G348" s="1">
        <v>3</v>
      </c>
      <c r="H348" s="1">
        <f>SUM(F348:G348)</f>
        <v>15</v>
      </c>
      <c r="I348" s="5">
        <f ca="1">H348-(ROUNDDOWN((($G$1-C348)/365),1))</f>
        <v>13.2</v>
      </c>
    </row>
    <row r="349" spans="1:9" x14ac:dyDescent="0.25">
      <c r="A349" s="2">
        <f ca="1">RANK(I349,$I$6:$I$475,0)</f>
        <v>343</v>
      </c>
      <c r="B349" s="29" t="s">
        <v>475</v>
      </c>
      <c r="C349" s="18">
        <v>45998</v>
      </c>
      <c r="D349" s="1" t="s">
        <v>75</v>
      </c>
      <c r="E349" s="1" t="s">
        <v>17</v>
      </c>
      <c r="F349" s="1">
        <v>10</v>
      </c>
      <c r="G349" s="1">
        <v>4</v>
      </c>
      <c r="H349" s="1">
        <f>SUM(F349:G349)</f>
        <v>14</v>
      </c>
      <c r="I349" s="5">
        <f ca="1">H349-(ROUNDDOWN((($G$1-C349)/365),1))</f>
        <v>13.2</v>
      </c>
    </row>
    <row r="350" spans="1:9" x14ac:dyDescent="0.25">
      <c r="A350" s="2">
        <f ca="1">RANK(I350,$I$6:$I$475,0)</f>
        <v>343</v>
      </c>
      <c r="B350" s="29" t="s">
        <v>312</v>
      </c>
      <c r="C350" s="18">
        <v>45242</v>
      </c>
      <c r="D350" s="1" t="s">
        <v>266</v>
      </c>
      <c r="E350" s="1" t="s">
        <v>22</v>
      </c>
      <c r="F350" s="1">
        <v>13</v>
      </c>
      <c r="G350" s="1">
        <v>3</v>
      </c>
      <c r="H350" s="1">
        <f>SUM(F350:G350)</f>
        <v>16</v>
      </c>
      <c r="I350" s="5">
        <f ca="1">H350-(ROUNDDOWN((($G$1-C350)/365),1))</f>
        <v>13.2</v>
      </c>
    </row>
    <row r="351" spans="1:9" x14ac:dyDescent="0.25">
      <c r="A351" s="2">
        <f ca="1">RANK(I351,$I$6:$I$475,0)</f>
        <v>346</v>
      </c>
      <c r="B351" s="1" t="s">
        <v>206</v>
      </c>
      <c r="C351" s="18">
        <v>45220</v>
      </c>
      <c r="D351" s="1" t="s">
        <v>308</v>
      </c>
      <c r="E351" s="1" t="s">
        <v>22</v>
      </c>
      <c r="F351" s="1">
        <v>10</v>
      </c>
      <c r="G351" s="1">
        <v>6</v>
      </c>
      <c r="H351" s="1">
        <f>SUM(F351:G351)</f>
        <v>16</v>
      </c>
      <c r="I351" s="5">
        <f ca="1">H351-(ROUNDDOWN((($G$1-C351)/365),1))</f>
        <v>13.1</v>
      </c>
    </row>
    <row r="352" spans="1:9" x14ac:dyDescent="0.25">
      <c r="A352" s="2">
        <f ca="1">RANK(I352,$I$6:$I$475,0)</f>
        <v>346</v>
      </c>
      <c r="B352" s="1" t="s">
        <v>195</v>
      </c>
      <c r="C352" s="18">
        <v>45220</v>
      </c>
      <c r="D352" s="1" t="s">
        <v>308</v>
      </c>
      <c r="E352" s="1" t="s">
        <v>17</v>
      </c>
      <c r="F352" s="1">
        <v>12</v>
      </c>
      <c r="G352" s="1">
        <v>4</v>
      </c>
      <c r="H352" s="1">
        <f>SUM(F352:G352)</f>
        <v>16</v>
      </c>
      <c r="I352" s="5">
        <f ca="1">H352-(ROUNDDOWN((($G$1-C352)/365),1))</f>
        <v>13.1</v>
      </c>
    </row>
    <row r="353" spans="1:9" x14ac:dyDescent="0.25">
      <c r="A353" s="2">
        <f ca="1">RANK(I353,$I$6:$I$475,0)</f>
        <v>346</v>
      </c>
      <c r="B353" s="1" t="s">
        <v>382</v>
      </c>
      <c r="C353" s="18">
        <v>45578</v>
      </c>
      <c r="D353" s="1" t="s">
        <v>307</v>
      </c>
      <c r="E353" s="1" t="s">
        <v>40</v>
      </c>
      <c r="F353" s="1">
        <v>10</v>
      </c>
      <c r="G353" s="1">
        <v>5</v>
      </c>
      <c r="H353" s="1">
        <f>SUM(F353:G353)</f>
        <v>15</v>
      </c>
      <c r="I353" s="5">
        <f ca="1">H353-(ROUNDDOWN((($G$1-C353)/365),1))</f>
        <v>13.1</v>
      </c>
    </row>
    <row r="354" spans="1:9" x14ac:dyDescent="0.25">
      <c r="A354" s="2">
        <f ca="1">RANK(I354,$I$6:$I$475,0)</f>
        <v>346</v>
      </c>
      <c r="B354" s="1" t="s">
        <v>166</v>
      </c>
      <c r="C354" s="18">
        <v>44479</v>
      </c>
      <c r="D354" s="1" t="s">
        <v>68</v>
      </c>
      <c r="E354" s="1" t="s">
        <v>22</v>
      </c>
      <c r="F354" s="1">
        <v>14</v>
      </c>
      <c r="G354" s="1">
        <v>4</v>
      </c>
      <c r="H354" s="1">
        <f>SUM(F354:G354)</f>
        <v>18</v>
      </c>
      <c r="I354" s="5">
        <f ca="1">H354-(ROUNDDOWN((($G$1-C354)/365),1))</f>
        <v>13.1</v>
      </c>
    </row>
    <row r="355" spans="1:9" x14ac:dyDescent="0.25">
      <c r="A355" s="2">
        <f ca="1">RANK(I355,$I$6:$I$475,0)</f>
        <v>350</v>
      </c>
      <c r="B355" s="1" t="s">
        <v>158</v>
      </c>
      <c r="C355" s="18">
        <v>44451</v>
      </c>
      <c r="D355" s="1" t="s">
        <v>154</v>
      </c>
      <c r="E355" s="1" t="s">
        <v>22</v>
      </c>
      <c r="F355" s="1">
        <v>12</v>
      </c>
      <c r="G355" s="1">
        <v>6</v>
      </c>
      <c r="H355" s="1">
        <f>SUM(F355:G355)</f>
        <v>18</v>
      </c>
      <c r="I355" s="5">
        <f ca="1">H355-(ROUNDDOWN((($G$1-C355)/365),1))</f>
        <v>13</v>
      </c>
    </row>
    <row r="356" spans="1:9" x14ac:dyDescent="0.25">
      <c r="A356" s="2">
        <f ca="1">RANK(I356,$I$6:$I$475,0)</f>
        <v>351</v>
      </c>
      <c r="B356" s="1" t="s">
        <v>47</v>
      </c>
      <c r="C356" s="18">
        <v>44423</v>
      </c>
      <c r="D356" s="1" t="s">
        <v>69</v>
      </c>
      <c r="E356" s="1" t="s">
        <v>33</v>
      </c>
      <c r="F356" s="1">
        <v>11</v>
      </c>
      <c r="G356" s="1">
        <v>7</v>
      </c>
      <c r="H356" s="1">
        <f>SUM(F356:G356)</f>
        <v>18</v>
      </c>
      <c r="I356" s="5">
        <f ca="1">H356-(ROUNDDOWN((($G$1-C356)/365),1))</f>
        <v>12.9</v>
      </c>
    </row>
    <row r="357" spans="1:9" x14ac:dyDescent="0.25">
      <c r="A357" s="2">
        <f ca="1">RANK(I357,$I$6:$I$475,0)</f>
        <v>351</v>
      </c>
      <c r="B357" s="1" t="s">
        <v>30</v>
      </c>
      <c r="C357" s="18">
        <v>44423</v>
      </c>
      <c r="D357" s="1" t="s">
        <v>68</v>
      </c>
      <c r="E357" s="1" t="s">
        <v>20</v>
      </c>
      <c r="F357" s="1">
        <v>13</v>
      </c>
      <c r="G357" s="1">
        <v>5</v>
      </c>
      <c r="H357" s="1">
        <f>SUM(F357:G357)</f>
        <v>18</v>
      </c>
      <c r="I357" s="5">
        <f ca="1">H357-(ROUNDDOWN((($G$1-C357)/365),1))</f>
        <v>12.9</v>
      </c>
    </row>
    <row r="358" spans="1:9" x14ac:dyDescent="0.25">
      <c r="A358" s="2">
        <f ca="1">RANK(I358,$I$6:$I$475,0)</f>
        <v>351</v>
      </c>
      <c r="B358" s="1" t="s">
        <v>143</v>
      </c>
      <c r="C358" s="18">
        <v>44423</v>
      </c>
      <c r="D358" s="1" t="s">
        <v>68</v>
      </c>
      <c r="E358" s="1" t="s">
        <v>17</v>
      </c>
      <c r="F358" s="1">
        <v>13</v>
      </c>
      <c r="G358" s="1">
        <v>5</v>
      </c>
      <c r="H358" s="1">
        <f>SUM(F358:G358)</f>
        <v>18</v>
      </c>
      <c r="I358" s="5">
        <f ca="1">H358-(ROUNDDOWN((($G$1-C358)/365),1))</f>
        <v>12.9</v>
      </c>
    </row>
    <row r="359" spans="1:9" x14ac:dyDescent="0.25">
      <c r="A359" s="2">
        <f ca="1">RANK(I359,$I$6:$I$475,0)</f>
        <v>351</v>
      </c>
      <c r="B359" s="1" t="s">
        <v>450</v>
      </c>
      <c r="C359" s="18">
        <v>45872</v>
      </c>
      <c r="D359" s="1" t="s">
        <v>149</v>
      </c>
      <c r="E359" s="1" t="s">
        <v>22</v>
      </c>
      <c r="F359" s="1">
        <v>10</v>
      </c>
      <c r="G359" s="1">
        <v>4</v>
      </c>
      <c r="H359" s="1">
        <f>SUM(F359:G359)</f>
        <v>14</v>
      </c>
      <c r="I359" s="5">
        <f ca="1">H359-(ROUNDDOWN((($G$1-C359)/365),1))</f>
        <v>12.9</v>
      </c>
    </row>
    <row r="360" spans="1:9" x14ac:dyDescent="0.25">
      <c r="A360" s="2">
        <f ca="1">RANK(I360,$I$6:$I$475,0)</f>
        <v>351</v>
      </c>
      <c r="B360" s="1" t="s">
        <v>23</v>
      </c>
      <c r="C360" s="18">
        <v>44409</v>
      </c>
      <c r="D360" s="1" t="s">
        <v>69</v>
      </c>
      <c r="E360" s="1" t="s">
        <v>22</v>
      </c>
      <c r="F360" s="1">
        <v>12</v>
      </c>
      <c r="G360" s="1">
        <v>6</v>
      </c>
      <c r="H360" s="1">
        <f>SUM(F360:G360)</f>
        <v>18</v>
      </c>
      <c r="I360" s="5">
        <f ca="1">H360-(ROUNDDOWN((($G$1-C360)/365),1))</f>
        <v>12.9</v>
      </c>
    </row>
    <row r="361" spans="1:9" x14ac:dyDescent="0.25">
      <c r="A361" s="2">
        <f ca="1">RANK(I361,$I$6:$I$475,0)</f>
        <v>356</v>
      </c>
      <c r="B361" s="1" t="s">
        <v>447</v>
      </c>
      <c r="C361" s="18">
        <v>45858</v>
      </c>
      <c r="D361" s="1" t="s">
        <v>368</v>
      </c>
      <c r="E361" s="1" t="s">
        <v>22</v>
      </c>
      <c r="F361" s="1">
        <v>10</v>
      </c>
      <c r="G361" s="1">
        <v>4</v>
      </c>
      <c r="H361" s="1">
        <f>SUM(F361:G361)</f>
        <v>14</v>
      </c>
      <c r="I361" s="5">
        <f ca="1">H361-(ROUNDDOWN((($G$1-C361)/365),1))</f>
        <v>12.8</v>
      </c>
    </row>
    <row r="362" spans="1:9" x14ac:dyDescent="0.25">
      <c r="A362" s="2">
        <f ca="1">RANK(I362,$I$6:$I$475,0)</f>
        <v>356</v>
      </c>
      <c r="B362" s="1" t="s">
        <v>442</v>
      </c>
      <c r="C362" s="18">
        <v>45844</v>
      </c>
      <c r="D362" s="1" t="s">
        <v>74</v>
      </c>
      <c r="E362" s="1" t="s">
        <v>40</v>
      </c>
      <c r="F362" s="1">
        <v>10</v>
      </c>
      <c r="G362" s="1">
        <v>4</v>
      </c>
      <c r="H362" s="1">
        <f>SUM(F362:G362)</f>
        <v>14</v>
      </c>
      <c r="I362" s="5">
        <f ca="1">H362-(ROUNDDOWN((($G$1-C362)/365),1))</f>
        <v>12.8</v>
      </c>
    </row>
    <row r="363" spans="1:9" x14ac:dyDescent="0.25">
      <c r="A363" s="2">
        <f ca="1">RANK(I363,$I$6:$I$475,0)</f>
        <v>356</v>
      </c>
      <c r="B363" s="1" t="s">
        <v>291</v>
      </c>
      <c r="C363" s="18">
        <v>45102</v>
      </c>
      <c r="D363" s="1" t="s">
        <v>236</v>
      </c>
      <c r="E363" s="1" t="s">
        <v>22</v>
      </c>
      <c r="F363" s="1">
        <v>11</v>
      </c>
      <c r="G363" s="1">
        <v>5</v>
      </c>
      <c r="H363" s="1">
        <f>SUM(F363:G363)</f>
        <v>16</v>
      </c>
      <c r="I363" s="5">
        <f ca="1">H363-(ROUNDDOWN((($G$1-C363)/365),1))</f>
        <v>12.8</v>
      </c>
    </row>
    <row r="364" spans="1:9" x14ac:dyDescent="0.25">
      <c r="A364" s="2">
        <f ca="1">RANK(I364,$I$6:$I$475,0)</f>
        <v>359</v>
      </c>
      <c r="B364" s="19" t="s">
        <v>142</v>
      </c>
      <c r="C364" s="20">
        <v>44353</v>
      </c>
      <c r="D364" s="1" t="s">
        <v>72</v>
      </c>
      <c r="E364" s="1" t="s">
        <v>17</v>
      </c>
      <c r="F364" s="1">
        <v>13</v>
      </c>
      <c r="G364" s="1">
        <v>5</v>
      </c>
      <c r="H364" s="1">
        <f>SUM(F364:G364)</f>
        <v>18</v>
      </c>
      <c r="I364" s="5">
        <f ca="1">H364-(ROUNDDOWN((($G$1-C364)/365),1))</f>
        <v>12.7</v>
      </c>
    </row>
    <row r="365" spans="1:9" x14ac:dyDescent="0.25">
      <c r="A365" s="2">
        <f ca="1">RANK(I365,$I$6:$I$475,0)</f>
        <v>359</v>
      </c>
      <c r="B365" s="1" t="s">
        <v>286</v>
      </c>
      <c r="C365" s="18">
        <v>45081</v>
      </c>
      <c r="D365" s="1" t="s">
        <v>71</v>
      </c>
      <c r="E365" s="1" t="s">
        <v>22</v>
      </c>
      <c r="F365" s="1">
        <v>11</v>
      </c>
      <c r="G365" s="1">
        <v>5</v>
      </c>
      <c r="H365" s="1">
        <f>SUM(F365:G365)</f>
        <v>16</v>
      </c>
      <c r="I365" s="5">
        <f ca="1">H365-(ROUNDDOWN((($G$1-C365)/365),1))</f>
        <v>12.7</v>
      </c>
    </row>
    <row r="366" spans="1:9" x14ac:dyDescent="0.25">
      <c r="A366" s="2">
        <f ca="1">RANK(I366,$I$6:$I$475,0)</f>
        <v>359</v>
      </c>
      <c r="B366" s="1" t="s">
        <v>102</v>
      </c>
      <c r="C366" s="18">
        <v>44703</v>
      </c>
      <c r="D366" s="1" t="s">
        <v>69</v>
      </c>
      <c r="E366" s="1" t="s">
        <v>17</v>
      </c>
      <c r="F366" s="1">
        <v>11</v>
      </c>
      <c r="G366" s="1">
        <v>6</v>
      </c>
      <c r="H366" s="1">
        <f>SUM(F366:G366)</f>
        <v>17</v>
      </c>
      <c r="I366" s="5">
        <f ca="1">H366-(ROUNDDOWN((($G$1-C366)/365),1))</f>
        <v>12.7</v>
      </c>
    </row>
    <row r="367" spans="1:9" x14ac:dyDescent="0.25">
      <c r="A367" s="2">
        <f ca="1">RANK(I367,$I$6:$I$475,0)</f>
        <v>362</v>
      </c>
      <c r="B367" s="1" t="s">
        <v>209</v>
      </c>
      <c r="C367" s="18">
        <v>44668</v>
      </c>
      <c r="D367" s="1" t="s">
        <v>184</v>
      </c>
      <c r="E367" s="1" t="s">
        <v>17</v>
      </c>
      <c r="F367" s="1">
        <v>11</v>
      </c>
      <c r="G367" s="1">
        <v>6</v>
      </c>
      <c r="H367" s="1">
        <f>SUM(F367:G367)</f>
        <v>17</v>
      </c>
      <c r="I367" s="5">
        <f ca="1">H367-(ROUNDDOWN((($G$1-C367)/365),1))</f>
        <v>12.6</v>
      </c>
    </row>
    <row r="368" spans="1:9" x14ac:dyDescent="0.25">
      <c r="A368" s="2">
        <f ca="1">RANK(I368,$I$6:$I$475,0)</f>
        <v>362</v>
      </c>
      <c r="B368" s="1" t="s">
        <v>274</v>
      </c>
      <c r="C368" s="18">
        <v>45025</v>
      </c>
      <c r="D368" s="1" t="s">
        <v>149</v>
      </c>
      <c r="E368" s="1" t="s">
        <v>40</v>
      </c>
      <c r="F368" s="1">
        <v>11</v>
      </c>
      <c r="G368" s="1">
        <v>5</v>
      </c>
      <c r="H368" s="1">
        <f>SUM(F368:G368)</f>
        <v>16</v>
      </c>
      <c r="I368" s="5">
        <f ca="1">H368-(ROUNDDOWN((($G$1-C368)/365),1))</f>
        <v>12.6</v>
      </c>
    </row>
    <row r="369" spans="1:9" x14ac:dyDescent="0.25">
      <c r="A369" s="2">
        <f ca="1">RANK(I369,$I$6:$I$475,0)</f>
        <v>362</v>
      </c>
      <c r="B369" s="1" t="s">
        <v>421</v>
      </c>
      <c r="C369" s="18">
        <v>45753</v>
      </c>
      <c r="D369" s="1" t="s">
        <v>72</v>
      </c>
      <c r="E369" s="1" t="s">
        <v>22</v>
      </c>
      <c r="F369" s="1">
        <v>10</v>
      </c>
      <c r="G369" s="1">
        <v>4</v>
      </c>
      <c r="H369" s="1">
        <f>SUM(F369:G369)</f>
        <v>14</v>
      </c>
      <c r="I369" s="5">
        <f ca="1">H369-(ROUNDDOWN((($G$1-C369)/365),1))</f>
        <v>12.6</v>
      </c>
    </row>
    <row r="370" spans="1:9" x14ac:dyDescent="0.25">
      <c r="A370" s="2">
        <f ca="1">RANK(I370,$I$6:$I$475,0)</f>
        <v>362</v>
      </c>
      <c r="B370" s="1" t="s">
        <v>423</v>
      </c>
      <c r="C370" s="18">
        <v>45753</v>
      </c>
      <c r="D370" s="1" t="s">
        <v>66</v>
      </c>
      <c r="E370" s="1" t="s">
        <v>40</v>
      </c>
      <c r="F370" s="1">
        <v>10</v>
      </c>
      <c r="G370" s="1">
        <v>4</v>
      </c>
      <c r="H370" s="1">
        <f>SUM(F370:G370)</f>
        <v>14</v>
      </c>
      <c r="I370" s="5">
        <f ca="1">H370-(ROUNDDOWN((($G$1-C370)/365),1))</f>
        <v>12.6</v>
      </c>
    </row>
    <row r="371" spans="1:9" x14ac:dyDescent="0.25">
      <c r="A371" s="2">
        <f ca="1">RANK(I371,$I$6:$I$475,0)</f>
        <v>366</v>
      </c>
      <c r="B371" s="1" t="s">
        <v>59</v>
      </c>
      <c r="C371" s="18">
        <v>45011</v>
      </c>
      <c r="D371" s="1" t="s">
        <v>68</v>
      </c>
      <c r="E371" s="1" t="s">
        <v>40</v>
      </c>
      <c r="F371" s="1">
        <v>10</v>
      </c>
      <c r="G371" s="1">
        <v>6</v>
      </c>
      <c r="H371" s="1">
        <f>SUM(F371:G371)</f>
        <v>16</v>
      </c>
      <c r="I371" s="5">
        <f ca="1">H371-(ROUNDDOWN((($G$1-C371)/365),1))</f>
        <v>12.5</v>
      </c>
    </row>
    <row r="372" spans="1:9" x14ac:dyDescent="0.25">
      <c r="A372" s="2">
        <f ca="1">RANK(I372,$I$6:$I$475,0)</f>
        <v>366</v>
      </c>
      <c r="B372" s="1" t="s">
        <v>57</v>
      </c>
      <c r="C372" s="18">
        <v>45011</v>
      </c>
      <c r="D372" s="1" t="s">
        <v>68</v>
      </c>
      <c r="E372" s="1" t="s">
        <v>17</v>
      </c>
      <c r="F372" s="1">
        <v>10</v>
      </c>
      <c r="G372" s="1">
        <v>6</v>
      </c>
      <c r="H372" s="1">
        <f>SUM(F372:G372)</f>
        <v>16</v>
      </c>
      <c r="I372" s="5">
        <f ca="1">H372-(ROUNDDOWN((($G$1-C372)/365),1))</f>
        <v>12.5</v>
      </c>
    </row>
    <row r="373" spans="1:9" x14ac:dyDescent="0.25">
      <c r="A373" s="2">
        <f ca="1">RANK(I373,$I$6:$I$475,0)</f>
        <v>366</v>
      </c>
      <c r="B373" s="1" t="s">
        <v>335</v>
      </c>
      <c r="C373" s="18">
        <v>45368</v>
      </c>
      <c r="D373" s="1" t="s">
        <v>68</v>
      </c>
      <c r="E373" s="1" t="s">
        <v>22</v>
      </c>
      <c r="F373" s="1">
        <v>10</v>
      </c>
      <c r="G373" s="1">
        <v>5</v>
      </c>
      <c r="H373" s="1">
        <f>SUM(F373:G373)</f>
        <v>15</v>
      </c>
      <c r="I373" s="5">
        <f ca="1">H373-(ROUNDDOWN((($G$1-C373)/365),1))</f>
        <v>12.5</v>
      </c>
    </row>
    <row r="374" spans="1:9" x14ac:dyDescent="0.25">
      <c r="A374" s="2">
        <f ca="1">RANK(I374,$I$6:$I$475,0)</f>
        <v>366</v>
      </c>
      <c r="B374" s="29" t="s">
        <v>197</v>
      </c>
      <c r="C374" s="18">
        <v>44621</v>
      </c>
      <c r="D374" s="1" t="s">
        <v>71</v>
      </c>
      <c r="E374" s="1" t="s">
        <v>17</v>
      </c>
      <c r="F374" s="1">
        <v>13</v>
      </c>
      <c r="G374" s="1">
        <v>4</v>
      </c>
      <c r="H374" s="1">
        <f>SUM(F374:G374)</f>
        <v>17</v>
      </c>
      <c r="I374" s="5">
        <f ca="1">H374-(ROUNDDOWN((($G$1-C374)/365),1))</f>
        <v>12.5</v>
      </c>
    </row>
    <row r="375" spans="1:9" x14ac:dyDescent="0.25">
      <c r="A375" s="2">
        <f ca="1">RANK(I375,$I$6:$I$475,0)</f>
        <v>370</v>
      </c>
      <c r="B375" s="1" t="s">
        <v>96</v>
      </c>
      <c r="C375" s="18">
        <v>44250</v>
      </c>
      <c r="D375" s="1" t="s">
        <v>266</v>
      </c>
      <c r="E375" s="1" t="s">
        <v>22</v>
      </c>
      <c r="F375" s="1">
        <v>13</v>
      </c>
      <c r="G375" s="1">
        <v>5</v>
      </c>
      <c r="H375" s="1">
        <f>SUM(F375:G375)</f>
        <v>18</v>
      </c>
      <c r="I375" s="5">
        <f ca="1">H375-(ROUNDDOWN((($G$1-C375)/365),1))</f>
        <v>12.4</v>
      </c>
    </row>
    <row r="376" spans="1:9" x14ac:dyDescent="0.25">
      <c r="A376" s="2">
        <f ca="1">RANK(I376,$I$6:$I$475,0)</f>
        <v>370</v>
      </c>
      <c r="B376" s="29" t="s">
        <v>331</v>
      </c>
      <c r="C376" s="18">
        <v>45340</v>
      </c>
      <c r="D376" s="1" t="s">
        <v>72</v>
      </c>
      <c r="E376" s="1" t="s">
        <v>22</v>
      </c>
      <c r="F376" s="1">
        <v>9</v>
      </c>
      <c r="G376" s="1">
        <v>6</v>
      </c>
      <c r="H376" s="1">
        <f>SUM(F376:G376)</f>
        <v>15</v>
      </c>
      <c r="I376" s="5">
        <f ca="1">H376-(ROUNDDOWN((($G$1-C376)/365),1))</f>
        <v>12.4</v>
      </c>
    </row>
    <row r="377" spans="1:9" x14ac:dyDescent="0.25">
      <c r="A377" s="2">
        <f ca="1">RANK(I377,$I$6:$I$475,0)</f>
        <v>370</v>
      </c>
      <c r="B377" s="1" t="s">
        <v>268</v>
      </c>
      <c r="C377" s="18">
        <v>44962</v>
      </c>
      <c r="D377" s="1" t="s">
        <v>266</v>
      </c>
      <c r="E377" s="1" t="s">
        <v>22</v>
      </c>
      <c r="F377" s="1">
        <v>11</v>
      </c>
      <c r="G377" s="1">
        <v>5</v>
      </c>
      <c r="H377" s="1">
        <f>SUM(F377:G377)</f>
        <v>16</v>
      </c>
      <c r="I377" s="5">
        <f ca="1">H377-(ROUNDDOWN((($G$1-C377)/365),1))</f>
        <v>12.4</v>
      </c>
    </row>
    <row r="378" spans="1:9" x14ac:dyDescent="0.25">
      <c r="A378" s="2">
        <f ca="1">RANK(I378,$I$6:$I$475,0)</f>
        <v>370</v>
      </c>
      <c r="B378" s="29" t="s">
        <v>486</v>
      </c>
      <c r="C378" s="18">
        <v>46054</v>
      </c>
      <c r="D378" s="1" t="s">
        <v>71</v>
      </c>
      <c r="E378" s="1" t="s">
        <v>22</v>
      </c>
      <c r="F378" s="1">
        <v>8</v>
      </c>
      <c r="G378" s="1">
        <v>5</v>
      </c>
      <c r="H378" s="1">
        <f>SUM(F378:G378)</f>
        <v>13</v>
      </c>
      <c r="I378" s="5">
        <f ca="1">H378-(ROUNDDOWN((($G$1-C378)/365),1))</f>
        <v>12.4</v>
      </c>
    </row>
    <row r="379" spans="1:9" x14ac:dyDescent="0.25">
      <c r="A379" s="2">
        <f ca="1">RANK(I379,$I$6:$I$475,0)</f>
        <v>374</v>
      </c>
      <c r="B379" s="1" t="s">
        <v>405</v>
      </c>
      <c r="C379" s="18">
        <v>45676</v>
      </c>
      <c r="D379" s="1" t="s">
        <v>149</v>
      </c>
      <c r="E379" s="1" t="s">
        <v>22</v>
      </c>
      <c r="F379" s="1">
        <v>10</v>
      </c>
      <c r="G379" s="1">
        <v>4</v>
      </c>
      <c r="H379" s="1">
        <f>SUM(F379:G379)</f>
        <v>14</v>
      </c>
      <c r="I379" s="5">
        <f ca="1">H379-(ROUNDDOWN((($G$1-C379)/365),1))</f>
        <v>12.3</v>
      </c>
    </row>
    <row r="380" spans="1:9" x14ac:dyDescent="0.25">
      <c r="A380" s="2">
        <f ca="1">RANK(I380,$I$6:$I$475,0)</f>
        <v>374</v>
      </c>
      <c r="B380" s="1" t="s">
        <v>326</v>
      </c>
      <c r="C380" s="18">
        <v>45305</v>
      </c>
      <c r="D380" s="1" t="s">
        <v>308</v>
      </c>
      <c r="E380" s="1" t="s">
        <v>17</v>
      </c>
      <c r="F380" s="1">
        <v>10</v>
      </c>
      <c r="G380" s="1">
        <v>5</v>
      </c>
      <c r="H380" s="1">
        <f>SUM(F380:G380)</f>
        <v>15</v>
      </c>
      <c r="I380" s="5">
        <f ca="1">H380-(ROUNDDOWN((($G$1-C380)/365),1))</f>
        <v>12.3</v>
      </c>
    </row>
    <row r="381" spans="1:9" x14ac:dyDescent="0.25">
      <c r="A381" s="2">
        <f ca="1">RANK(I381,$I$6:$I$475,0)</f>
        <v>374</v>
      </c>
      <c r="B381" s="1" t="s">
        <v>402</v>
      </c>
      <c r="C381" s="18">
        <v>45662</v>
      </c>
      <c r="D381" s="1" t="s">
        <v>74</v>
      </c>
      <c r="E381" s="1" t="s">
        <v>33</v>
      </c>
      <c r="F381" s="1">
        <v>9</v>
      </c>
      <c r="G381" s="1">
        <v>5</v>
      </c>
      <c r="H381" s="1">
        <f>SUM(F381:G381)</f>
        <v>14</v>
      </c>
      <c r="I381" s="5">
        <f ca="1">H381-(ROUNDDOWN((($G$1-C381)/365),1))</f>
        <v>12.3</v>
      </c>
    </row>
    <row r="382" spans="1:9" x14ac:dyDescent="0.25">
      <c r="A382" s="2">
        <f ca="1">RANK(I382,$I$6:$I$475,0)</f>
        <v>374</v>
      </c>
      <c r="B382" s="1" t="s">
        <v>396</v>
      </c>
      <c r="C382" s="18">
        <v>45648</v>
      </c>
      <c r="D382" s="1" t="s">
        <v>68</v>
      </c>
      <c r="E382" s="1" t="s">
        <v>22</v>
      </c>
      <c r="F382" s="1">
        <v>8</v>
      </c>
      <c r="G382" s="1">
        <v>6</v>
      </c>
      <c r="H382" s="1">
        <f>SUM(F382:G382)</f>
        <v>14</v>
      </c>
      <c r="I382" s="5">
        <f ca="1">H382-(ROUNDDOWN((($G$1-C382)/365),1))</f>
        <v>12.3</v>
      </c>
    </row>
    <row r="383" spans="1:9" x14ac:dyDescent="0.25">
      <c r="A383" s="2">
        <f ca="1">RANK(I383,$I$6:$I$475,0)</f>
        <v>378</v>
      </c>
      <c r="B383" s="1" t="s">
        <v>320</v>
      </c>
      <c r="C383" s="18">
        <v>45277</v>
      </c>
      <c r="D383" s="1" t="s">
        <v>266</v>
      </c>
      <c r="E383" s="1" t="s">
        <v>22</v>
      </c>
      <c r="F383" s="1">
        <v>9</v>
      </c>
      <c r="G383" s="1">
        <v>6</v>
      </c>
      <c r="H383" s="1">
        <f>SUM(F383:G383)</f>
        <v>15</v>
      </c>
      <c r="I383" s="5">
        <f ca="1">H383-(ROUNDDOWN((($G$1-C383)/365),1))</f>
        <v>12.2</v>
      </c>
    </row>
    <row r="384" spans="1:9" x14ac:dyDescent="0.25">
      <c r="A384" s="2">
        <f ca="1">RANK(I384,$I$6:$I$475,0)</f>
        <v>378</v>
      </c>
      <c r="B384" s="29" t="s">
        <v>60</v>
      </c>
      <c r="C384" s="18">
        <v>44156</v>
      </c>
      <c r="D384" s="1" t="s">
        <v>71</v>
      </c>
      <c r="E384" s="1" t="s">
        <v>17</v>
      </c>
      <c r="F384" s="1">
        <v>11</v>
      </c>
      <c r="G384" s="1">
        <v>7</v>
      </c>
      <c r="H384" s="1">
        <f>SUM(F384:G384)</f>
        <v>18</v>
      </c>
      <c r="I384" s="5">
        <f ca="1">H384-(ROUNDDOWN((($G$1-C384)/365),1))</f>
        <v>12.2</v>
      </c>
    </row>
    <row r="385" spans="1:9" x14ac:dyDescent="0.25">
      <c r="A385" s="2">
        <f ca="1">RANK(I385,$I$6:$I$475,0)</f>
        <v>380</v>
      </c>
      <c r="B385" s="1" t="s">
        <v>208</v>
      </c>
      <c r="C385" s="18">
        <v>45220</v>
      </c>
      <c r="D385" s="1" t="s">
        <v>308</v>
      </c>
      <c r="E385" s="1" t="s">
        <v>22</v>
      </c>
      <c r="F385" s="1">
        <v>10</v>
      </c>
      <c r="G385" s="1">
        <v>5</v>
      </c>
      <c r="H385" s="1">
        <f>SUM(F385:G385)</f>
        <v>15</v>
      </c>
      <c r="I385" s="5">
        <f ca="1">H385-(ROUNDDOWN((($G$1-C385)/365),1))</f>
        <v>12.1</v>
      </c>
    </row>
    <row r="386" spans="1:9" x14ac:dyDescent="0.25">
      <c r="A386" s="2">
        <f ca="1">RANK(I386,$I$6:$I$475,0)</f>
        <v>380</v>
      </c>
      <c r="B386" s="1" t="s">
        <v>246</v>
      </c>
      <c r="C386" s="18">
        <v>44843</v>
      </c>
      <c r="D386" s="1" t="s">
        <v>67</v>
      </c>
      <c r="E386" s="1" t="s">
        <v>17</v>
      </c>
      <c r="F386" s="1">
        <v>10</v>
      </c>
      <c r="G386" s="1">
        <v>6</v>
      </c>
      <c r="H386" s="1">
        <f>SUM(F386:G386)</f>
        <v>16</v>
      </c>
      <c r="I386" s="5">
        <f ca="1">H386-(ROUNDDOWN((($G$1-C386)/365),1))</f>
        <v>12.1</v>
      </c>
    </row>
    <row r="387" spans="1:9" x14ac:dyDescent="0.25">
      <c r="A387" s="2">
        <f ca="1">RANK(I387,$I$6:$I$475,0)</f>
        <v>382</v>
      </c>
      <c r="B387" s="1" t="s">
        <v>161</v>
      </c>
      <c r="C387" s="18">
        <v>44465</v>
      </c>
      <c r="D387" s="1" t="s">
        <v>68</v>
      </c>
      <c r="E387" s="1" t="s">
        <v>17</v>
      </c>
      <c r="F387" s="1">
        <v>12</v>
      </c>
      <c r="G387" s="1">
        <v>5</v>
      </c>
      <c r="H387" s="1">
        <f>SUM(F387:G387)</f>
        <v>17</v>
      </c>
      <c r="I387" s="5">
        <f ca="1">H387-(ROUNDDOWN((($G$1-C387)/365),1))</f>
        <v>12</v>
      </c>
    </row>
    <row r="388" spans="1:9" x14ac:dyDescent="0.25">
      <c r="A388" s="2">
        <f ca="1">RANK(I388,$I$6:$I$475,0)</f>
        <v>382</v>
      </c>
      <c r="B388" s="1" t="s">
        <v>157</v>
      </c>
      <c r="C388" s="18">
        <v>44451</v>
      </c>
      <c r="D388" s="1" t="s">
        <v>71</v>
      </c>
      <c r="E388" s="1" t="s">
        <v>22</v>
      </c>
      <c r="F388" s="1">
        <v>12</v>
      </c>
      <c r="G388" s="1">
        <v>5</v>
      </c>
      <c r="H388" s="1">
        <f>SUM(F388:G388)</f>
        <v>17</v>
      </c>
      <c r="I388" s="5">
        <f ca="1">H388-(ROUNDDOWN((($G$1-C388)/365),1))</f>
        <v>12</v>
      </c>
    </row>
    <row r="389" spans="1:9" x14ac:dyDescent="0.25">
      <c r="A389" s="2">
        <f ca="1">RANK(I389,$I$6:$I$475,0)</f>
        <v>382</v>
      </c>
      <c r="B389" s="1" t="s">
        <v>48</v>
      </c>
      <c r="C389" s="18">
        <v>44451</v>
      </c>
      <c r="D389" s="1" t="s">
        <v>71</v>
      </c>
      <c r="E389" s="1" t="s">
        <v>20</v>
      </c>
      <c r="F389" s="1">
        <v>11</v>
      </c>
      <c r="G389" s="1">
        <v>6</v>
      </c>
      <c r="H389" s="1">
        <f>SUM(F389:G389)</f>
        <v>17</v>
      </c>
      <c r="I389" s="5">
        <f ca="1">H389-(ROUNDDOWN((($G$1-C389)/365),1))</f>
        <v>12</v>
      </c>
    </row>
    <row r="390" spans="1:9" x14ac:dyDescent="0.25">
      <c r="A390" s="2">
        <f ca="1">RANK(I390,$I$6:$I$475,0)</f>
        <v>382</v>
      </c>
      <c r="B390" s="1" t="s">
        <v>54</v>
      </c>
      <c r="C390" s="18">
        <v>44451</v>
      </c>
      <c r="D390" s="1" t="s">
        <v>74</v>
      </c>
      <c r="E390" s="1" t="s">
        <v>22</v>
      </c>
      <c r="F390" s="1">
        <v>12</v>
      </c>
      <c r="G390" s="1">
        <v>5</v>
      </c>
      <c r="H390" s="1">
        <f>SUM(F390:G390)</f>
        <v>17</v>
      </c>
      <c r="I390" s="5">
        <f ca="1">H390-(ROUNDDOWN((($G$1-C390)/365),1))</f>
        <v>12</v>
      </c>
    </row>
    <row r="391" spans="1:9" x14ac:dyDescent="0.25">
      <c r="A391" s="2">
        <f ca="1">RANK(I391,$I$6:$I$475,0)</f>
        <v>382</v>
      </c>
      <c r="B391" s="1" t="s">
        <v>156</v>
      </c>
      <c r="C391" s="18">
        <v>44451</v>
      </c>
      <c r="D391" s="1" t="s">
        <v>72</v>
      </c>
      <c r="E391" s="1" t="s">
        <v>17</v>
      </c>
      <c r="F391" s="1">
        <v>11</v>
      </c>
      <c r="G391" s="1">
        <v>6</v>
      </c>
      <c r="H391" s="1">
        <f>SUM(F391:G391)</f>
        <v>17</v>
      </c>
      <c r="I391" s="5">
        <f ca="1">H391-(ROUNDDOWN((($G$1-C391)/365),1))</f>
        <v>12</v>
      </c>
    </row>
    <row r="392" spans="1:9" x14ac:dyDescent="0.25">
      <c r="A392" s="2">
        <f ca="1">RANK(I392,$I$6:$I$475,0)</f>
        <v>382</v>
      </c>
      <c r="B392" s="1" t="s">
        <v>367</v>
      </c>
      <c r="C392" s="18">
        <v>45543</v>
      </c>
      <c r="D392" s="1" t="s">
        <v>368</v>
      </c>
      <c r="E392" s="1" t="s">
        <v>17</v>
      </c>
      <c r="F392" s="1">
        <v>10</v>
      </c>
      <c r="G392" s="1">
        <v>4</v>
      </c>
      <c r="H392" s="1">
        <f>SUM(F392:G392)</f>
        <v>14</v>
      </c>
      <c r="I392" s="5">
        <f ca="1">H392-(ROUNDDOWN((($G$1-C392)/365),1))</f>
        <v>12</v>
      </c>
    </row>
    <row r="393" spans="1:9" x14ac:dyDescent="0.25">
      <c r="A393" s="2">
        <f ca="1">RANK(I393,$I$6:$I$475,0)</f>
        <v>388</v>
      </c>
      <c r="B393" s="1" t="s">
        <v>32</v>
      </c>
      <c r="C393" s="18">
        <v>44423</v>
      </c>
      <c r="D393" s="1" t="s">
        <v>68</v>
      </c>
      <c r="E393" s="1" t="s">
        <v>33</v>
      </c>
      <c r="F393" s="1">
        <v>13</v>
      </c>
      <c r="G393" s="1">
        <v>4</v>
      </c>
      <c r="H393" s="1">
        <f>SUM(F393:G393)</f>
        <v>17</v>
      </c>
      <c r="I393" s="5">
        <f ca="1">H393-(ROUNDDOWN((($G$1-C393)/365),1))</f>
        <v>11.9</v>
      </c>
    </row>
    <row r="394" spans="1:9" x14ac:dyDescent="0.25">
      <c r="A394" s="2">
        <f ca="1">RANK(I394,$I$6:$I$475,0)</f>
        <v>388</v>
      </c>
      <c r="B394" s="1" t="s">
        <v>147</v>
      </c>
      <c r="C394" s="18">
        <v>44423</v>
      </c>
      <c r="D394" s="1" t="s">
        <v>72</v>
      </c>
      <c r="E394" s="1" t="s">
        <v>17</v>
      </c>
      <c r="F394" s="1">
        <v>12</v>
      </c>
      <c r="G394" s="1">
        <v>5</v>
      </c>
      <c r="H394" s="1">
        <f>SUM(F394:G394)</f>
        <v>17</v>
      </c>
      <c r="I394" s="5">
        <f ca="1">H394-(ROUNDDOWN((($G$1-C394)/365),1))</f>
        <v>11.9</v>
      </c>
    </row>
    <row r="395" spans="1:9" x14ac:dyDescent="0.25">
      <c r="A395" s="2">
        <f ca="1">RANK(I395,$I$6:$I$475,0)</f>
        <v>388</v>
      </c>
      <c r="B395" s="1" t="s">
        <v>18</v>
      </c>
      <c r="C395" s="18">
        <v>44409</v>
      </c>
      <c r="D395" s="1" t="s">
        <v>69</v>
      </c>
      <c r="E395" s="1" t="s">
        <v>17</v>
      </c>
      <c r="F395" s="1">
        <v>12</v>
      </c>
      <c r="G395" s="1">
        <v>5</v>
      </c>
      <c r="H395" s="1">
        <f>SUM(F395:G395)</f>
        <v>17</v>
      </c>
      <c r="I395" s="5">
        <f ca="1">H395-(ROUNDDOWN((($G$1-C395)/365),1))</f>
        <v>11.9</v>
      </c>
    </row>
    <row r="396" spans="1:9" x14ac:dyDescent="0.25">
      <c r="A396" s="2">
        <f ca="1">RANK(I396,$I$6:$I$475,0)</f>
        <v>391</v>
      </c>
      <c r="B396" s="29" t="s">
        <v>521</v>
      </c>
      <c r="C396" s="18">
        <v>46222</v>
      </c>
      <c r="D396" s="1" t="s">
        <v>67</v>
      </c>
      <c r="E396" s="1" t="s">
        <v>17</v>
      </c>
      <c r="F396" s="1">
        <v>8</v>
      </c>
      <c r="G396" s="1">
        <v>4</v>
      </c>
      <c r="H396" s="1">
        <f>SUM(F396:G396)</f>
        <v>12</v>
      </c>
      <c r="I396" s="5">
        <f ca="1">H396-(ROUNDDOWN((($G$1-C396)/365),1))</f>
        <v>11.8</v>
      </c>
    </row>
    <row r="397" spans="1:9" x14ac:dyDescent="0.25">
      <c r="A397" s="2">
        <f ca="1">RANK(I397,$I$6:$I$475,0)</f>
        <v>391</v>
      </c>
      <c r="B397" s="1" t="s">
        <v>221</v>
      </c>
      <c r="C397" s="18">
        <v>44745</v>
      </c>
      <c r="D397" s="1" t="s">
        <v>71</v>
      </c>
      <c r="E397" s="1" t="s">
        <v>17</v>
      </c>
      <c r="F397" s="1">
        <v>10</v>
      </c>
      <c r="G397" s="1">
        <v>6</v>
      </c>
      <c r="H397" s="1">
        <f>SUM(F397:G397)</f>
        <v>16</v>
      </c>
      <c r="I397" s="5">
        <f ca="1">H397-(ROUNDDOWN((($G$1-C397)/365),1))</f>
        <v>11.8</v>
      </c>
    </row>
    <row r="398" spans="1:9" x14ac:dyDescent="0.25">
      <c r="A398" s="2">
        <f ca="1">RANK(I398,$I$6:$I$475,0)</f>
        <v>393</v>
      </c>
      <c r="B398" s="1" t="s">
        <v>350</v>
      </c>
      <c r="C398" s="18">
        <v>45459</v>
      </c>
      <c r="D398" s="1" t="s">
        <v>66</v>
      </c>
      <c r="E398" s="1" t="s">
        <v>33</v>
      </c>
      <c r="F398" s="1">
        <v>9</v>
      </c>
      <c r="G398" s="1">
        <v>5</v>
      </c>
      <c r="H398" s="1">
        <f>SUM(F398:G398)</f>
        <v>14</v>
      </c>
      <c r="I398" s="5">
        <f ca="1">H398-(ROUNDDOWN((($G$1-C398)/365),1))</f>
        <v>11.7</v>
      </c>
    </row>
    <row r="399" spans="1:9" x14ac:dyDescent="0.25">
      <c r="A399" s="2">
        <f ca="1">RANK(I399,$I$6:$I$475,0)</f>
        <v>393</v>
      </c>
      <c r="B399" s="1" t="s">
        <v>433</v>
      </c>
      <c r="C399" s="18">
        <v>45802</v>
      </c>
      <c r="D399" s="1" t="s">
        <v>262</v>
      </c>
      <c r="E399" s="1" t="s">
        <v>22</v>
      </c>
      <c r="F399" s="1">
        <v>8</v>
      </c>
      <c r="G399" s="1">
        <v>5</v>
      </c>
      <c r="H399" s="1">
        <f>SUM(F399:G399)</f>
        <v>13</v>
      </c>
      <c r="I399" s="5">
        <f ca="1">H399-(ROUNDDOWN((($G$1-C399)/365),1))</f>
        <v>11.7</v>
      </c>
    </row>
    <row r="400" spans="1:9" x14ac:dyDescent="0.25">
      <c r="A400" s="2">
        <f ca="1">RANK(I400,$I$6:$I$475,0)</f>
        <v>393</v>
      </c>
      <c r="B400" s="1" t="s">
        <v>118</v>
      </c>
      <c r="C400" s="18">
        <v>44703</v>
      </c>
      <c r="D400" s="1" t="s">
        <v>71</v>
      </c>
      <c r="E400" s="1" t="s">
        <v>22</v>
      </c>
      <c r="F400" s="1">
        <v>11</v>
      </c>
      <c r="G400" s="1">
        <v>5</v>
      </c>
      <c r="H400" s="1">
        <f>SUM(F400:G400)</f>
        <v>16</v>
      </c>
      <c r="I400" s="5">
        <f ca="1">H400-(ROUNDDOWN((($G$1-C400)/365),1))</f>
        <v>11.7</v>
      </c>
    </row>
    <row r="401" spans="1:9" x14ac:dyDescent="0.25">
      <c r="A401" s="2">
        <f ca="1">RANK(I401,$I$6:$I$475,0)</f>
        <v>393</v>
      </c>
      <c r="B401" s="1" t="s">
        <v>116</v>
      </c>
      <c r="C401" s="18">
        <v>44703</v>
      </c>
      <c r="D401" s="1" t="s">
        <v>72</v>
      </c>
      <c r="E401" s="1" t="s">
        <v>22</v>
      </c>
      <c r="F401" s="1">
        <v>10</v>
      </c>
      <c r="G401" s="1">
        <v>6</v>
      </c>
      <c r="H401" s="1">
        <f>SUM(F401:G401)</f>
        <v>16</v>
      </c>
      <c r="I401" s="5">
        <f ca="1">H401-(ROUNDDOWN((($G$1-C401)/365),1))</f>
        <v>11.7</v>
      </c>
    </row>
    <row r="402" spans="1:9" x14ac:dyDescent="0.25">
      <c r="A402" s="2">
        <f ca="1">RANK(I402,$I$6:$I$475,0)</f>
        <v>397</v>
      </c>
      <c r="B402" s="1" t="s">
        <v>344</v>
      </c>
      <c r="C402" s="18">
        <v>45417</v>
      </c>
      <c r="D402" s="1" t="s">
        <v>74</v>
      </c>
      <c r="E402" s="1" t="s">
        <v>40</v>
      </c>
      <c r="F402" s="1">
        <v>9</v>
      </c>
      <c r="G402" s="1">
        <v>5</v>
      </c>
      <c r="H402" s="1">
        <f>SUM(F402:G402)</f>
        <v>14</v>
      </c>
      <c r="I402" s="5">
        <f ca="1">H402-(ROUNDDOWN((($G$1-C402)/365),1))</f>
        <v>11.6</v>
      </c>
    </row>
    <row r="403" spans="1:9" x14ac:dyDescent="0.25">
      <c r="A403" s="2">
        <f ca="1">RANK(I403,$I$6:$I$475,0)</f>
        <v>397</v>
      </c>
      <c r="B403" s="1" t="s">
        <v>428</v>
      </c>
      <c r="C403" s="18">
        <v>45781</v>
      </c>
      <c r="D403" s="1" t="s">
        <v>308</v>
      </c>
      <c r="E403" s="1" t="s">
        <v>40</v>
      </c>
      <c r="F403" s="1">
        <v>9</v>
      </c>
      <c r="G403" s="1">
        <v>4</v>
      </c>
      <c r="H403" s="1">
        <f>SUM(F403:G403)</f>
        <v>13</v>
      </c>
      <c r="I403" s="5">
        <f ca="1">H403-(ROUNDDOWN((($G$1-C403)/365),1))</f>
        <v>11.6</v>
      </c>
    </row>
    <row r="404" spans="1:9" x14ac:dyDescent="0.25">
      <c r="A404" s="2">
        <f ca="1">RANK(I404,$I$6:$I$475,0)</f>
        <v>397</v>
      </c>
      <c r="B404" s="29" t="s">
        <v>342</v>
      </c>
      <c r="C404" s="18">
        <v>45396</v>
      </c>
      <c r="D404" s="1" t="s">
        <v>75</v>
      </c>
      <c r="E404" s="1" t="s">
        <v>22</v>
      </c>
      <c r="F404" s="1">
        <v>8</v>
      </c>
      <c r="G404" s="1">
        <v>6</v>
      </c>
      <c r="H404" s="1">
        <f>SUM(F404:G404)</f>
        <v>14</v>
      </c>
      <c r="I404" s="5">
        <f ca="1">H404-(ROUNDDOWN((($G$1-C404)/365),1))</f>
        <v>11.6</v>
      </c>
    </row>
    <row r="405" spans="1:9" x14ac:dyDescent="0.25">
      <c r="A405" s="2">
        <f ca="1">RANK(I405,$I$6:$I$475,0)</f>
        <v>400</v>
      </c>
      <c r="B405" s="1" t="s">
        <v>123</v>
      </c>
      <c r="C405" s="18">
        <v>45011</v>
      </c>
      <c r="D405" s="1" t="s">
        <v>69</v>
      </c>
      <c r="E405" s="1" t="s">
        <v>17</v>
      </c>
      <c r="F405" s="1">
        <v>7</v>
      </c>
      <c r="G405" s="1">
        <v>8</v>
      </c>
      <c r="H405" s="1">
        <f>SUM(F405:G405)</f>
        <v>15</v>
      </c>
      <c r="I405" s="5">
        <f ca="1">H405-(ROUNDDOWN((($G$1-C405)/365),1))</f>
        <v>11.5</v>
      </c>
    </row>
    <row r="406" spans="1:9" x14ac:dyDescent="0.25">
      <c r="A406" s="2">
        <f ca="1">RANK(I406,$I$6:$I$475,0)</f>
        <v>400</v>
      </c>
      <c r="B406" s="1" t="s">
        <v>498</v>
      </c>
      <c r="C406" s="18">
        <v>46103</v>
      </c>
      <c r="D406" s="1" t="s">
        <v>74</v>
      </c>
      <c r="E406" s="1" t="s">
        <v>20</v>
      </c>
      <c r="F406" s="1">
        <v>8</v>
      </c>
      <c r="G406" s="1">
        <v>4</v>
      </c>
      <c r="H406" s="1">
        <f>SUM(F406:G406)</f>
        <v>12</v>
      </c>
      <c r="I406" s="5">
        <f ca="1">H406-(ROUNDDOWN((($G$1-C406)/365),1))</f>
        <v>11.5</v>
      </c>
    </row>
    <row r="407" spans="1:9" x14ac:dyDescent="0.25">
      <c r="A407" s="2">
        <f ca="1">RANK(I407,$I$6:$I$475,0)</f>
        <v>400</v>
      </c>
      <c r="B407" s="1" t="s">
        <v>416</v>
      </c>
      <c r="C407" s="18">
        <v>45732</v>
      </c>
      <c r="D407" s="1" t="s">
        <v>308</v>
      </c>
      <c r="E407" s="1" t="s">
        <v>22</v>
      </c>
      <c r="F407" s="1">
        <v>8</v>
      </c>
      <c r="G407" s="1">
        <v>5</v>
      </c>
      <c r="H407" s="1">
        <f>SUM(F407:G407)</f>
        <v>13</v>
      </c>
      <c r="I407" s="5">
        <f ca="1">H407-(ROUNDDOWN((($G$1-C407)/365),1))</f>
        <v>11.5</v>
      </c>
    </row>
    <row r="408" spans="1:9" x14ac:dyDescent="0.25">
      <c r="A408" s="2">
        <f ca="1">RANK(I408,$I$6:$I$475,0)</f>
        <v>400</v>
      </c>
      <c r="B408" s="1" t="s">
        <v>199</v>
      </c>
      <c r="C408" s="18">
        <v>44626</v>
      </c>
      <c r="D408" s="1" t="s">
        <v>69</v>
      </c>
      <c r="E408" s="1" t="s">
        <v>17</v>
      </c>
      <c r="F408" s="1">
        <v>11</v>
      </c>
      <c r="G408" s="1">
        <v>5</v>
      </c>
      <c r="H408" s="1">
        <f>SUM(F408:G408)</f>
        <v>16</v>
      </c>
      <c r="I408" s="5">
        <f ca="1">H408-(ROUNDDOWN((($G$1-C408)/365),1))</f>
        <v>11.5</v>
      </c>
    </row>
    <row r="409" spans="1:9" x14ac:dyDescent="0.25">
      <c r="A409" s="2">
        <f ca="1">RANK(I409,$I$6:$I$475,0)</f>
        <v>404</v>
      </c>
      <c r="B409" s="1" t="s">
        <v>97</v>
      </c>
      <c r="C409" s="18">
        <v>44230</v>
      </c>
      <c r="D409" s="1" t="s">
        <v>69</v>
      </c>
      <c r="E409" s="1" t="s">
        <v>22</v>
      </c>
      <c r="F409" s="1">
        <v>12</v>
      </c>
      <c r="G409" s="1">
        <v>5</v>
      </c>
      <c r="H409" s="1">
        <f>SUM(F409:G409)</f>
        <v>17</v>
      </c>
      <c r="I409" s="5">
        <f ca="1">H409-(ROUNDDOWN((($G$1-C409)/365),1))</f>
        <v>11.4</v>
      </c>
    </row>
    <row r="410" spans="1:9" x14ac:dyDescent="0.25">
      <c r="A410" s="2">
        <f ca="1">RANK(I410,$I$6:$I$475,0)</f>
        <v>404</v>
      </c>
      <c r="B410" s="1" t="s">
        <v>189</v>
      </c>
      <c r="C410" s="18">
        <v>44591</v>
      </c>
      <c r="D410" s="1" t="s">
        <v>70</v>
      </c>
      <c r="E410" s="1" t="s">
        <v>22</v>
      </c>
      <c r="F410" s="1">
        <v>11</v>
      </c>
      <c r="G410" s="1">
        <v>5</v>
      </c>
      <c r="H410" s="1">
        <f>SUM(F410:G410)</f>
        <v>16</v>
      </c>
      <c r="I410" s="5">
        <f ca="1">H410-(ROUNDDOWN((($G$1-C410)/365),1))</f>
        <v>11.4</v>
      </c>
    </row>
    <row r="411" spans="1:9" x14ac:dyDescent="0.25">
      <c r="A411" s="2">
        <f ca="1">RANK(I411,$I$6:$I$475,0)</f>
        <v>406</v>
      </c>
      <c r="B411" s="1" t="s">
        <v>323</v>
      </c>
      <c r="C411" s="18">
        <v>45291</v>
      </c>
      <c r="D411" s="1" t="s">
        <v>266</v>
      </c>
      <c r="E411" s="1" t="s">
        <v>17</v>
      </c>
      <c r="F411" s="1">
        <v>10</v>
      </c>
      <c r="G411" s="1">
        <v>4</v>
      </c>
      <c r="H411" s="1">
        <f>SUM(F411:G411)</f>
        <v>14</v>
      </c>
      <c r="I411" s="5">
        <f ca="1">H411-(ROUNDDOWN((($G$1-C411)/365),1))</f>
        <v>11.3</v>
      </c>
    </row>
    <row r="412" spans="1:9" x14ac:dyDescent="0.25">
      <c r="A412" s="2">
        <f ca="1">RANK(I412,$I$6:$I$475,0)</f>
        <v>407</v>
      </c>
      <c r="B412" s="1" t="s">
        <v>182</v>
      </c>
      <c r="C412" s="18">
        <v>44535</v>
      </c>
      <c r="D412" s="1" t="s">
        <v>69</v>
      </c>
      <c r="E412" s="1" t="s">
        <v>22</v>
      </c>
      <c r="F412" s="1">
        <v>11</v>
      </c>
      <c r="G412" s="1">
        <v>5</v>
      </c>
      <c r="H412" s="1">
        <f>SUM(F412:G412)</f>
        <v>16</v>
      </c>
      <c r="I412" s="5">
        <f ca="1">H412-(ROUNDDOWN((($G$1-C412)/365),1))</f>
        <v>11.2</v>
      </c>
    </row>
    <row r="413" spans="1:9" x14ac:dyDescent="0.25">
      <c r="A413" s="2">
        <f ca="1">RANK(I413,$I$6:$I$475,0)</f>
        <v>407</v>
      </c>
      <c r="B413" s="1" t="s">
        <v>315</v>
      </c>
      <c r="C413" s="18">
        <v>45249</v>
      </c>
      <c r="D413" s="1" t="s">
        <v>308</v>
      </c>
      <c r="E413" s="1" t="s">
        <v>40</v>
      </c>
      <c r="F413" s="1">
        <v>9</v>
      </c>
      <c r="G413" s="1">
        <v>5</v>
      </c>
      <c r="H413" s="1">
        <f>SUM(F413:G413)</f>
        <v>14</v>
      </c>
      <c r="I413" s="5">
        <f ca="1">H413-(ROUNDDOWN((($G$1-C413)/365),1))</f>
        <v>11.2</v>
      </c>
    </row>
    <row r="414" spans="1:9" x14ac:dyDescent="0.25">
      <c r="A414" s="2">
        <f ca="1">RANK(I414,$I$6:$I$475,0)</f>
        <v>407</v>
      </c>
      <c r="B414" s="1" t="s">
        <v>388</v>
      </c>
      <c r="C414" s="18">
        <v>45613</v>
      </c>
      <c r="D414" s="1" t="s">
        <v>66</v>
      </c>
      <c r="E414" s="1" t="s">
        <v>20</v>
      </c>
      <c r="F414" s="1">
        <v>9</v>
      </c>
      <c r="G414" s="1">
        <v>4</v>
      </c>
      <c r="H414" s="1">
        <f>SUM(F414:G414)</f>
        <v>13</v>
      </c>
      <c r="I414" s="5">
        <f ca="1">H414-(ROUNDDOWN((($G$1-C414)/365),1))</f>
        <v>11.2</v>
      </c>
    </row>
    <row r="415" spans="1:9" x14ac:dyDescent="0.25">
      <c r="A415" s="2">
        <f ca="1">RANK(I415,$I$6:$I$475,0)</f>
        <v>410</v>
      </c>
      <c r="B415" s="1" t="s">
        <v>207</v>
      </c>
      <c r="C415" s="18">
        <v>45220</v>
      </c>
      <c r="D415" s="1" t="s">
        <v>308</v>
      </c>
      <c r="E415" s="1" t="s">
        <v>17</v>
      </c>
      <c r="F415" s="1">
        <v>9</v>
      </c>
      <c r="G415" s="1">
        <v>5</v>
      </c>
      <c r="H415" s="1">
        <f>SUM(F415:G415)</f>
        <v>14</v>
      </c>
      <c r="I415" s="5">
        <f ca="1">H415-(ROUNDDOWN((($G$1-C415)/365),1))</f>
        <v>11.1</v>
      </c>
    </row>
    <row r="416" spans="1:9" x14ac:dyDescent="0.25">
      <c r="A416" s="2">
        <f ca="1">RANK(I416,$I$6:$I$475,0)</f>
        <v>410</v>
      </c>
      <c r="B416" s="1" t="s">
        <v>243</v>
      </c>
      <c r="C416" s="18">
        <v>44843</v>
      </c>
      <c r="D416" s="1" t="s">
        <v>149</v>
      </c>
      <c r="E416" s="1" t="s">
        <v>22</v>
      </c>
      <c r="F416" s="1">
        <v>9</v>
      </c>
      <c r="G416" s="1">
        <v>6</v>
      </c>
      <c r="H416" s="1">
        <f>SUM(F416:G416)</f>
        <v>15</v>
      </c>
      <c r="I416" s="5">
        <f ca="1">H416-(ROUNDDOWN((($G$1-C416)/365),1))</f>
        <v>11.1</v>
      </c>
    </row>
    <row r="417" spans="1:9" x14ac:dyDescent="0.25">
      <c r="A417" s="2">
        <f ca="1">RANK(I417,$I$6:$I$475,0)</f>
        <v>412</v>
      </c>
      <c r="B417" s="1" t="s">
        <v>160</v>
      </c>
      <c r="C417" s="18">
        <v>44465</v>
      </c>
      <c r="D417" s="1" t="s">
        <v>68</v>
      </c>
      <c r="E417" s="1" t="s">
        <v>40</v>
      </c>
      <c r="F417" s="1">
        <v>12</v>
      </c>
      <c r="G417" s="1">
        <v>4</v>
      </c>
      <c r="H417" s="1">
        <f>SUM(F417:G417)</f>
        <v>16</v>
      </c>
      <c r="I417" s="5">
        <f ca="1">H417-(ROUNDDOWN((($G$1-C417)/365),1))</f>
        <v>11</v>
      </c>
    </row>
    <row r="418" spans="1:9" x14ac:dyDescent="0.25">
      <c r="A418" s="2">
        <f ca="1">RANK(I418,$I$6:$I$475,0)</f>
        <v>412</v>
      </c>
      <c r="B418" s="1" t="s">
        <v>53</v>
      </c>
      <c r="C418" s="18">
        <v>44451</v>
      </c>
      <c r="D418" s="1" t="s">
        <v>69</v>
      </c>
      <c r="E418" s="1" t="s">
        <v>17</v>
      </c>
      <c r="F418" s="1">
        <v>11</v>
      </c>
      <c r="G418" s="1">
        <v>5</v>
      </c>
      <c r="H418" s="1">
        <f>SUM(F418:G418)</f>
        <v>16</v>
      </c>
      <c r="I418" s="5">
        <f ca="1">H418-(ROUNDDOWN((($G$1-C418)/365),1))</f>
        <v>11</v>
      </c>
    </row>
    <row r="419" spans="1:9" x14ac:dyDescent="0.25">
      <c r="A419" s="2">
        <f ca="1">RANK(I419,$I$6:$I$475,0)</f>
        <v>414</v>
      </c>
      <c r="B419" s="1" t="s">
        <v>451</v>
      </c>
      <c r="C419" s="18">
        <v>45872</v>
      </c>
      <c r="D419" s="1" t="s">
        <v>73</v>
      </c>
      <c r="E419" s="1" t="s">
        <v>22</v>
      </c>
      <c r="F419" s="1">
        <v>9</v>
      </c>
      <c r="G419" s="1">
        <v>3</v>
      </c>
      <c r="H419" s="1">
        <f>SUM(F419:G419)</f>
        <v>12</v>
      </c>
      <c r="I419" s="5">
        <f ca="1">H419-(ROUNDDOWN((($G$1-C419)/365),1))</f>
        <v>10.9</v>
      </c>
    </row>
    <row r="420" spans="1:9" x14ac:dyDescent="0.25">
      <c r="A420" s="2">
        <f ca="1">RANK(I420,$I$6:$I$475,0)</f>
        <v>415</v>
      </c>
      <c r="B420" s="1" t="s">
        <v>449</v>
      </c>
      <c r="C420" s="18">
        <v>45858</v>
      </c>
      <c r="D420" s="1" t="s">
        <v>68</v>
      </c>
      <c r="E420" s="1" t="s">
        <v>22</v>
      </c>
      <c r="F420" s="1">
        <v>8</v>
      </c>
      <c r="G420" s="1">
        <v>4</v>
      </c>
      <c r="H420" s="1">
        <f>SUM(F420:G420)</f>
        <v>12</v>
      </c>
      <c r="I420" s="5">
        <f ca="1">H420-(ROUNDDOWN((($G$1-C420)/365),1))</f>
        <v>10.8</v>
      </c>
    </row>
    <row r="421" spans="1:9" x14ac:dyDescent="0.25">
      <c r="A421" s="2">
        <f ca="1">RANK(I421,$I$6:$I$475,0)</f>
        <v>415</v>
      </c>
      <c r="B421" s="29" t="s">
        <v>515</v>
      </c>
      <c r="C421" s="18">
        <v>46194</v>
      </c>
      <c r="D421" s="1" t="s">
        <v>71</v>
      </c>
      <c r="E421" s="1" t="s">
        <v>20</v>
      </c>
      <c r="F421" s="1">
        <v>9</v>
      </c>
      <c r="G421" s="1">
        <v>2</v>
      </c>
      <c r="H421" s="1">
        <f>SUM(F421:G421)</f>
        <v>11</v>
      </c>
      <c r="I421" s="5">
        <f ca="1">H421-(ROUNDDOWN((($G$1-C421)/365),1))</f>
        <v>10.8</v>
      </c>
    </row>
    <row r="422" spans="1:9" x14ac:dyDescent="0.25">
      <c r="A422" s="2">
        <f ca="1">RANK(I422,$I$6:$I$475,0)</f>
        <v>417</v>
      </c>
      <c r="B422" s="1" t="s">
        <v>129</v>
      </c>
      <c r="C422" s="18">
        <v>44353</v>
      </c>
      <c r="D422" s="1" t="s">
        <v>69</v>
      </c>
      <c r="E422" s="1" t="s">
        <v>22</v>
      </c>
      <c r="F422" s="1">
        <v>11</v>
      </c>
      <c r="G422" s="1">
        <v>5</v>
      </c>
      <c r="H422" s="1">
        <f>SUM(F422:G422)</f>
        <v>16</v>
      </c>
      <c r="I422" s="5">
        <f ca="1">H422-(ROUNDDOWN((($G$1-C422)/365),1))</f>
        <v>10.7</v>
      </c>
    </row>
    <row r="423" spans="1:9" x14ac:dyDescent="0.25">
      <c r="A423" s="2">
        <f ca="1">RANK(I423,$I$6:$I$475,0)</f>
        <v>417</v>
      </c>
      <c r="B423" s="1" t="s">
        <v>130</v>
      </c>
      <c r="C423" s="18">
        <v>44353</v>
      </c>
      <c r="D423" s="1" t="s">
        <v>72</v>
      </c>
      <c r="E423" s="1" t="s">
        <v>22</v>
      </c>
      <c r="F423" s="1">
        <v>11</v>
      </c>
      <c r="G423" s="1">
        <v>5</v>
      </c>
      <c r="H423" s="1">
        <f>SUM(F423:G423)</f>
        <v>16</v>
      </c>
      <c r="I423" s="5">
        <f ca="1">H423-(ROUNDDOWN((($G$1-C423)/365),1))</f>
        <v>10.7</v>
      </c>
    </row>
    <row r="424" spans="1:9" x14ac:dyDescent="0.25">
      <c r="A424" s="2">
        <f ca="1">RANK(I424,$I$6:$I$475,0)</f>
        <v>417</v>
      </c>
      <c r="B424" s="1" t="s">
        <v>214</v>
      </c>
      <c r="C424" s="18">
        <v>44717</v>
      </c>
      <c r="D424" s="1" t="s">
        <v>154</v>
      </c>
      <c r="E424" s="1" t="s">
        <v>22</v>
      </c>
      <c r="F424" s="1">
        <v>11</v>
      </c>
      <c r="G424" s="1">
        <v>4</v>
      </c>
      <c r="H424" s="1">
        <f>SUM(F424:G424)</f>
        <v>15</v>
      </c>
      <c r="I424" s="5">
        <f ca="1">H424-(ROUNDDOWN((($G$1-C424)/365),1))</f>
        <v>10.7</v>
      </c>
    </row>
    <row r="425" spans="1:9" x14ac:dyDescent="0.25">
      <c r="A425" s="2">
        <f ca="1">RANK(I425,$I$6:$I$475,0)</f>
        <v>417</v>
      </c>
      <c r="B425" s="1" t="s">
        <v>215</v>
      </c>
      <c r="C425" s="18">
        <v>44717</v>
      </c>
      <c r="D425" s="1" t="s">
        <v>74</v>
      </c>
      <c r="E425" s="1" t="s">
        <v>22</v>
      </c>
      <c r="F425" s="1">
        <v>11</v>
      </c>
      <c r="G425" s="1">
        <v>4</v>
      </c>
      <c r="H425" s="1">
        <f>SUM(F425:G425)</f>
        <v>15</v>
      </c>
      <c r="I425" s="5">
        <f ca="1">H425-(ROUNDDOWN((($G$1-C425)/365),1))</f>
        <v>10.7</v>
      </c>
    </row>
    <row r="426" spans="1:9" x14ac:dyDescent="0.25">
      <c r="A426" s="2">
        <f ca="1">RANK(I426,$I$6:$I$475,0)</f>
        <v>417</v>
      </c>
      <c r="B426" s="29" t="s">
        <v>347</v>
      </c>
      <c r="C426" s="18">
        <v>45438</v>
      </c>
      <c r="D426" s="1" t="s">
        <v>71</v>
      </c>
      <c r="E426" s="1" t="s">
        <v>22</v>
      </c>
      <c r="F426" s="1">
        <v>10</v>
      </c>
      <c r="G426" s="1">
        <v>3</v>
      </c>
      <c r="H426" s="1">
        <f>SUM(F426:G426)</f>
        <v>13</v>
      </c>
      <c r="I426" s="5">
        <f ca="1">H426-(ROUNDDOWN((($G$1-C426)/365),1))</f>
        <v>10.7</v>
      </c>
    </row>
    <row r="427" spans="1:9" x14ac:dyDescent="0.25">
      <c r="A427" s="2">
        <f ca="1">RANK(I427,$I$6:$I$475,0)</f>
        <v>422</v>
      </c>
      <c r="B427" s="1" t="s">
        <v>340</v>
      </c>
      <c r="C427" s="18">
        <v>45389</v>
      </c>
      <c r="D427" s="1" t="s">
        <v>69</v>
      </c>
      <c r="E427" s="1" t="s">
        <v>22</v>
      </c>
      <c r="F427" s="1">
        <v>9</v>
      </c>
      <c r="G427" s="1">
        <v>4</v>
      </c>
      <c r="H427" s="1">
        <f>SUM(F427:G427)</f>
        <v>13</v>
      </c>
      <c r="I427" s="5">
        <f ca="1">H427-(ROUNDDOWN((($G$1-C427)/365),1))</f>
        <v>10.6</v>
      </c>
    </row>
    <row r="428" spans="1:9" x14ac:dyDescent="0.25">
      <c r="A428" s="2">
        <f ca="1">RANK(I428,$I$6:$I$475,0)</f>
        <v>423</v>
      </c>
      <c r="B428" s="1" t="s">
        <v>201</v>
      </c>
      <c r="C428" s="18">
        <v>44640</v>
      </c>
      <c r="D428" s="1" t="s">
        <v>66</v>
      </c>
      <c r="E428" s="1" t="s">
        <v>33</v>
      </c>
      <c r="F428" s="1">
        <v>10</v>
      </c>
      <c r="G428" s="1">
        <v>5</v>
      </c>
      <c r="H428" s="1">
        <f>SUM(F428:G428)</f>
        <v>15</v>
      </c>
      <c r="I428" s="5">
        <f ca="1">H428-(ROUNDDOWN((($G$1-C428)/365),1))</f>
        <v>10.5</v>
      </c>
    </row>
    <row r="429" spans="1:9" x14ac:dyDescent="0.25">
      <c r="A429" s="2">
        <f ca="1">RANK(I429,$I$6:$I$475,0)</f>
        <v>423</v>
      </c>
      <c r="B429" s="1" t="s">
        <v>418</v>
      </c>
      <c r="C429" s="18">
        <v>45732</v>
      </c>
      <c r="D429" s="1" t="s">
        <v>72</v>
      </c>
      <c r="E429" s="1" t="s">
        <v>17</v>
      </c>
      <c r="F429" s="1">
        <v>8</v>
      </c>
      <c r="G429" s="1">
        <v>4</v>
      </c>
      <c r="H429" s="1">
        <f>SUM(F429:G429)</f>
        <v>12</v>
      </c>
      <c r="I429" s="5">
        <f ca="1">H429-(ROUNDDOWN((($G$1-C429)/365),1))</f>
        <v>10.5</v>
      </c>
    </row>
    <row r="430" spans="1:9" x14ac:dyDescent="0.25">
      <c r="A430" s="2">
        <f ca="1">RANK(I430,$I$6:$I$475,0)</f>
        <v>423</v>
      </c>
      <c r="B430" s="1" t="s">
        <v>198</v>
      </c>
      <c r="C430" s="18">
        <v>44626</v>
      </c>
      <c r="D430" s="1" t="s">
        <v>71</v>
      </c>
      <c r="E430" s="1" t="s">
        <v>22</v>
      </c>
      <c r="F430" s="1">
        <v>11</v>
      </c>
      <c r="G430" s="1">
        <v>4</v>
      </c>
      <c r="H430" s="1">
        <f>SUM(F430:G430)</f>
        <v>15</v>
      </c>
      <c r="I430" s="5">
        <f ca="1">H430-(ROUNDDOWN((($G$1-C430)/365),1))</f>
        <v>10.5</v>
      </c>
    </row>
    <row r="431" spans="1:9" x14ac:dyDescent="0.25">
      <c r="A431" s="2">
        <f ca="1">RANK(I431,$I$6:$I$475,0)</f>
        <v>426</v>
      </c>
      <c r="B431" s="1" t="s">
        <v>190</v>
      </c>
      <c r="C431" s="18">
        <v>44591</v>
      </c>
      <c r="D431" s="1" t="s">
        <v>69</v>
      </c>
      <c r="E431" s="1" t="s">
        <v>22</v>
      </c>
      <c r="F431" s="1">
        <v>8</v>
      </c>
      <c r="G431" s="1">
        <v>7</v>
      </c>
      <c r="H431" s="1">
        <f>SUM(F431:G431)</f>
        <v>15</v>
      </c>
      <c r="I431" s="5">
        <f ca="1">H431-(ROUNDDOWN((($G$1-C431)/365),1))</f>
        <v>10.4</v>
      </c>
    </row>
    <row r="432" spans="1:9" x14ac:dyDescent="0.25">
      <c r="A432" s="2">
        <f ca="1">RANK(I432,$I$6:$I$475,0)</f>
        <v>427</v>
      </c>
      <c r="B432" s="1" t="s">
        <v>93</v>
      </c>
      <c r="C432" s="18">
        <v>44217</v>
      </c>
      <c r="D432" s="1" t="s">
        <v>71</v>
      </c>
      <c r="E432" s="1" t="s">
        <v>22</v>
      </c>
      <c r="F432" s="1">
        <v>12</v>
      </c>
      <c r="G432" s="1">
        <v>4</v>
      </c>
      <c r="H432" s="1">
        <f>SUM(F432:G432)</f>
        <v>16</v>
      </c>
      <c r="I432" s="5">
        <f ca="1">H432-(ROUNDDOWN((($G$1-C432)/365),1))</f>
        <v>10.3</v>
      </c>
    </row>
    <row r="433" spans="1:9" x14ac:dyDescent="0.25">
      <c r="A433" s="2">
        <f ca="1">RANK(I433,$I$6:$I$475,0)</f>
        <v>427</v>
      </c>
      <c r="B433" s="29" t="s">
        <v>92</v>
      </c>
      <c r="C433" s="18">
        <v>44213</v>
      </c>
      <c r="D433" s="1" t="s">
        <v>68</v>
      </c>
      <c r="E433" s="1" t="s">
        <v>17</v>
      </c>
      <c r="F433" s="1">
        <v>11</v>
      </c>
      <c r="G433" s="1">
        <v>5</v>
      </c>
      <c r="H433" s="1">
        <f>SUM(F433:G433)</f>
        <v>16</v>
      </c>
      <c r="I433" s="5">
        <f ca="1">H433-(ROUNDDOWN((($G$1-C433)/365),1))</f>
        <v>10.3</v>
      </c>
    </row>
    <row r="434" spans="1:9" x14ac:dyDescent="0.25">
      <c r="A434" s="2">
        <f ca="1">RANK(I434,$I$6:$I$475,0)</f>
        <v>429</v>
      </c>
      <c r="B434" s="1" t="s">
        <v>395</v>
      </c>
      <c r="C434" s="18">
        <v>45641</v>
      </c>
      <c r="D434" s="1" t="s">
        <v>309</v>
      </c>
      <c r="E434" s="1" t="s">
        <v>40</v>
      </c>
      <c r="F434" s="1">
        <v>8</v>
      </c>
      <c r="G434" s="1">
        <v>4</v>
      </c>
      <c r="H434" s="1">
        <f>SUM(F434:G434)</f>
        <v>12</v>
      </c>
      <c r="I434" s="5">
        <f ca="1">H434-(ROUNDDOWN((($G$1-C434)/365),1))</f>
        <v>10.199999999999999</v>
      </c>
    </row>
    <row r="435" spans="1:9" x14ac:dyDescent="0.25">
      <c r="A435" s="2">
        <f ca="1">RANK(I435,$I$6:$I$475,0)</f>
        <v>429</v>
      </c>
      <c r="B435" s="1" t="s">
        <v>314</v>
      </c>
      <c r="C435" s="18">
        <v>45249</v>
      </c>
      <c r="D435" s="1" t="s">
        <v>68</v>
      </c>
      <c r="E435" s="1" t="s">
        <v>22</v>
      </c>
      <c r="F435" s="1">
        <v>9</v>
      </c>
      <c r="G435" s="1">
        <v>4</v>
      </c>
      <c r="H435" s="1">
        <f>SUM(F435:G435)</f>
        <v>13</v>
      </c>
      <c r="I435" s="5">
        <f ca="1">H435-(ROUNDDOWN((($G$1-C435)/365),1))</f>
        <v>10.199999999999999</v>
      </c>
    </row>
    <row r="436" spans="1:9" x14ac:dyDescent="0.25">
      <c r="A436" s="2">
        <f ca="1">RANK(I436,$I$6:$I$475,0)</f>
        <v>431</v>
      </c>
      <c r="B436" s="1" t="s">
        <v>170</v>
      </c>
      <c r="C436" s="18">
        <v>44493</v>
      </c>
      <c r="D436" s="1" t="s">
        <v>154</v>
      </c>
      <c r="E436" s="1" t="s">
        <v>22</v>
      </c>
      <c r="F436" s="1">
        <v>11</v>
      </c>
      <c r="G436" s="1">
        <v>4</v>
      </c>
      <c r="H436" s="1">
        <f>SUM(F436:G436)</f>
        <v>15</v>
      </c>
      <c r="I436" s="5">
        <f ca="1">H436-(ROUNDDOWN((($G$1-C436)/365),1))</f>
        <v>10.1</v>
      </c>
    </row>
    <row r="437" spans="1:9" x14ac:dyDescent="0.25">
      <c r="A437" s="2">
        <f ca="1">RANK(I437,$I$6:$I$475,0)</f>
        <v>431</v>
      </c>
      <c r="B437" s="1" t="s">
        <v>244</v>
      </c>
      <c r="C437" s="18">
        <v>44843</v>
      </c>
      <c r="D437" s="1" t="s">
        <v>66</v>
      </c>
      <c r="E437" s="1" t="s">
        <v>40</v>
      </c>
      <c r="F437" s="1">
        <v>10</v>
      </c>
      <c r="G437" s="1">
        <v>4</v>
      </c>
      <c r="H437" s="1">
        <f>SUM(F437:G437)</f>
        <v>14</v>
      </c>
      <c r="I437" s="5">
        <f ca="1">H437-(ROUNDDOWN((($G$1-C437)/365),1))</f>
        <v>10.1</v>
      </c>
    </row>
    <row r="438" spans="1:9" x14ac:dyDescent="0.25">
      <c r="A438" s="2">
        <f ca="1">RANK(I438,$I$6:$I$475,0)</f>
        <v>431</v>
      </c>
      <c r="B438" s="1" t="s">
        <v>304</v>
      </c>
      <c r="C438" s="18">
        <v>45207</v>
      </c>
      <c r="D438" s="1" t="s">
        <v>73</v>
      </c>
      <c r="E438" s="1" t="s">
        <v>40</v>
      </c>
      <c r="F438" s="1">
        <v>9</v>
      </c>
      <c r="G438" s="1">
        <v>4</v>
      </c>
      <c r="H438" s="1">
        <f>SUM(F438:G438)</f>
        <v>13</v>
      </c>
      <c r="I438" s="5">
        <f ca="1">H438-(ROUNDDOWN((($G$1-C438)/365),1))</f>
        <v>10.1</v>
      </c>
    </row>
    <row r="439" spans="1:9" x14ac:dyDescent="0.25">
      <c r="A439" s="2">
        <f ca="1">RANK(I439,$I$6:$I$475,0)</f>
        <v>434</v>
      </c>
      <c r="B439" s="1" t="s">
        <v>162</v>
      </c>
      <c r="C439" s="18">
        <v>44465</v>
      </c>
      <c r="D439" s="1" t="s">
        <v>68</v>
      </c>
      <c r="E439" s="1" t="s">
        <v>22</v>
      </c>
      <c r="F439" s="1">
        <v>12</v>
      </c>
      <c r="G439" s="1">
        <v>3</v>
      </c>
      <c r="H439" s="1">
        <f>SUM(F439:G439)</f>
        <v>15</v>
      </c>
      <c r="I439" s="5">
        <f ca="1">H439-(ROUNDDOWN((($G$1-C439)/365),1))</f>
        <v>10</v>
      </c>
    </row>
    <row r="440" spans="1:9" x14ac:dyDescent="0.25">
      <c r="A440" s="2">
        <f ca="1">RANK(I440,$I$6:$I$475,0)</f>
        <v>434</v>
      </c>
      <c r="B440" s="1" t="s">
        <v>46</v>
      </c>
      <c r="C440" s="18">
        <v>44451</v>
      </c>
      <c r="D440" s="1" t="s">
        <v>69</v>
      </c>
      <c r="E440" s="1" t="s">
        <v>22</v>
      </c>
      <c r="F440" s="1">
        <v>10</v>
      </c>
      <c r="G440" s="1">
        <v>5</v>
      </c>
      <c r="H440" s="1">
        <f>SUM(F440:G440)</f>
        <v>15</v>
      </c>
      <c r="I440" s="5">
        <f ca="1">H440-(ROUNDDOWN((($G$1-C440)/365),1))</f>
        <v>10</v>
      </c>
    </row>
    <row r="441" spans="1:9" x14ac:dyDescent="0.25">
      <c r="A441" s="2">
        <f ca="1">RANK(I441,$I$6:$I$475,0)</f>
        <v>434</v>
      </c>
      <c r="B441" s="1" t="s">
        <v>52</v>
      </c>
      <c r="C441" s="18">
        <v>44451</v>
      </c>
      <c r="D441" s="1" t="s">
        <v>71</v>
      </c>
      <c r="E441" s="1" t="s">
        <v>22</v>
      </c>
      <c r="F441" s="1">
        <v>10</v>
      </c>
      <c r="G441" s="1">
        <v>5</v>
      </c>
      <c r="H441" s="1">
        <f>SUM(F441:G441)</f>
        <v>15</v>
      </c>
      <c r="I441" s="5">
        <f ca="1">H441-(ROUNDDOWN((($G$1-C441)/365),1))</f>
        <v>10</v>
      </c>
    </row>
    <row r="442" spans="1:9" x14ac:dyDescent="0.25">
      <c r="A442" s="2">
        <f ca="1">RANK(I442,$I$6:$I$475,0)</f>
        <v>437</v>
      </c>
      <c r="B442" s="29" t="s">
        <v>148</v>
      </c>
      <c r="C442" s="18">
        <v>44430</v>
      </c>
      <c r="D442" s="1" t="s">
        <v>149</v>
      </c>
      <c r="E442" s="1" t="s">
        <v>22</v>
      </c>
      <c r="F442" s="1">
        <v>10</v>
      </c>
      <c r="G442" s="1">
        <v>5</v>
      </c>
      <c r="H442" s="1">
        <f>SUM(F442:G442)</f>
        <v>15</v>
      </c>
      <c r="I442" s="5">
        <f ca="1">H442-(ROUNDDOWN((($G$1-C442)/365),1))</f>
        <v>9.9</v>
      </c>
    </row>
    <row r="443" spans="1:9" x14ac:dyDescent="0.25">
      <c r="A443" s="2">
        <f ca="1">RANK(I443,$I$6:$I$475,0)</f>
        <v>437</v>
      </c>
      <c r="B443" s="1" t="s">
        <v>43</v>
      </c>
      <c r="C443" s="18">
        <v>44423</v>
      </c>
      <c r="D443" s="1" t="s">
        <v>71</v>
      </c>
      <c r="E443" s="1" t="s">
        <v>33</v>
      </c>
      <c r="F443" s="1">
        <v>9</v>
      </c>
      <c r="G443" s="1">
        <v>6</v>
      </c>
      <c r="H443" s="1">
        <f>SUM(F443:G443)</f>
        <v>15</v>
      </c>
      <c r="I443" s="5">
        <f ca="1">H443-(ROUNDDOWN((($G$1-C443)/365),1))</f>
        <v>9.9</v>
      </c>
    </row>
    <row r="444" spans="1:9" x14ac:dyDescent="0.25">
      <c r="A444" s="2">
        <f ca="1">RANK(I444,$I$6:$I$475,0)</f>
        <v>437</v>
      </c>
      <c r="B444" s="29" t="s">
        <v>16</v>
      </c>
      <c r="C444" s="18">
        <v>44409</v>
      </c>
      <c r="D444" s="1" t="s">
        <v>69</v>
      </c>
      <c r="E444" s="1" t="s">
        <v>17</v>
      </c>
      <c r="F444" s="1">
        <v>9</v>
      </c>
      <c r="G444" s="1">
        <v>6</v>
      </c>
      <c r="H444" s="1">
        <f>SUM(F444:G444)</f>
        <v>15</v>
      </c>
      <c r="I444" s="5">
        <f ca="1">H444-(ROUNDDOWN((($G$1-C444)/365),1))</f>
        <v>9.9</v>
      </c>
    </row>
    <row r="445" spans="1:9" x14ac:dyDescent="0.25">
      <c r="A445" s="2">
        <f ca="1">RANK(I445,$I$6:$I$475,0)</f>
        <v>437</v>
      </c>
      <c r="B445" s="1" t="s">
        <v>25</v>
      </c>
      <c r="C445" s="18">
        <v>44409</v>
      </c>
      <c r="D445" s="1" t="s">
        <v>69</v>
      </c>
      <c r="E445" s="1" t="s">
        <v>22</v>
      </c>
      <c r="F445" s="1">
        <v>10</v>
      </c>
      <c r="G445" s="1">
        <v>5</v>
      </c>
      <c r="H445" s="1">
        <f>SUM(F445:G445)</f>
        <v>15</v>
      </c>
      <c r="I445" s="5">
        <f ca="1">H445-(ROUNDDOWN((($G$1-C445)/365),1))</f>
        <v>9.9</v>
      </c>
    </row>
    <row r="446" spans="1:9" x14ac:dyDescent="0.25">
      <c r="A446" s="2">
        <f ca="1">RANK(I446,$I$6:$I$475,0)</f>
        <v>437</v>
      </c>
      <c r="B446" s="1" t="s">
        <v>24</v>
      </c>
      <c r="C446" s="18">
        <v>44409</v>
      </c>
      <c r="D446" s="1" t="s">
        <v>69</v>
      </c>
      <c r="E446" s="1" t="s">
        <v>22</v>
      </c>
      <c r="F446" s="1">
        <v>10</v>
      </c>
      <c r="G446" s="1">
        <v>5</v>
      </c>
      <c r="H446" s="1">
        <f>SUM(F446:G446)</f>
        <v>15</v>
      </c>
      <c r="I446" s="5">
        <f ca="1">H446-(ROUNDDOWN((($G$1-C446)/365),1))</f>
        <v>9.9</v>
      </c>
    </row>
    <row r="447" spans="1:9" x14ac:dyDescent="0.25">
      <c r="A447" s="2">
        <f ca="1">RANK(I447,$I$6:$I$475,0)</f>
        <v>437</v>
      </c>
      <c r="B447" s="29" t="s">
        <v>138</v>
      </c>
      <c r="C447" s="18">
        <v>44402</v>
      </c>
      <c r="D447" s="1" t="s">
        <v>69</v>
      </c>
      <c r="E447" s="1" t="s">
        <v>22</v>
      </c>
      <c r="F447" s="1">
        <v>10</v>
      </c>
      <c r="G447" s="1">
        <v>5</v>
      </c>
      <c r="H447" s="1">
        <f>SUM(F447:G447)</f>
        <v>15</v>
      </c>
      <c r="I447" s="5">
        <f ca="1">H447-(ROUNDDOWN((($G$1-C447)/365),1))</f>
        <v>9.9</v>
      </c>
    </row>
    <row r="448" spans="1:9" x14ac:dyDescent="0.25">
      <c r="A448" s="2">
        <f ca="1">RANK(I448,$I$6:$I$475,0)</f>
        <v>443</v>
      </c>
      <c r="B448" s="1" t="s">
        <v>135</v>
      </c>
      <c r="C448" s="18">
        <v>44367</v>
      </c>
      <c r="D448" s="1" t="s">
        <v>68</v>
      </c>
      <c r="E448" s="1" t="s">
        <v>22</v>
      </c>
      <c r="F448" s="1">
        <v>10</v>
      </c>
      <c r="G448" s="1">
        <v>5</v>
      </c>
      <c r="H448" s="1">
        <f>SUM(F448:G448)</f>
        <v>15</v>
      </c>
      <c r="I448" s="5">
        <f ca="1">H448-(ROUNDDOWN((($G$1-C448)/365),1))</f>
        <v>9.8000000000000007</v>
      </c>
    </row>
    <row r="449" spans="1:9" x14ac:dyDescent="0.25">
      <c r="A449" s="2">
        <f ca="1">RANK(I449,$I$6:$I$475,0)</f>
        <v>444</v>
      </c>
      <c r="B449" s="1" t="s">
        <v>351</v>
      </c>
      <c r="C449" s="18">
        <v>45459</v>
      </c>
      <c r="D449" s="1" t="s">
        <v>149</v>
      </c>
      <c r="E449" s="1" t="s">
        <v>22</v>
      </c>
      <c r="F449" s="1">
        <v>9</v>
      </c>
      <c r="G449" s="1">
        <v>3</v>
      </c>
      <c r="H449" s="1">
        <f>SUM(F449:G449)</f>
        <v>12</v>
      </c>
      <c r="I449" s="5">
        <f ca="1">H449-(ROUNDDOWN((($G$1-C449)/365),1))</f>
        <v>9.6999999999999993</v>
      </c>
    </row>
    <row r="450" spans="1:9" x14ac:dyDescent="0.25">
      <c r="A450" s="2">
        <f ca="1">RANK(I450,$I$6:$I$475,0)</f>
        <v>444</v>
      </c>
      <c r="B450" s="1" t="s">
        <v>468</v>
      </c>
      <c r="C450" s="18">
        <v>45816</v>
      </c>
      <c r="D450" s="1" t="s">
        <v>469</v>
      </c>
      <c r="E450" s="1" t="s">
        <v>22</v>
      </c>
      <c r="F450" s="1">
        <v>8</v>
      </c>
      <c r="G450" s="1">
        <v>3</v>
      </c>
      <c r="H450" s="1">
        <f>SUM(F450:G450)</f>
        <v>11</v>
      </c>
      <c r="I450" s="5">
        <f ca="1">H450-(ROUNDDOWN((($G$1-C450)/365),1))</f>
        <v>9.6999999999999993</v>
      </c>
    </row>
    <row r="451" spans="1:9" x14ac:dyDescent="0.25">
      <c r="A451" s="2">
        <f ca="1">RANK(I451,$I$6:$I$475,0)</f>
        <v>444</v>
      </c>
      <c r="B451" s="1" t="s">
        <v>127</v>
      </c>
      <c r="C451" s="18">
        <v>44344</v>
      </c>
      <c r="D451" s="1" t="s">
        <v>69</v>
      </c>
      <c r="E451" s="1" t="s">
        <v>17</v>
      </c>
      <c r="F451" s="1">
        <v>10</v>
      </c>
      <c r="G451" s="1">
        <v>5</v>
      </c>
      <c r="H451" s="1">
        <f>SUM(F451:G451)</f>
        <v>15</v>
      </c>
      <c r="I451" s="5">
        <f ca="1">H451-(ROUNDDOWN((($G$1-C451)/365),1))</f>
        <v>9.6999999999999993</v>
      </c>
    </row>
    <row r="452" spans="1:9" x14ac:dyDescent="0.25">
      <c r="A452" s="2">
        <f ca="1">RANK(I452,$I$6:$I$475,0)</f>
        <v>444</v>
      </c>
      <c r="B452" s="1" t="s">
        <v>90</v>
      </c>
      <c r="C452" s="18">
        <v>44703</v>
      </c>
      <c r="D452" s="1" t="s">
        <v>69</v>
      </c>
      <c r="E452" s="1" t="s">
        <v>22</v>
      </c>
      <c r="F452" s="1">
        <v>9</v>
      </c>
      <c r="G452" s="1">
        <v>5</v>
      </c>
      <c r="H452" s="1">
        <f>SUM(F452:G452)</f>
        <v>14</v>
      </c>
      <c r="I452" s="5">
        <f ca="1">H452-(ROUNDDOWN((($G$1-C452)/365),1))</f>
        <v>9.6999999999999993</v>
      </c>
    </row>
    <row r="453" spans="1:9" x14ac:dyDescent="0.25">
      <c r="A453" s="2">
        <f ca="1">RANK(I453,$I$6:$I$475,0)</f>
        <v>444</v>
      </c>
      <c r="B453" s="1" t="s">
        <v>283</v>
      </c>
      <c r="C453" s="18">
        <v>45067</v>
      </c>
      <c r="D453" s="1" t="s">
        <v>149</v>
      </c>
      <c r="E453" s="1" t="s">
        <v>22</v>
      </c>
      <c r="F453" s="1">
        <v>9</v>
      </c>
      <c r="G453" s="1">
        <v>4</v>
      </c>
      <c r="H453" s="1">
        <f>SUM(F453:G453)</f>
        <v>13</v>
      </c>
      <c r="I453" s="5">
        <f ca="1">H453-(ROUNDDOWN((($G$1-C453)/365),1))</f>
        <v>9.6999999999999993</v>
      </c>
    </row>
    <row r="454" spans="1:9" x14ac:dyDescent="0.25">
      <c r="A454" s="2">
        <f ca="1">RANK(I454,$I$6:$I$475,0)</f>
        <v>449</v>
      </c>
      <c r="B454" s="1" t="s">
        <v>431</v>
      </c>
      <c r="C454" s="18">
        <v>45781</v>
      </c>
      <c r="D454" s="1" t="s">
        <v>71</v>
      </c>
      <c r="E454" s="1" t="s">
        <v>33</v>
      </c>
      <c r="F454" s="1">
        <v>8</v>
      </c>
      <c r="G454" s="1">
        <v>3</v>
      </c>
      <c r="H454" s="1">
        <f>SUM(F454:G454)</f>
        <v>11</v>
      </c>
      <c r="I454" s="5">
        <f ca="1">H454-(ROUNDDOWN((($G$1-C454)/365),1))</f>
        <v>9.6</v>
      </c>
    </row>
    <row r="455" spans="1:9" x14ac:dyDescent="0.25">
      <c r="A455" s="2">
        <f ca="1">RANK(I455,$I$6:$I$475,0)</f>
        <v>450</v>
      </c>
      <c r="B455" s="1" t="s">
        <v>240</v>
      </c>
      <c r="C455" s="18">
        <v>44843</v>
      </c>
      <c r="D455" s="1" t="s">
        <v>73</v>
      </c>
      <c r="E455" s="1" t="s">
        <v>40</v>
      </c>
      <c r="F455" s="1">
        <v>9</v>
      </c>
      <c r="G455" s="1">
        <v>4</v>
      </c>
      <c r="H455" s="1">
        <f>SUM(F455:G455)</f>
        <v>13</v>
      </c>
      <c r="I455" s="5">
        <f ca="1">H455-(ROUNDDOWN((($G$1-C455)/365),1))</f>
        <v>9.1</v>
      </c>
    </row>
    <row r="456" spans="1:9" x14ac:dyDescent="0.25">
      <c r="A456" s="2">
        <f ca="1">RANK(I456,$I$6:$I$475,0)</f>
        <v>450</v>
      </c>
      <c r="B456" s="1" t="s">
        <v>305</v>
      </c>
      <c r="C456" s="18">
        <v>45207</v>
      </c>
      <c r="D456" s="1" t="s">
        <v>154</v>
      </c>
      <c r="E456" s="1" t="s">
        <v>40</v>
      </c>
      <c r="F456" s="1">
        <v>8</v>
      </c>
      <c r="G456" s="1">
        <v>4</v>
      </c>
      <c r="H456" s="1">
        <f>SUM(F456:G456)</f>
        <v>12</v>
      </c>
      <c r="I456" s="5">
        <f ca="1">H456-(ROUNDDOWN((($G$1-C456)/365),1))</f>
        <v>9.1</v>
      </c>
    </row>
    <row r="457" spans="1:9" x14ac:dyDescent="0.25">
      <c r="A457" s="2">
        <f ca="1">RANK(I457,$I$6:$I$475,0)</f>
        <v>452</v>
      </c>
      <c r="B457" s="1" t="s">
        <v>150</v>
      </c>
      <c r="C457" s="18">
        <v>44437</v>
      </c>
      <c r="D457" s="1" t="s">
        <v>72</v>
      </c>
      <c r="E457" s="1" t="s">
        <v>22</v>
      </c>
      <c r="F457" s="1">
        <v>9</v>
      </c>
      <c r="G457" s="1">
        <v>5</v>
      </c>
      <c r="H457" s="1">
        <f>SUM(F457:G457)</f>
        <v>14</v>
      </c>
      <c r="I457" s="5">
        <f ca="1">H457-(ROUNDDOWN((($G$1-C457)/365),1))</f>
        <v>8.9</v>
      </c>
    </row>
    <row r="458" spans="1:9" x14ac:dyDescent="0.25">
      <c r="A458" s="2">
        <f ca="1">RANK(I458,$I$6:$I$475,0)</f>
        <v>452</v>
      </c>
      <c r="B458" s="1" t="s">
        <v>26</v>
      </c>
      <c r="C458" s="18">
        <v>44409</v>
      </c>
      <c r="D458" s="1" t="s">
        <v>69</v>
      </c>
      <c r="E458" s="1" t="s">
        <v>17</v>
      </c>
      <c r="F458" s="1">
        <v>10</v>
      </c>
      <c r="G458" s="1">
        <v>4</v>
      </c>
      <c r="H458" s="1">
        <f>SUM(F458:G458)</f>
        <v>14</v>
      </c>
      <c r="I458" s="5">
        <f ca="1">H458-(ROUNDDOWN((($G$1-C458)/365),1))</f>
        <v>8.9</v>
      </c>
    </row>
    <row r="459" spans="1:9" x14ac:dyDescent="0.25">
      <c r="A459" s="2">
        <f ca="1">RANK(I459,$I$6:$I$475,0)</f>
        <v>454</v>
      </c>
      <c r="B459" s="1" t="s">
        <v>222</v>
      </c>
      <c r="C459" s="18">
        <v>44745</v>
      </c>
      <c r="D459" s="1" t="s">
        <v>71</v>
      </c>
      <c r="E459" s="1" t="s">
        <v>22</v>
      </c>
      <c r="F459" s="1">
        <v>8</v>
      </c>
      <c r="G459" s="1">
        <v>5</v>
      </c>
      <c r="H459" s="1">
        <f>SUM(F459:G459)</f>
        <v>13</v>
      </c>
      <c r="I459" s="5">
        <f ca="1">H459-(ROUNDDOWN((($G$1-C459)/365),1))</f>
        <v>8.8000000000000007</v>
      </c>
    </row>
    <row r="460" spans="1:9" x14ac:dyDescent="0.25">
      <c r="A460" s="2">
        <f ca="1">RANK(I460,$I$6:$I$475,0)</f>
        <v>455</v>
      </c>
      <c r="B460" s="1" t="s">
        <v>114</v>
      </c>
      <c r="C460" s="18">
        <v>44703</v>
      </c>
      <c r="D460" s="1" t="s">
        <v>72</v>
      </c>
      <c r="E460" s="1" t="s">
        <v>17</v>
      </c>
      <c r="F460" s="1">
        <v>8</v>
      </c>
      <c r="G460" s="1">
        <v>5</v>
      </c>
      <c r="H460" s="1">
        <f>SUM(F460:G460)</f>
        <v>13</v>
      </c>
      <c r="I460" s="5">
        <f ca="1">H460-(ROUNDDOWN((($G$1-C460)/365),1))</f>
        <v>8.6999999999999993</v>
      </c>
    </row>
    <row r="461" spans="1:9" x14ac:dyDescent="0.25">
      <c r="A461" s="2">
        <f ca="1">RANK(I461,$I$6:$I$475,0)</f>
        <v>456</v>
      </c>
      <c r="B461" s="1" t="s">
        <v>99</v>
      </c>
      <c r="C461" s="18">
        <v>44577</v>
      </c>
      <c r="D461" s="1" t="s">
        <v>154</v>
      </c>
      <c r="E461" s="1" t="s">
        <v>22</v>
      </c>
      <c r="F461" s="1">
        <v>9</v>
      </c>
      <c r="G461" s="1">
        <v>4</v>
      </c>
      <c r="H461" s="1">
        <f>SUM(F461:G461)</f>
        <v>13</v>
      </c>
      <c r="I461" s="5">
        <f ca="1">H461-(ROUNDDOWN((($G$1-C461)/365),1))</f>
        <v>8.3000000000000007</v>
      </c>
    </row>
    <row r="462" spans="1:9" x14ac:dyDescent="0.25">
      <c r="A462" s="2">
        <f ca="1">RANK(I462,$I$6:$I$475,0)</f>
        <v>456</v>
      </c>
      <c r="B462" s="1" t="s">
        <v>263</v>
      </c>
      <c r="C462" s="18">
        <v>44934</v>
      </c>
      <c r="D462" s="1" t="s">
        <v>262</v>
      </c>
      <c r="E462" s="1" t="s">
        <v>22</v>
      </c>
      <c r="F462" s="1">
        <v>8</v>
      </c>
      <c r="G462" s="1">
        <v>4</v>
      </c>
      <c r="H462" s="1">
        <f>SUM(F462:G462)</f>
        <v>12</v>
      </c>
      <c r="I462" s="5">
        <f ca="1">H462-(ROUNDDOWN((($G$1-C462)/365),1))</f>
        <v>8.3000000000000007</v>
      </c>
    </row>
    <row r="463" spans="1:9" x14ac:dyDescent="0.25">
      <c r="A463" s="2">
        <f ca="1">RANK(I463,$I$6:$I$475,0)</f>
        <v>458</v>
      </c>
      <c r="B463" s="1" t="s">
        <v>98</v>
      </c>
      <c r="C463" s="18">
        <v>44092</v>
      </c>
      <c r="D463" s="1" t="s">
        <v>69</v>
      </c>
      <c r="E463" s="1" t="s">
        <v>22</v>
      </c>
      <c r="F463" s="1">
        <v>10</v>
      </c>
      <c r="G463" s="1">
        <v>4</v>
      </c>
      <c r="H463" s="1">
        <f>SUM(F463:G463)</f>
        <v>14</v>
      </c>
      <c r="I463" s="5">
        <f ca="1">H463-(ROUNDDOWN((($G$1-C463)/365),1))</f>
        <v>8</v>
      </c>
    </row>
    <row r="464" spans="1:9" x14ac:dyDescent="0.25">
      <c r="A464" s="2">
        <f ca="1">RANK(I464,$I$6:$I$475,0)</f>
        <v>459</v>
      </c>
      <c r="B464" s="1" t="s">
        <v>34</v>
      </c>
      <c r="C464" s="18">
        <v>44423</v>
      </c>
      <c r="D464" s="1" t="s">
        <v>71</v>
      </c>
      <c r="E464" s="1" t="s">
        <v>22</v>
      </c>
      <c r="F464" s="1">
        <v>8</v>
      </c>
      <c r="G464" s="1">
        <v>5</v>
      </c>
      <c r="H464" s="1">
        <f>SUM(F464:G464)</f>
        <v>13</v>
      </c>
      <c r="I464" s="5">
        <f ca="1">H464-(ROUNDDOWN((($G$1-C464)/365),1))</f>
        <v>7.9</v>
      </c>
    </row>
    <row r="465" spans="1:18" x14ac:dyDescent="0.25">
      <c r="A465" s="2">
        <f ca="1">RANK(I465,$I$6:$I$475,0)</f>
        <v>460</v>
      </c>
      <c r="B465" s="1" t="s">
        <v>241</v>
      </c>
      <c r="C465" s="18">
        <v>44843</v>
      </c>
      <c r="D465" s="1" t="s">
        <v>73</v>
      </c>
      <c r="E465" s="1" t="s">
        <v>17</v>
      </c>
      <c r="F465" s="1">
        <v>7</v>
      </c>
      <c r="G465" s="1">
        <v>4</v>
      </c>
      <c r="H465" s="1">
        <f>SUM(F465:G465)</f>
        <v>11</v>
      </c>
      <c r="I465" s="5">
        <f ca="1">H465-(ROUNDDOWN((($G$1-C465)/365),1))</f>
        <v>7.1</v>
      </c>
    </row>
    <row r="466" spans="1:18" x14ac:dyDescent="0.25">
      <c r="A466" s="2">
        <f ca="1">RANK(I466,$I$6:$I$475,0)</f>
        <v>461</v>
      </c>
      <c r="B466" s="1" t="s">
        <v>39</v>
      </c>
      <c r="C466" s="18">
        <v>44423</v>
      </c>
      <c r="D466" s="1" t="s">
        <v>71</v>
      </c>
      <c r="E466" s="1" t="s">
        <v>40</v>
      </c>
      <c r="F466" s="1">
        <v>9</v>
      </c>
      <c r="G466" s="1">
        <v>3</v>
      </c>
      <c r="H466" s="1">
        <f>SUM(F466:G466)</f>
        <v>12</v>
      </c>
      <c r="I466" s="5">
        <f ca="1">H466-(ROUNDDOWN((($G$1-C466)/365),1))</f>
        <v>6.9</v>
      </c>
    </row>
    <row r="467" spans="1:18" x14ac:dyDescent="0.25">
      <c r="A467" s="2">
        <f ca="1">RANK(I467,$I$6:$I$475,0)</f>
        <v>461</v>
      </c>
      <c r="B467" s="1" t="s">
        <v>35</v>
      </c>
      <c r="C467" s="18">
        <v>44423</v>
      </c>
      <c r="D467" s="1" t="s">
        <v>72</v>
      </c>
      <c r="E467" s="1" t="s">
        <v>22</v>
      </c>
      <c r="F467" s="1">
        <v>7</v>
      </c>
      <c r="G467" s="1">
        <v>5</v>
      </c>
      <c r="H467" s="1">
        <f>SUM(F467:G467)</f>
        <v>12</v>
      </c>
      <c r="I467" s="5">
        <f ca="1">H467-(ROUNDDOWN((($G$1-C467)/365),1))</f>
        <v>6.9</v>
      </c>
    </row>
    <row r="468" spans="1:18" x14ac:dyDescent="0.25">
      <c r="A468" s="2">
        <f ca="1">RANK(I468,$I$6:$I$475,0)</f>
        <v>463</v>
      </c>
      <c r="B468" s="1" t="s">
        <v>62</v>
      </c>
      <c r="C468" s="18">
        <v>44577</v>
      </c>
      <c r="D468" s="1" t="s">
        <v>75</v>
      </c>
      <c r="E468" s="1" t="s">
        <v>22</v>
      </c>
      <c r="F468" s="1">
        <v>7</v>
      </c>
      <c r="G468" s="1">
        <v>4</v>
      </c>
      <c r="H468" s="1">
        <f>SUM(F468:G468)</f>
        <v>11</v>
      </c>
      <c r="I468" s="5">
        <f ca="1">H468-(ROUNDDOWN((($G$1-C468)/365),1))</f>
        <v>6.3</v>
      </c>
    </row>
    <row r="469" spans="1:18" x14ac:dyDescent="0.25">
      <c r="A469" s="2">
        <f ca="1">RANK(I469,$I$6:$I$475,0)</f>
        <v>463</v>
      </c>
      <c r="B469" s="1" t="s">
        <v>61</v>
      </c>
      <c r="C469" s="18">
        <v>44577</v>
      </c>
      <c r="D469" s="1" t="s">
        <v>75</v>
      </c>
      <c r="E469" s="1" t="s">
        <v>17</v>
      </c>
      <c r="F469" s="1">
        <v>7</v>
      </c>
      <c r="G469" s="1">
        <v>4</v>
      </c>
      <c r="H469" s="1">
        <f>SUM(F469:G469)</f>
        <v>11</v>
      </c>
      <c r="I469" s="5">
        <f ca="1">H469-(ROUNDDOWN((($G$1-C469)/365),1))</f>
        <v>6.3</v>
      </c>
    </row>
    <row r="470" spans="1:18" x14ac:dyDescent="0.25">
      <c r="A470" s="2">
        <f ca="1">RANK(I470,$I$6:$I$475,0)</f>
        <v>465</v>
      </c>
      <c r="B470" s="1" t="s">
        <v>242</v>
      </c>
      <c r="C470" s="18">
        <v>44843</v>
      </c>
      <c r="D470" s="1" t="s">
        <v>73</v>
      </c>
      <c r="E470" s="1" t="s">
        <v>22</v>
      </c>
      <c r="F470" s="1">
        <v>7</v>
      </c>
      <c r="G470" s="1">
        <v>3</v>
      </c>
      <c r="H470" s="1">
        <f>SUM(F470:G470)</f>
        <v>10</v>
      </c>
      <c r="I470" s="5">
        <f ca="1">H470-(ROUNDDOWN((($G$1-C470)/365),1))</f>
        <v>6.1</v>
      </c>
    </row>
    <row r="471" spans="1:18" x14ac:dyDescent="0.25">
      <c r="A471" s="2">
        <f ca="1">RANK(I471,$I$6:$I$475,0)</f>
        <v>466</v>
      </c>
      <c r="B471" s="29" t="s">
        <v>226</v>
      </c>
      <c r="C471" s="18">
        <v>44766</v>
      </c>
      <c r="D471" s="1" t="s">
        <v>71</v>
      </c>
      <c r="E471" s="1" t="s">
        <v>22</v>
      </c>
      <c r="F471" s="1">
        <v>5</v>
      </c>
      <c r="G471" s="1">
        <v>5</v>
      </c>
      <c r="H471" s="1">
        <f>SUM(F471:G471)</f>
        <v>10</v>
      </c>
      <c r="I471" s="5">
        <f ca="1">H471-(ROUNDDOWN((($G$1-C471)/365),1))</f>
        <v>5.8</v>
      </c>
    </row>
    <row r="472" spans="1:18" x14ac:dyDescent="0.25">
      <c r="A472" s="2">
        <f ca="1">RANK(I472,$I$6:$I$475,0)</f>
        <v>467</v>
      </c>
      <c r="B472" s="1" t="s">
        <v>100</v>
      </c>
      <c r="C472" s="18">
        <v>44703</v>
      </c>
      <c r="D472" s="1" t="s">
        <v>69</v>
      </c>
      <c r="E472" s="1" t="s">
        <v>22</v>
      </c>
      <c r="F472" s="1">
        <v>7</v>
      </c>
      <c r="G472" s="1">
        <v>3</v>
      </c>
      <c r="H472" s="1">
        <f>SUM(F472:G472)</f>
        <v>10</v>
      </c>
      <c r="I472" s="5">
        <f ca="1">H472-(ROUNDDOWN((($G$1-C472)/365),1))</f>
        <v>5.7</v>
      </c>
    </row>
    <row r="473" spans="1:18" x14ac:dyDescent="0.25">
      <c r="A473" s="2">
        <f ca="1">RANK(I473,$I$6:$I$475,0)</f>
        <v>468</v>
      </c>
      <c r="B473" s="1" t="s">
        <v>63</v>
      </c>
      <c r="C473" s="18">
        <v>44577</v>
      </c>
      <c r="D473" s="1" t="s">
        <v>75</v>
      </c>
      <c r="E473" s="1" t="s">
        <v>40</v>
      </c>
      <c r="F473" s="1">
        <v>6</v>
      </c>
      <c r="G473" s="1">
        <v>4</v>
      </c>
      <c r="H473" s="1">
        <f>SUM(F473:G473)</f>
        <v>10</v>
      </c>
      <c r="I473" s="5">
        <f ca="1">H473-(ROUNDDOWN((($G$1-C473)/365),1))</f>
        <v>5.3</v>
      </c>
    </row>
    <row r="474" spans="1:18" x14ac:dyDescent="0.25">
      <c r="A474" s="2">
        <f ca="1">RANK(I474,$I$6:$I$475,0)</f>
        <v>469</v>
      </c>
      <c r="B474" s="1" t="s">
        <v>245</v>
      </c>
      <c r="C474" s="18">
        <v>44843</v>
      </c>
      <c r="D474" s="1" t="s">
        <v>75</v>
      </c>
      <c r="E474" s="1" t="s">
        <v>40</v>
      </c>
      <c r="F474" s="1">
        <v>7</v>
      </c>
      <c r="G474" s="1">
        <v>2</v>
      </c>
      <c r="H474" s="1">
        <f>SUM(F474:G474)</f>
        <v>9</v>
      </c>
      <c r="I474" s="5">
        <f ca="1">H474-(ROUNDDOWN((($G$1-C474)/365),1))</f>
        <v>5.0999999999999996</v>
      </c>
    </row>
    <row r="475" spans="1:18" ht="14.25" customHeight="1" x14ac:dyDescent="0.25">
      <c r="A475" s="2"/>
      <c r="B475" s="19" t="s">
        <v>44</v>
      </c>
      <c r="C475" s="19"/>
      <c r="D475" s="19"/>
      <c r="I475" s="3"/>
    </row>
    <row r="476" spans="1:18" x14ac:dyDescent="0.25">
      <c r="A476" s="2" t="s">
        <v>27</v>
      </c>
      <c r="B476" s="1" t="s">
        <v>28</v>
      </c>
      <c r="D476" s="1" t="s">
        <v>29</v>
      </c>
      <c r="E476" s="1" t="s">
        <v>29</v>
      </c>
      <c r="F476" s="4">
        <f>AVERAGE(F6:F475)</f>
        <v>12.518123667377399</v>
      </c>
      <c r="G476" s="4">
        <f>AVERAGE(G6:G475)</f>
        <v>5.8656716417910451</v>
      </c>
      <c r="H476" s="4">
        <f>SUM(F476:G476)</f>
        <v>18.383795309168445</v>
      </c>
      <c r="I476" s="5">
        <f ca="1">AVERAGE(I6:I475)</f>
        <v>15.320682302771859</v>
      </c>
    </row>
    <row r="477" spans="1:18" x14ac:dyDescent="0.25">
      <c r="A477" s="39" t="s">
        <v>12</v>
      </c>
      <c r="B477" s="40"/>
      <c r="C477" s="40"/>
      <c r="D477" s="40"/>
      <c r="E477" s="40"/>
      <c r="F477" s="40"/>
      <c r="G477" s="40"/>
      <c r="H477" s="40"/>
      <c r="I477" s="41"/>
      <c r="K477"/>
    </row>
    <row r="478" spans="1:18" s="14" customFormat="1" ht="30" x14ac:dyDescent="0.25">
      <c r="A478" s="10" t="s">
        <v>1</v>
      </c>
      <c r="B478" s="11" t="s">
        <v>0</v>
      </c>
      <c r="C478" s="11" t="s">
        <v>359</v>
      </c>
      <c r="D478" s="11" t="s">
        <v>65</v>
      </c>
      <c r="E478" s="11" t="s">
        <v>2</v>
      </c>
      <c r="F478" s="11" t="s">
        <v>6</v>
      </c>
      <c r="G478" s="11" t="s">
        <v>7</v>
      </c>
      <c r="H478" s="21" t="s">
        <v>361</v>
      </c>
      <c r="I478" s="22" t="s">
        <v>360</v>
      </c>
      <c r="J478" s="11"/>
      <c r="L478" s="1"/>
      <c r="M478" s="1"/>
      <c r="N478" s="1"/>
      <c r="O478" s="1"/>
      <c r="P478" s="1"/>
      <c r="Q478" s="4"/>
      <c r="R478"/>
    </row>
    <row r="479" spans="1:18" x14ac:dyDescent="0.25">
      <c r="A479" s="2">
        <f t="shared" ref="A479:A542" ca="1" si="2">RANK(I479,$I$479:$I$718,0)</f>
        <v>1</v>
      </c>
      <c r="B479" s="29" t="s">
        <v>255</v>
      </c>
      <c r="C479" s="18">
        <v>44899</v>
      </c>
      <c r="D479" s="1" t="s">
        <v>67</v>
      </c>
      <c r="E479" s="1" t="s">
        <v>22</v>
      </c>
      <c r="F479" s="1">
        <v>18</v>
      </c>
      <c r="G479" s="1">
        <v>10</v>
      </c>
      <c r="H479" s="1">
        <f t="shared" ref="H479:H542" si="3">SUM(F479:G479)</f>
        <v>28</v>
      </c>
      <c r="I479" s="5">
        <f t="shared" ref="I479:I542" ca="1" si="4">H479-(ROUNDDOWN((($G$1-C479)/365),1))</f>
        <v>24.2</v>
      </c>
    </row>
    <row r="480" spans="1:18" x14ac:dyDescent="0.25">
      <c r="A480" s="2">
        <f t="shared" ca="1" si="2"/>
        <v>2</v>
      </c>
      <c r="B480" s="29" t="s">
        <v>297</v>
      </c>
      <c r="C480" s="18">
        <v>45144</v>
      </c>
      <c r="D480" s="1" t="s">
        <v>71</v>
      </c>
      <c r="E480" s="1" t="s">
        <v>22</v>
      </c>
      <c r="F480" s="1">
        <v>18</v>
      </c>
      <c r="G480" s="1">
        <v>9</v>
      </c>
      <c r="H480" s="1">
        <f t="shared" si="3"/>
        <v>27</v>
      </c>
      <c r="I480" s="5">
        <f t="shared" ca="1" si="4"/>
        <v>23.9</v>
      </c>
    </row>
    <row r="481" spans="1:18" x14ac:dyDescent="0.25">
      <c r="A481" s="2">
        <f t="shared" ca="1" si="2"/>
        <v>3</v>
      </c>
      <c r="B481" s="29" t="s">
        <v>441</v>
      </c>
      <c r="C481" s="18">
        <v>45836</v>
      </c>
      <c r="D481" s="1" t="s">
        <v>71</v>
      </c>
      <c r="E481" s="1" t="s">
        <v>22</v>
      </c>
      <c r="F481" s="1">
        <v>16</v>
      </c>
      <c r="G481" s="1">
        <v>9</v>
      </c>
      <c r="H481" s="1">
        <f t="shared" si="3"/>
        <v>25</v>
      </c>
      <c r="I481" s="5">
        <f t="shared" ca="1" si="4"/>
        <v>23.8</v>
      </c>
    </row>
    <row r="482" spans="1:18" x14ac:dyDescent="0.25">
      <c r="A482" s="2">
        <f t="shared" ca="1" si="2"/>
        <v>4</v>
      </c>
      <c r="B482" s="1" t="s">
        <v>519</v>
      </c>
      <c r="C482" s="18">
        <v>46215</v>
      </c>
      <c r="D482" s="1" t="s">
        <v>378</v>
      </c>
      <c r="E482" s="1" t="s">
        <v>22</v>
      </c>
      <c r="F482" s="1">
        <v>14</v>
      </c>
      <c r="G482" s="1">
        <v>8</v>
      </c>
      <c r="H482" s="1">
        <f t="shared" si="3"/>
        <v>22</v>
      </c>
      <c r="I482" s="5">
        <f t="shared" ca="1" si="4"/>
        <v>21.8</v>
      </c>
    </row>
    <row r="483" spans="1:18" x14ac:dyDescent="0.25">
      <c r="A483" s="2">
        <f t="shared" ca="1" si="2"/>
        <v>5</v>
      </c>
      <c r="B483" s="1" t="s">
        <v>392</v>
      </c>
      <c r="C483" s="18">
        <v>45641</v>
      </c>
      <c r="D483" s="1" t="s">
        <v>368</v>
      </c>
      <c r="E483" s="1" t="s">
        <v>22</v>
      </c>
      <c r="F483" s="1">
        <v>15</v>
      </c>
      <c r="G483" s="1">
        <v>8</v>
      </c>
      <c r="H483" s="1">
        <f t="shared" si="3"/>
        <v>23</v>
      </c>
      <c r="I483" s="5">
        <f t="shared" ca="1" si="4"/>
        <v>21.2</v>
      </c>
    </row>
    <row r="484" spans="1:18" x14ac:dyDescent="0.25">
      <c r="A484" s="2">
        <f t="shared" ca="1" si="2"/>
        <v>6</v>
      </c>
      <c r="B484" s="1" t="s">
        <v>375</v>
      </c>
      <c r="C484" s="18">
        <v>45557</v>
      </c>
      <c r="D484" s="1" t="s">
        <v>71</v>
      </c>
      <c r="E484" s="1" t="s">
        <v>22</v>
      </c>
      <c r="F484" s="1">
        <v>16</v>
      </c>
      <c r="G484" s="1">
        <v>7</v>
      </c>
      <c r="H484" s="1">
        <f t="shared" si="3"/>
        <v>23</v>
      </c>
      <c r="I484" s="5">
        <f t="shared" ca="1" si="4"/>
        <v>21</v>
      </c>
    </row>
    <row r="485" spans="1:18" x14ac:dyDescent="0.25">
      <c r="A485" s="2">
        <f t="shared" ca="1" si="2"/>
        <v>8</v>
      </c>
      <c r="B485" s="29" t="s">
        <v>455</v>
      </c>
      <c r="C485" s="18">
        <v>45893</v>
      </c>
      <c r="D485" s="1" t="s">
        <v>377</v>
      </c>
      <c r="E485" s="1" t="s">
        <v>22</v>
      </c>
      <c r="F485" s="1">
        <v>14</v>
      </c>
      <c r="G485" s="1">
        <v>8</v>
      </c>
      <c r="H485" s="1">
        <f t="shared" si="3"/>
        <v>22</v>
      </c>
      <c r="I485" s="5">
        <f t="shared" ca="1" si="4"/>
        <v>20.9</v>
      </c>
    </row>
    <row r="486" spans="1:18" x14ac:dyDescent="0.25">
      <c r="A486" s="2">
        <f t="shared" ca="1" si="2"/>
        <v>6</v>
      </c>
      <c r="B486" s="29" t="s">
        <v>534</v>
      </c>
      <c r="C486" s="18">
        <v>46292</v>
      </c>
      <c r="D486" s="1" t="s">
        <v>378</v>
      </c>
      <c r="E486" s="1" t="s">
        <v>22</v>
      </c>
      <c r="F486" s="1">
        <v>15</v>
      </c>
      <c r="G486" s="1">
        <v>6</v>
      </c>
      <c r="H486" s="1">
        <f t="shared" si="3"/>
        <v>21</v>
      </c>
      <c r="I486" s="5">
        <f t="shared" ca="1" si="4"/>
        <v>21</v>
      </c>
      <c r="L486"/>
      <c r="M486"/>
      <c r="N486"/>
      <c r="O486"/>
      <c r="P486"/>
      <c r="Q486"/>
    </row>
    <row r="487" spans="1:18" x14ac:dyDescent="0.25">
      <c r="A487" s="2">
        <f t="shared" ca="1" si="2"/>
        <v>8</v>
      </c>
      <c r="B487" s="29" t="s">
        <v>452</v>
      </c>
      <c r="C487" s="18">
        <v>45879</v>
      </c>
      <c r="D487" s="1" t="s">
        <v>149</v>
      </c>
      <c r="E487" s="1" t="s">
        <v>22</v>
      </c>
      <c r="F487" s="1">
        <v>17</v>
      </c>
      <c r="G487" s="1">
        <v>5</v>
      </c>
      <c r="H487" s="1">
        <f t="shared" si="3"/>
        <v>22</v>
      </c>
      <c r="I487" s="5">
        <f t="shared" ca="1" si="4"/>
        <v>20.9</v>
      </c>
      <c r="L487" s="14"/>
      <c r="M487" s="14"/>
      <c r="N487" s="14"/>
      <c r="O487" s="14"/>
      <c r="P487" s="14"/>
      <c r="Q487" s="14"/>
      <c r="R487" s="14"/>
    </row>
    <row r="488" spans="1:18" x14ac:dyDescent="0.25">
      <c r="A488" s="2">
        <f t="shared" ca="1" si="2"/>
        <v>10</v>
      </c>
      <c r="B488" s="1" t="s">
        <v>482</v>
      </c>
      <c r="C488" s="18">
        <v>46033</v>
      </c>
      <c r="D488" s="1" t="s">
        <v>483</v>
      </c>
      <c r="E488" s="1" t="s">
        <v>22</v>
      </c>
      <c r="F488" s="1">
        <v>15</v>
      </c>
      <c r="G488" s="1">
        <v>6</v>
      </c>
      <c r="H488" s="1">
        <f t="shared" si="3"/>
        <v>21</v>
      </c>
      <c r="I488" s="5">
        <f t="shared" ca="1" si="4"/>
        <v>20.3</v>
      </c>
    </row>
    <row r="489" spans="1:18" x14ac:dyDescent="0.25">
      <c r="A489" s="2">
        <f t="shared" ca="1" si="2"/>
        <v>11</v>
      </c>
      <c r="B489" s="29" t="s">
        <v>389</v>
      </c>
      <c r="C489" s="18">
        <v>45620</v>
      </c>
      <c r="D489" s="1" t="s">
        <v>378</v>
      </c>
      <c r="E489" s="1" t="s">
        <v>22</v>
      </c>
      <c r="F489" s="1">
        <v>16</v>
      </c>
      <c r="G489" s="1">
        <v>6</v>
      </c>
      <c r="H489" s="1">
        <f t="shared" si="3"/>
        <v>22</v>
      </c>
      <c r="I489" s="5">
        <f t="shared" ca="1" si="4"/>
        <v>20.2</v>
      </c>
    </row>
    <row r="490" spans="1:18" x14ac:dyDescent="0.25">
      <c r="A490" s="2">
        <f t="shared" ca="1" si="2"/>
        <v>12</v>
      </c>
      <c r="B490" s="29" t="s">
        <v>239</v>
      </c>
      <c r="C490" s="18">
        <v>44836</v>
      </c>
      <c r="D490" s="1" t="s">
        <v>184</v>
      </c>
      <c r="E490" s="1" t="s">
        <v>22</v>
      </c>
      <c r="F490" s="1">
        <v>17</v>
      </c>
      <c r="G490" s="1">
        <v>7</v>
      </c>
      <c r="H490" s="1">
        <f t="shared" si="3"/>
        <v>24</v>
      </c>
      <c r="I490" s="5">
        <f t="shared" ca="1" si="4"/>
        <v>20</v>
      </c>
    </row>
    <row r="491" spans="1:18" x14ac:dyDescent="0.25">
      <c r="A491" s="2">
        <f t="shared" ca="1" si="2"/>
        <v>12</v>
      </c>
      <c r="B491" s="29" t="s">
        <v>302</v>
      </c>
      <c r="C491" s="18">
        <v>45200</v>
      </c>
      <c r="D491" s="1" t="s">
        <v>149</v>
      </c>
      <c r="E491" s="1" t="s">
        <v>22</v>
      </c>
      <c r="F491" s="1">
        <v>15</v>
      </c>
      <c r="G491" s="1">
        <v>8</v>
      </c>
      <c r="H491" s="1">
        <f t="shared" si="3"/>
        <v>23</v>
      </c>
      <c r="I491" s="5">
        <f t="shared" ca="1" si="4"/>
        <v>20</v>
      </c>
    </row>
    <row r="492" spans="1:18" x14ac:dyDescent="0.25">
      <c r="A492" s="2">
        <f t="shared" ca="1" si="2"/>
        <v>12</v>
      </c>
      <c r="B492" s="1" t="s">
        <v>369</v>
      </c>
      <c r="C492" s="18">
        <v>45543</v>
      </c>
      <c r="D492" s="1" t="s">
        <v>71</v>
      </c>
      <c r="E492" s="1" t="s">
        <v>22</v>
      </c>
      <c r="F492" s="1">
        <v>15</v>
      </c>
      <c r="G492" s="1">
        <v>7</v>
      </c>
      <c r="H492" s="1">
        <f t="shared" si="3"/>
        <v>22</v>
      </c>
      <c r="I492" s="5">
        <f t="shared" ca="1" si="4"/>
        <v>20</v>
      </c>
    </row>
    <row r="493" spans="1:18" x14ac:dyDescent="0.25">
      <c r="A493" s="2">
        <f t="shared" ca="1" si="2"/>
        <v>15</v>
      </c>
      <c r="B493" s="29" t="s">
        <v>526</v>
      </c>
      <c r="C493" s="18">
        <v>46250</v>
      </c>
      <c r="D493" s="1" t="s">
        <v>154</v>
      </c>
      <c r="E493" s="1" t="s">
        <v>22</v>
      </c>
      <c r="F493" s="1">
        <v>16</v>
      </c>
      <c r="G493" s="1">
        <v>4</v>
      </c>
      <c r="H493" s="1">
        <f t="shared" si="3"/>
        <v>20</v>
      </c>
      <c r="I493" s="5">
        <f t="shared" ca="1" si="4"/>
        <v>19.899999999999999</v>
      </c>
    </row>
    <row r="494" spans="1:18" x14ac:dyDescent="0.25">
      <c r="A494" s="2">
        <f t="shared" ca="1" si="2"/>
        <v>15</v>
      </c>
      <c r="B494" s="1" t="s">
        <v>525</v>
      </c>
      <c r="C494" s="18">
        <v>46243</v>
      </c>
      <c r="D494" s="1" t="s">
        <v>66</v>
      </c>
      <c r="E494" s="1" t="s">
        <v>22</v>
      </c>
      <c r="F494" s="1">
        <v>15</v>
      </c>
      <c r="G494" s="1">
        <v>5</v>
      </c>
      <c r="H494" s="1">
        <f t="shared" si="3"/>
        <v>20</v>
      </c>
      <c r="I494" s="5">
        <f t="shared" ca="1" si="4"/>
        <v>19.899999999999999</v>
      </c>
    </row>
    <row r="495" spans="1:18" x14ac:dyDescent="0.25">
      <c r="A495" s="2">
        <f t="shared" ca="1" si="2"/>
        <v>17</v>
      </c>
      <c r="B495" s="29" t="s">
        <v>352</v>
      </c>
      <c r="C495" s="18">
        <v>45466</v>
      </c>
      <c r="D495" s="1" t="s">
        <v>154</v>
      </c>
      <c r="E495" s="1" t="s">
        <v>22</v>
      </c>
      <c r="F495" s="1">
        <v>14</v>
      </c>
      <c r="G495" s="1">
        <v>8</v>
      </c>
      <c r="H495" s="1">
        <f t="shared" si="3"/>
        <v>22</v>
      </c>
      <c r="I495" s="5">
        <f t="shared" ca="1" si="4"/>
        <v>19.8</v>
      </c>
    </row>
    <row r="496" spans="1:18" x14ac:dyDescent="0.25">
      <c r="A496" s="2">
        <f t="shared" ca="1" si="2"/>
        <v>18</v>
      </c>
      <c r="B496" s="29" t="s">
        <v>132</v>
      </c>
      <c r="C496" s="18">
        <v>44359</v>
      </c>
      <c r="D496" s="1" t="s">
        <v>131</v>
      </c>
      <c r="E496" s="1" t="s">
        <v>22</v>
      </c>
      <c r="F496" s="1">
        <v>17</v>
      </c>
      <c r="G496" s="1">
        <v>8</v>
      </c>
      <c r="H496" s="1">
        <f t="shared" si="3"/>
        <v>25</v>
      </c>
      <c r="I496" s="5">
        <f t="shared" ca="1" si="4"/>
        <v>19.7</v>
      </c>
    </row>
    <row r="497" spans="1:9" x14ac:dyDescent="0.25">
      <c r="A497" s="2">
        <f t="shared" ca="1" si="2"/>
        <v>18</v>
      </c>
      <c r="B497" s="29" t="s">
        <v>514</v>
      </c>
      <c r="C497" s="18">
        <v>46180</v>
      </c>
      <c r="D497" s="1" t="s">
        <v>149</v>
      </c>
      <c r="E497" s="1" t="s">
        <v>22</v>
      </c>
      <c r="F497" s="1">
        <v>10</v>
      </c>
      <c r="G497" s="1">
        <v>10</v>
      </c>
      <c r="H497" s="1">
        <f t="shared" si="3"/>
        <v>20</v>
      </c>
      <c r="I497" s="5">
        <f t="shared" ca="1" si="4"/>
        <v>19.7</v>
      </c>
    </row>
    <row r="498" spans="1:9" x14ac:dyDescent="0.25">
      <c r="A498" s="2">
        <f t="shared" ca="1" si="2"/>
        <v>20</v>
      </c>
      <c r="B498" s="1" t="s">
        <v>429</v>
      </c>
      <c r="C498" s="18">
        <v>45781</v>
      </c>
      <c r="D498" s="1" t="s">
        <v>368</v>
      </c>
      <c r="E498" s="1" t="s">
        <v>22</v>
      </c>
      <c r="F498" s="1">
        <v>14</v>
      </c>
      <c r="G498" s="1">
        <v>7</v>
      </c>
      <c r="H498" s="1">
        <f t="shared" si="3"/>
        <v>21</v>
      </c>
      <c r="I498" s="5">
        <f t="shared" ca="1" si="4"/>
        <v>19.600000000000001</v>
      </c>
    </row>
    <row r="499" spans="1:9" x14ac:dyDescent="0.25">
      <c r="A499" s="2">
        <f t="shared" ca="1" si="2"/>
        <v>21</v>
      </c>
      <c r="B499" s="29" t="s">
        <v>271</v>
      </c>
      <c r="C499" s="18">
        <v>44990</v>
      </c>
      <c r="D499" s="1" t="s">
        <v>69</v>
      </c>
      <c r="E499" s="1" t="s">
        <v>22</v>
      </c>
      <c r="F499" s="1">
        <v>16</v>
      </c>
      <c r="G499" s="1">
        <v>7</v>
      </c>
      <c r="H499" s="1">
        <f t="shared" si="3"/>
        <v>23</v>
      </c>
      <c r="I499" s="5">
        <f t="shared" ca="1" si="4"/>
        <v>19.5</v>
      </c>
    </row>
    <row r="500" spans="1:9" x14ac:dyDescent="0.25">
      <c r="A500" s="2">
        <f t="shared" ca="1" si="2"/>
        <v>21</v>
      </c>
      <c r="B500" s="1" t="s">
        <v>413</v>
      </c>
      <c r="C500" s="18">
        <v>45718</v>
      </c>
      <c r="D500" s="1" t="s">
        <v>378</v>
      </c>
      <c r="E500" s="1" t="s">
        <v>22</v>
      </c>
      <c r="F500" s="1">
        <v>15</v>
      </c>
      <c r="G500" s="1">
        <v>6</v>
      </c>
      <c r="H500" s="1">
        <f t="shared" si="3"/>
        <v>21</v>
      </c>
      <c r="I500" s="5">
        <f t="shared" ca="1" si="4"/>
        <v>19.5</v>
      </c>
    </row>
    <row r="501" spans="1:9" x14ac:dyDescent="0.25">
      <c r="A501" s="2">
        <f t="shared" ca="1" si="2"/>
        <v>23</v>
      </c>
      <c r="B501" s="29" t="s">
        <v>260</v>
      </c>
      <c r="C501" s="18">
        <v>44927</v>
      </c>
      <c r="D501" s="1" t="s">
        <v>68</v>
      </c>
      <c r="E501" s="1" t="s">
        <v>22</v>
      </c>
      <c r="F501" s="1">
        <v>15</v>
      </c>
      <c r="G501" s="1">
        <v>8</v>
      </c>
      <c r="H501" s="1">
        <f t="shared" si="3"/>
        <v>23</v>
      </c>
      <c r="I501" s="5">
        <f t="shared" ca="1" si="4"/>
        <v>19.3</v>
      </c>
    </row>
    <row r="502" spans="1:9" x14ac:dyDescent="0.25">
      <c r="A502" s="2">
        <f t="shared" ca="1" si="2"/>
        <v>23</v>
      </c>
      <c r="B502" s="29" t="s">
        <v>259</v>
      </c>
      <c r="C502" s="18">
        <v>44927</v>
      </c>
      <c r="D502" s="1" t="s">
        <v>68</v>
      </c>
      <c r="E502" s="1" t="s">
        <v>22</v>
      </c>
      <c r="F502" s="1">
        <v>15</v>
      </c>
      <c r="G502" s="1">
        <v>8</v>
      </c>
      <c r="H502" s="1">
        <f t="shared" si="3"/>
        <v>23</v>
      </c>
      <c r="I502" s="5">
        <f t="shared" ca="1" si="4"/>
        <v>19.3</v>
      </c>
    </row>
    <row r="503" spans="1:9" x14ac:dyDescent="0.25">
      <c r="A503" s="2">
        <f t="shared" ca="1" si="2"/>
        <v>23</v>
      </c>
      <c r="B503" s="29" t="s">
        <v>258</v>
      </c>
      <c r="C503" s="18">
        <v>44927</v>
      </c>
      <c r="D503" s="1" t="s">
        <v>68</v>
      </c>
      <c r="E503" s="1" t="s">
        <v>22</v>
      </c>
      <c r="F503" s="1">
        <v>15</v>
      </c>
      <c r="G503" s="1">
        <v>8</v>
      </c>
      <c r="H503" s="1">
        <f t="shared" si="3"/>
        <v>23</v>
      </c>
      <c r="I503" s="5">
        <f t="shared" ca="1" si="4"/>
        <v>19.3</v>
      </c>
    </row>
    <row r="504" spans="1:9" x14ac:dyDescent="0.25">
      <c r="A504" s="2">
        <f t="shared" ca="1" si="2"/>
        <v>26</v>
      </c>
      <c r="B504" s="29" t="s">
        <v>384</v>
      </c>
      <c r="C504" s="18">
        <v>45606</v>
      </c>
      <c r="D504" s="1" t="s">
        <v>377</v>
      </c>
      <c r="E504" s="1" t="s">
        <v>22</v>
      </c>
      <c r="F504" s="1">
        <v>15</v>
      </c>
      <c r="G504" s="1">
        <v>6</v>
      </c>
      <c r="H504" s="1">
        <f t="shared" si="3"/>
        <v>21</v>
      </c>
      <c r="I504" s="5">
        <f t="shared" ca="1" si="4"/>
        <v>19.2</v>
      </c>
    </row>
    <row r="505" spans="1:9" x14ac:dyDescent="0.25">
      <c r="A505" s="2">
        <f t="shared" ca="1" si="2"/>
        <v>27</v>
      </c>
      <c r="B505" s="1" t="s">
        <v>173</v>
      </c>
      <c r="C505" s="18">
        <v>44507</v>
      </c>
      <c r="D505" s="1" t="s">
        <v>71</v>
      </c>
      <c r="E505" s="1" t="s">
        <v>22</v>
      </c>
      <c r="F505" s="1">
        <v>17</v>
      </c>
      <c r="G505" s="1">
        <v>7</v>
      </c>
      <c r="H505" s="1">
        <f t="shared" si="3"/>
        <v>24</v>
      </c>
      <c r="I505" s="5">
        <f t="shared" ca="1" si="4"/>
        <v>19.100000000000001</v>
      </c>
    </row>
    <row r="506" spans="1:9" x14ac:dyDescent="0.25">
      <c r="A506" s="2">
        <f t="shared" ca="1" si="2"/>
        <v>28</v>
      </c>
      <c r="B506" s="1" t="s">
        <v>298</v>
      </c>
      <c r="C506" s="18">
        <v>45172</v>
      </c>
      <c r="D506" s="1" t="s">
        <v>69</v>
      </c>
      <c r="E506" s="1" t="s">
        <v>22</v>
      </c>
      <c r="F506" s="1">
        <v>15</v>
      </c>
      <c r="G506" s="1">
        <v>7</v>
      </c>
      <c r="H506" s="1">
        <f t="shared" si="3"/>
        <v>22</v>
      </c>
      <c r="I506" s="5">
        <f t="shared" ca="1" si="4"/>
        <v>19</v>
      </c>
    </row>
    <row r="507" spans="1:9" x14ac:dyDescent="0.25">
      <c r="A507" s="2">
        <f t="shared" ca="1" si="2"/>
        <v>29</v>
      </c>
      <c r="B507" s="29" t="s">
        <v>356</v>
      </c>
      <c r="C507" s="18">
        <v>45165</v>
      </c>
      <c r="D507" s="1" t="s">
        <v>67</v>
      </c>
      <c r="E507" s="1" t="s">
        <v>22</v>
      </c>
      <c r="F507" s="1">
        <v>16</v>
      </c>
      <c r="G507" s="1">
        <v>6</v>
      </c>
      <c r="H507" s="1">
        <f t="shared" si="3"/>
        <v>22</v>
      </c>
      <c r="I507" s="5">
        <f t="shared" ca="1" si="4"/>
        <v>18.899999999999999</v>
      </c>
    </row>
    <row r="508" spans="1:9" x14ac:dyDescent="0.25">
      <c r="A508" s="2">
        <f t="shared" ca="1" si="2"/>
        <v>29</v>
      </c>
      <c r="B508" s="1" t="s">
        <v>363</v>
      </c>
      <c r="C508" s="18">
        <v>45515</v>
      </c>
      <c r="D508" s="1" t="s">
        <v>68</v>
      </c>
      <c r="E508" s="1" t="s">
        <v>22</v>
      </c>
      <c r="F508" s="1">
        <v>13</v>
      </c>
      <c r="G508" s="1">
        <v>8</v>
      </c>
      <c r="H508" s="1">
        <f t="shared" si="3"/>
        <v>21</v>
      </c>
      <c r="I508" s="5">
        <f t="shared" ca="1" si="4"/>
        <v>18.899999999999999</v>
      </c>
    </row>
    <row r="509" spans="1:9" x14ac:dyDescent="0.25">
      <c r="A509" s="2">
        <f t="shared" ca="1" si="2"/>
        <v>29</v>
      </c>
      <c r="B509" s="29" t="s">
        <v>21</v>
      </c>
      <c r="C509" s="18">
        <v>44409</v>
      </c>
      <c r="D509" s="1" t="s">
        <v>71</v>
      </c>
      <c r="E509" s="1" t="s">
        <v>22</v>
      </c>
      <c r="F509" s="1">
        <v>16</v>
      </c>
      <c r="G509" s="1">
        <v>8</v>
      </c>
      <c r="H509" s="1">
        <f t="shared" si="3"/>
        <v>24</v>
      </c>
      <c r="I509" s="5">
        <f t="shared" ca="1" si="4"/>
        <v>18.899999999999999</v>
      </c>
    </row>
    <row r="510" spans="1:9" x14ac:dyDescent="0.25">
      <c r="A510" s="2">
        <f t="shared" ca="1" si="2"/>
        <v>32</v>
      </c>
      <c r="B510" s="29" t="s">
        <v>446</v>
      </c>
      <c r="C510" s="18">
        <v>45851</v>
      </c>
      <c r="D510" s="1" t="s">
        <v>377</v>
      </c>
      <c r="E510" s="1" t="s">
        <v>22</v>
      </c>
      <c r="F510" s="1">
        <v>14</v>
      </c>
      <c r="G510" s="1">
        <v>6</v>
      </c>
      <c r="H510" s="1">
        <f t="shared" si="3"/>
        <v>20</v>
      </c>
      <c r="I510" s="5">
        <f t="shared" ca="1" si="4"/>
        <v>18.8</v>
      </c>
    </row>
    <row r="511" spans="1:9" x14ac:dyDescent="0.25">
      <c r="A511" s="2">
        <f t="shared" ca="1" si="2"/>
        <v>33</v>
      </c>
      <c r="B511" s="1" t="s">
        <v>285</v>
      </c>
      <c r="C511" s="18">
        <v>45081</v>
      </c>
      <c r="D511" s="1" t="s">
        <v>74</v>
      </c>
      <c r="E511" s="1" t="s">
        <v>22</v>
      </c>
      <c r="F511" s="1">
        <v>15</v>
      </c>
      <c r="G511" s="1">
        <v>7</v>
      </c>
      <c r="H511" s="1">
        <f t="shared" si="3"/>
        <v>22</v>
      </c>
      <c r="I511" s="5">
        <f t="shared" ca="1" si="4"/>
        <v>18.7</v>
      </c>
    </row>
    <row r="512" spans="1:9" x14ac:dyDescent="0.25">
      <c r="A512" s="2">
        <f t="shared" ca="1" si="2"/>
        <v>34</v>
      </c>
      <c r="B512" s="1" t="s">
        <v>277</v>
      </c>
      <c r="C512" s="18">
        <v>45039</v>
      </c>
      <c r="D512" s="1" t="s">
        <v>73</v>
      </c>
      <c r="E512" s="1" t="s">
        <v>22</v>
      </c>
      <c r="F512" s="1">
        <v>15</v>
      </c>
      <c r="G512" s="1">
        <v>7</v>
      </c>
      <c r="H512" s="1">
        <f t="shared" si="3"/>
        <v>22</v>
      </c>
      <c r="I512" s="5">
        <f t="shared" ca="1" si="4"/>
        <v>18.600000000000001</v>
      </c>
    </row>
    <row r="513" spans="1:9" x14ac:dyDescent="0.25">
      <c r="A513" s="2">
        <f t="shared" ca="1" si="2"/>
        <v>34</v>
      </c>
      <c r="B513" s="29" t="s">
        <v>507</v>
      </c>
      <c r="C513" s="18">
        <v>46131</v>
      </c>
      <c r="D513" s="1" t="s">
        <v>266</v>
      </c>
      <c r="E513" s="1" t="s">
        <v>22</v>
      </c>
      <c r="F513" s="1">
        <v>14</v>
      </c>
      <c r="G513" s="1">
        <v>5</v>
      </c>
      <c r="H513" s="1">
        <f t="shared" si="3"/>
        <v>19</v>
      </c>
      <c r="I513" s="5">
        <f t="shared" ca="1" si="4"/>
        <v>18.600000000000001</v>
      </c>
    </row>
    <row r="514" spans="1:9" x14ac:dyDescent="0.25">
      <c r="A514" s="2">
        <f t="shared" ca="1" si="2"/>
        <v>36</v>
      </c>
      <c r="B514" s="1" t="s">
        <v>204</v>
      </c>
      <c r="C514" s="18">
        <v>44647</v>
      </c>
      <c r="D514" s="1" t="s">
        <v>69</v>
      </c>
      <c r="E514" s="1" t="s">
        <v>22</v>
      </c>
      <c r="F514" s="1">
        <v>15</v>
      </c>
      <c r="G514" s="1">
        <v>8</v>
      </c>
      <c r="H514" s="1">
        <f t="shared" si="3"/>
        <v>23</v>
      </c>
      <c r="I514" s="5">
        <f t="shared" ca="1" si="4"/>
        <v>18.5</v>
      </c>
    </row>
    <row r="515" spans="1:9" x14ac:dyDescent="0.25">
      <c r="A515" s="2">
        <f t="shared" ca="1" si="2"/>
        <v>36</v>
      </c>
      <c r="B515" s="29" t="s">
        <v>272</v>
      </c>
      <c r="C515" s="18">
        <v>45004</v>
      </c>
      <c r="D515" s="1" t="s">
        <v>236</v>
      </c>
      <c r="E515" s="1" t="s">
        <v>22</v>
      </c>
      <c r="F515" s="1">
        <v>14</v>
      </c>
      <c r="G515" s="1">
        <v>8</v>
      </c>
      <c r="H515" s="1">
        <f t="shared" si="3"/>
        <v>22</v>
      </c>
      <c r="I515" s="5">
        <f t="shared" ca="1" si="4"/>
        <v>18.5</v>
      </c>
    </row>
    <row r="516" spans="1:9" x14ac:dyDescent="0.25">
      <c r="A516" s="2">
        <f t="shared" ca="1" si="2"/>
        <v>38</v>
      </c>
      <c r="B516" s="29" t="s">
        <v>493</v>
      </c>
      <c r="C516" s="18">
        <v>46068</v>
      </c>
      <c r="D516" s="1" t="s">
        <v>377</v>
      </c>
      <c r="E516" s="1" t="s">
        <v>22</v>
      </c>
      <c r="F516" s="1">
        <v>13</v>
      </c>
      <c r="G516" s="1">
        <v>6</v>
      </c>
      <c r="H516" s="1">
        <f t="shared" si="3"/>
        <v>19</v>
      </c>
      <c r="I516" s="5">
        <f t="shared" ca="1" si="4"/>
        <v>18.399999999999999</v>
      </c>
    </row>
    <row r="517" spans="1:9" x14ac:dyDescent="0.25">
      <c r="A517" s="2">
        <f t="shared" ca="1" si="2"/>
        <v>39</v>
      </c>
      <c r="B517" s="29" t="s">
        <v>185</v>
      </c>
      <c r="C517" s="18">
        <v>44570</v>
      </c>
      <c r="D517" s="1" t="s">
        <v>184</v>
      </c>
      <c r="E517" s="1" t="s">
        <v>22</v>
      </c>
      <c r="F517" s="1">
        <v>17</v>
      </c>
      <c r="G517" s="1">
        <v>6</v>
      </c>
      <c r="H517" s="1">
        <f t="shared" si="3"/>
        <v>23</v>
      </c>
      <c r="I517" s="5">
        <f t="shared" ca="1" si="4"/>
        <v>18.3</v>
      </c>
    </row>
    <row r="518" spans="1:9" x14ac:dyDescent="0.25">
      <c r="A518" s="2">
        <f t="shared" ca="1" si="2"/>
        <v>39</v>
      </c>
      <c r="B518" s="1" t="s">
        <v>321</v>
      </c>
      <c r="C518" s="18">
        <v>45291</v>
      </c>
      <c r="D518" s="1" t="s">
        <v>307</v>
      </c>
      <c r="E518" s="1" t="s">
        <v>22</v>
      </c>
      <c r="F518" s="1">
        <v>15</v>
      </c>
      <c r="G518" s="1">
        <v>6</v>
      </c>
      <c r="H518" s="1">
        <f t="shared" si="3"/>
        <v>21</v>
      </c>
      <c r="I518" s="5">
        <f t="shared" ca="1" si="4"/>
        <v>18.3</v>
      </c>
    </row>
    <row r="519" spans="1:9" x14ac:dyDescent="0.25">
      <c r="A519" s="2">
        <f t="shared" ca="1" si="2"/>
        <v>41</v>
      </c>
      <c r="B519" s="29" t="s">
        <v>85</v>
      </c>
      <c r="C519" s="18">
        <v>44171</v>
      </c>
      <c r="D519" s="1" t="s">
        <v>69</v>
      </c>
      <c r="E519" s="1" t="s">
        <v>22</v>
      </c>
      <c r="F519" s="1">
        <v>16</v>
      </c>
      <c r="G519" s="1">
        <v>8</v>
      </c>
      <c r="H519" s="1">
        <f t="shared" si="3"/>
        <v>24</v>
      </c>
      <c r="I519" s="5">
        <f t="shared" ca="1" si="4"/>
        <v>18.2</v>
      </c>
    </row>
    <row r="520" spans="1:9" x14ac:dyDescent="0.25">
      <c r="A520" s="2">
        <f t="shared" ca="1" si="2"/>
        <v>41</v>
      </c>
      <c r="B520" s="1" t="s">
        <v>253</v>
      </c>
      <c r="C520" s="18">
        <v>44885</v>
      </c>
      <c r="D520" s="1" t="s">
        <v>74</v>
      </c>
      <c r="E520" s="1" t="s">
        <v>22</v>
      </c>
      <c r="F520" s="1">
        <v>16</v>
      </c>
      <c r="G520" s="1">
        <v>6</v>
      </c>
      <c r="H520" s="1">
        <f t="shared" si="3"/>
        <v>22</v>
      </c>
      <c r="I520" s="5">
        <f t="shared" ca="1" si="4"/>
        <v>18.2</v>
      </c>
    </row>
    <row r="521" spans="1:9" x14ac:dyDescent="0.25">
      <c r="A521" s="2">
        <f t="shared" ca="1" si="2"/>
        <v>43</v>
      </c>
      <c r="B521" s="1" t="s">
        <v>175</v>
      </c>
      <c r="C521" s="18">
        <v>44507</v>
      </c>
      <c r="D521" s="1" t="s">
        <v>71</v>
      </c>
      <c r="E521" s="1" t="s">
        <v>22</v>
      </c>
      <c r="F521" s="1">
        <v>15</v>
      </c>
      <c r="G521" s="1">
        <v>8</v>
      </c>
      <c r="H521" s="1">
        <f t="shared" si="3"/>
        <v>23</v>
      </c>
      <c r="I521" s="5">
        <f t="shared" ca="1" si="4"/>
        <v>18.100000000000001</v>
      </c>
    </row>
    <row r="522" spans="1:9" x14ac:dyDescent="0.25">
      <c r="A522" s="2">
        <f t="shared" ca="1" si="2"/>
        <v>43</v>
      </c>
      <c r="B522" s="1" t="s">
        <v>465</v>
      </c>
      <c r="C522" s="18">
        <v>45963</v>
      </c>
      <c r="D522" s="1" t="s">
        <v>74</v>
      </c>
      <c r="E522" s="1" t="s">
        <v>22</v>
      </c>
      <c r="F522" s="1">
        <v>13</v>
      </c>
      <c r="G522" s="1">
        <v>6</v>
      </c>
      <c r="H522" s="1">
        <f t="shared" si="3"/>
        <v>19</v>
      </c>
      <c r="I522" s="5">
        <f t="shared" ca="1" si="4"/>
        <v>18.100000000000001</v>
      </c>
    </row>
    <row r="523" spans="1:9" x14ac:dyDescent="0.25">
      <c r="A523" s="2">
        <f t="shared" ca="1" si="2"/>
        <v>45</v>
      </c>
      <c r="B523" s="1" t="s">
        <v>533</v>
      </c>
      <c r="C523" s="18">
        <v>46285</v>
      </c>
      <c r="D523" s="1" t="s">
        <v>483</v>
      </c>
      <c r="E523" s="1" t="s">
        <v>22</v>
      </c>
      <c r="F523" s="1">
        <v>12</v>
      </c>
      <c r="G523" s="1">
        <v>6</v>
      </c>
      <c r="H523" s="1">
        <f t="shared" si="3"/>
        <v>18</v>
      </c>
      <c r="I523" s="5">
        <f t="shared" ca="1" si="4"/>
        <v>18</v>
      </c>
    </row>
    <row r="524" spans="1:9" x14ac:dyDescent="0.25">
      <c r="A524" s="2">
        <f t="shared" ca="1" si="2"/>
        <v>46</v>
      </c>
      <c r="B524" s="1" t="s">
        <v>144</v>
      </c>
      <c r="C524" s="18">
        <v>44423</v>
      </c>
      <c r="D524" s="1" t="s">
        <v>69</v>
      </c>
      <c r="E524" s="1" t="s">
        <v>22</v>
      </c>
      <c r="F524" s="1">
        <v>16</v>
      </c>
      <c r="G524" s="1">
        <v>7</v>
      </c>
      <c r="H524" s="1">
        <f t="shared" si="3"/>
        <v>23</v>
      </c>
      <c r="I524" s="5">
        <f t="shared" ca="1" si="4"/>
        <v>17.899999999999999</v>
      </c>
    </row>
    <row r="525" spans="1:9" x14ac:dyDescent="0.25">
      <c r="A525" s="2">
        <f t="shared" ca="1" si="2"/>
        <v>46</v>
      </c>
      <c r="B525" s="1" t="s">
        <v>230</v>
      </c>
      <c r="C525" s="18">
        <v>44787</v>
      </c>
      <c r="D525" s="1" t="s">
        <v>69</v>
      </c>
      <c r="E525" s="1" t="s">
        <v>22</v>
      </c>
      <c r="F525" s="1">
        <v>14</v>
      </c>
      <c r="G525" s="1">
        <v>8</v>
      </c>
      <c r="H525" s="1">
        <f t="shared" si="3"/>
        <v>22</v>
      </c>
      <c r="I525" s="5">
        <f t="shared" ca="1" si="4"/>
        <v>17.899999999999999</v>
      </c>
    </row>
    <row r="526" spans="1:9" x14ac:dyDescent="0.25">
      <c r="A526" s="2">
        <f t="shared" ca="1" si="2"/>
        <v>48</v>
      </c>
      <c r="B526" s="1" t="s">
        <v>520</v>
      </c>
      <c r="C526" s="18">
        <v>46215</v>
      </c>
      <c r="D526" s="1" t="s">
        <v>483</v>
      </c>
      <c r="E526" s="1" t="s">
        <v>22</v>
      </c>
      <c r="F526" s="1">
        <v>13</v>
      </c>
      <c r="G526" s="1">
        <v>5</v>
      </c>
      <c r="H526" s="1">
        <f t="shared" si="3"/>
        <v>18</v>
      </c>
      <c r="I526" s="5">
        <f t="shared" ca="1" si="4"/>
        <v>17.8</v>
      </c>
    </row>
    <row r="527" spans="1:9" x14ac:dyDescent="0.25">
      <c r="A527" s="2">
        <f t="shared" ca="1" si="2"/>
        <v>48</v>
      </c>
      <c r="B527" s="29" t="s">
        <v>292</v>
      </c>
      <c r="C527" s="18">
        <v>45109</v>
      </c>
      <c r="D527" s="1" t="s">
        <v>154</v>
      </c>
      <c r="E527" s="1" t="s">
        <v>22</v>
      </c>
      <c r="F527" s="1">
        <v>13</v>
      </c>
      <c r="G527" s="1">
        <v>8</v>
      </c>
      <c r="H527" s="1">
        <f t="shared" si="3"/>
        <v>21</v>
      </c>
      <c r="I527" s="5">
        <f t="shared" ca="1" si="4"/>
        <v>17.8</v>
      </c>
    </row>
    <row r="528" spans="1:9" x14ac:dyDescent="0.25">
      <c r="A528" s="2">
        <f t="shared" ca="1" si="2"/>
        <v>48</v>
      </c>
      <c r="B528" s="1" t="s">
        <v>518</v>
      </c>
      <c r="C528" s="18">
        <v>46201</v>
      </c>
      <c r="D528" s="1" t="s">
        <v>378</v>
      </c>
      <c r="E528" s="1" t="s">
        <v>22</v>
      </c>
      <c r="F528" s="1">
        <v>12</v>
      </c>
      <c r="G528" s="1">
        <v>6</v>
      </c>
      <c r="H528" s="1">
        <f t="shared" si="3"/>
        <v>18</v>
      </c>
      <c r="I528" s="5">
        <f t="shared" ca="1" si="4"/>
        <v>17.8</v>
      </c>
    </row>
    <row r="529" spans="1:9" x14ac:dyDescent="0.25">
      <c r="A529" s="2">
        <f t="shared" ca="1" si="2"/>
        <v>51</v>
      </c>
      <c r="B529" s="1" t="s">
        <v>437</v>
      </c>
      <c r="C529" s="18">
        <v>45816</v>
      </c>
      <c r="D529" s="1" t="s">
        <v>378</v>
      </c>
      <c r="E529" s="1" t="s">
        <v>22</v>
      </c>
      <c r="F529" s="1">
        <v>14</v>
      </c>
      <c r="G529" s="1">
        <v>5</v>
      </c>
      <c r="H529" s="1">
        <f t="shared" si="3"/>
        <v>19</v>
      </c>
      <c r="I529" s="5">
        <f t="shared" ca="1" si="4"/>
        <v>17.7</v>
      </c>
    </row>
    <row r="530" spans="1:9" x14ac:dyDescent="0.25">
      <c r="A530" s="2">
        <f t="shared" ca="1" si="2"/>
        <v>51</v>
      </c>
      <c r="B530" s="1" t="s">
        <v>125</v>
      </c>
      <c r="C530" s="18">
        <v>44344</v>
      </c>
      <c r="D530" s="1" t="s">
        <v>71</v>
      </c>
      <c r="E530" s="1" t="s">
        <v>22</v>
      </c>
      <c r="F530" s="1">
        <v>15</v>
      </c>
      <c r="G530" s="1">
        <v>8</v>
      </c>
      <c r="H530" s="1">
        <f t="shared" si="3"/>
        <v>23</v>
      </c>
      <c r="I530" s="5">
        <f t="shared" ca="1" si="4"/>
        <v>17.7</v>
      </c>
    </row>
    <row r="531" spans="1:9" x14ac:dyDescent="0.25">
      <c r="A531" s="2">
        <f t="shared" ca="1" si="2"/>
        <v>51</v>
      </c>
      <c r="B531" s="1" t="s">
        <v>126</v>
      </c>
      <c r="C531" s="18">
        <v>44344</v>
      </c>
      <c r="D531" s="1" t="s">
        <v>71</v>
      </c>
      <c r="E531" s="1" t="s">
        <v>22</v>
      </c>
      <c r="F531" s="1">
        <v>15</v>
      </c>
      <c r="G531" s="1">
        <v>8</v>
      </c>
      <c r="H531" s="1">
        <f t="shared" si="3"/>
        <v>23</v>
      </c>
      <c r="I531" s="5">
        <f t="shared" ca="1" si="4"/>
        <v>17.7</v>
      </c>
    </row>
    <row r="532" spans="1:9" x14ac:dyDescent="0.25">
      <c r="A532" s="2">
        <f t="shared" ca="1" si="2"/>
        <v>51</v>
      </c>
      <c r="B532" s="29" t="s">
        <v>210</v>
      </c>
      <c r="C532" s="18">
        <v>44696</v>
      </c>
      <c r="D532" s="1" t="s">
        <v>73</v>
      </c>
      <c r="E532" s="1" t="s">
        <v>22</v>
      </c>
      <c r="F532" s="1">
        <v>14</v>
      </c>
      <c r="G532" s="1">
        <v>8</v>
      </c>
      <c r="H532" s="1">
        <f t="shared" si="3"/>
        <v>22</v>
      </c>
      <c r="I532" s="5">
        <f t="shared" ca="1" si="4"/>
        <v>17.7</v>
      </c>
    </row>
    <row r="533" spans="1:9" x14ac:dyDescent="0.25">
      <c r="A533" s="2">
        <f t="shared" ca="1" si="2"/>
        <v>51</v>
      </c>
      <c r="B533" s="29" t="s">
        <v>346</v>
      </c>
      <c r="C533" s="18">
        <v>45424</v>
      </c>
      <c r="D533" s="1" t="s">
        <v>378</v>
      </c>
      <c r="E533" s="1" t="s">
        <v>22</v>
      </c>
      <c r="F533" s="1">
        <v>15</v>
      </c>
      <c r="G533" s="1">
        <v>5</v>
      </c>
      <c r="H533" s="1">
        <f t="shared" si="3"/>
        <v>20</v>
      </c>
      <c r="I533" s="5">
        <f t="shared" ca="1" si="4"/>
        <v>17.7</v>
      </c>
    </row>
    <row r="534" spans="1:9" x14ac:dyDescent="0.25">
      <c r="A534" s="2">
        <f t="shared" ca="1" si="2"/>
        <v>56</v>
      </c>
      <c r="B534" s="1" t="s">
        <v>430</v>
      </c>
      <c r="C534" s="18">
        <v>45781</v>
      </c>
      <c r="D534" s="1" t="s">
        <v>378</v>
      </c>
      <c r="E534" s="1" t="s">
        <v>22</v>
      </c>
      <c r="F534" s="1">
        <v>14</v>
      </c>
      <c r="G534" s="1">
        <v>5</v>
      </c>
      <c r="H534" s="1">
        <f t="shared" si="3"/>
        <v>19</v>
      </c>
      <c r="I534" s="5">
        <f t="shared" ca="1" si="4"/>
        <v>17.600000000000001</v>
      </c>
    </row>
    <row r="535" spans="1:9" x14ac:dyDescent="0.25">
      <c r="A535" s="2">
        <f t="shared" ca="1" si="2"/>
        <v>56</v>
      </c>
      <c r="B535" s="1" t="s">
        <v>119</v>
      </c>
      <c r="C535" s="18">
        <v>44311</v>
      </c>
      <c r="D535" s="1" t="s">
        <v>72</v>
      </c>
      <c r="E535" s="1" t="s">
        <v>22</v>
      </c>
      <c r="F535" s="1">
        <v>16</v>
      </c>
      <c r="G535" s="1">
        <v>7</v>
      </c>
      <c r="H535" s="1">
        <f t="shared" si="3"/>
        <v>23</v>
      </c>
      <c r="I535" s="5">
        <f t="shared" ca="1" si="4"/>
        <v>17.600000000000001</v>
      </c>
    </row>
    <row r="536" spans="1:9" x14ac:dyDescent="0.25">
      <c r="A536" s="2">
        <f t="shared" ca="1" si="2"/>
        <v>56</v>
      </c>
      <c r="B536" s="1" t="s">
        <v>508</v>
      </c>
      <c r="C536" s="18">
        <v>46138</v>
      </c>
      <c r="D536" s="1" t="s">
        <v>483</v>
      </c>
      <c r="E536" s="1" t="s">
        <v>22</v>
      </c>
      <c r="F536" s="1">
        <v>13</v>
      </c>
      <c r="G536" s="1">
        <v>5</v>
      </c>
      <c r="H536" s="1">
        <f t="shared" si="3"/>
        <v>18</v>
      </c>
      <c r="I536" s="5">
        <f t="shared" ca="1" si="4"/>
        <v>17.600000000000001</v>
      </c>
    </row>
    <row r="537" spans="1:9" x14ac:dyDescent="0.25">
      <c r="A537" s="2">
        <f t="shared" ca="1" si="2"/>
        <v>56</v>
      </c>
      <c r="B537" s="1" t="s">
        <v>339</v>
      </c>
      <c r="C537" s="18">
        <v>45389</v>
      </c>
      <c r="D537" s="1" t="s">
        <v>266</v>
      </c>
      <c r="E537" s="1" t="s">
        <v>22</v>
      </c>
      <c r="F537" s="1">
        <v>15</v>
      </c>
      <c r="G537" s="1">
        <v>5</v>
      </c>
      <c r="H537" s="1">
        <f t="shared" si="3"/>
        <v>20</v>
      </c>
      <c r="I537" s="5">
        <f t="shared" ca="1" si="4"/>
        <v>17.600000000000001</v>
      </c>
    </row>
    <row r="538" spans="1:9" x14ac:dyDescent="0.25">
      <c r="A538" s="2">
        <f t="shared" ca="1" si="2"/>
        <v>60</v>
      </c>
      <c r="B538" s="29" t="s">
        <v>501</v>
      </c>
      <c r="C538" s="18">
        <v>46110</v>
      </c>
      <c r="D538" s="1" t="s">
        <v>73</v>
      </c>
      <c r="E538" s="1" t="s">
        <v>22</v>
      </c>
      <c r="F538" s="1">
        <v>13</v>
      </c>
      <c r="G538" s="1">
        <v>5</v>
      </c>
      <c r="H538" s="1">
        <f t="shared" si="3"/>
        <v>18</v>
      </c>
      <c r="I538" s="5">
        <f t="shared" ca="1" si="4"/>
        <v>17.5</v>
      </c>
    </row>
    <row r="539" spans="1:9" x14ac:dyDescent="0.25">
      <c r="A539" s="2">
        <f t="shared" ca="1" si="2"/>
        <v>60</v>
      </c>
      <c r="B539" s="1" t="s">
        <v>109</v>
      </c>
      <c r="C539" s="18">
        <v>44276</v>
      </c>
      <c r="D539" s="1" t="s">
        <v>74</v>
      </c>
      <c r="E539" s="1" t="s">
        <v>22</v>
      </c>
      <c r="F539" s="1">
        <v>16</v>
      </c>
      <c r="G539" s="1">
        <v>7</v>
      </c>
      <c r="H539" s="1">
        <f t="shared" si="3"/>
        <v>23</v>
      </c>
      <c r="I539" s="5">
        <f t="shared" ca="1" si="4"/>
        <v>17.5</v>
      </c>
    </row>
    <row r="540" spans="1:9" x14ac:dyDescent="0.25">
      <c r="A540" s="2">
        <f t="shared" ca="1" si="2"/>
        <v>62</v>
      </c>
      <c r="B540" s="1" t="s">
        <v>333</v>
      </c>
      <c r="C540" s="18">
        <v>45347</v>
      </c>
      <c r="D540" s="1" t="s">
        <v>71</v>
      </c>
      <c r="E540" s="1" t="s">
        <v>22</v>
      </c>
      <c r="F540" s="1">
        <v>14</v>
      </c>
      <c r="G540" s="1">
        <v>6</v>
      </c>
      <c r="H540" s="1">
        <f t="shared" si="3"/>
        <v>20</v>
      </c>
      <c r="I540" s="5">
        <f t="shared" ca="1" si="4"/>
        <v>17.399999999999999</v>
      </c>
    </row>
    <row r="541" spans="1:9" x14ac:dyDescent="0.25">
      <c r="A541" s="2">
        <f t="shared" ca="1" si="2"/>
        <v>62</v>
      </c>
      <c r="B541" s="1" t="s">
        <v>485</v>
      </c>
      <c r="C541" s="18">
        <v>46047</v>
      </c>
      <c r="D541" s="1" t="s">
        <v>68</v>
      </c>
      <c r="E541" s="1" t="s">
        <v>22</v>
      </c>
      <c r="F541" s="1">
        <v>11</v>
      </c>
      <c r="G541" s="1">
        <v>7</v>
      </c>
      <c r="H541" s="1">
        <f t="shared" si="3"/>
        <v>18</v>
      </c>
      <c r="I541" s="5">
        <f t="shared" ca="1" si="4"/>
        <v>17.399999999999999</v>
      </c>
    </row>
    <row r="542" spans="1:9" ht="14.25" customHeight="1" x14ac:dyDescent="0.25">
      <c r="A542" s="2">
        <f t="shared" ca="1" si="2"/>
        <v>62</v>
      </c>
      <c r="B542" s="29" t="s">
        <v>188</v>
      </c>
      <c r="C542" s="18">
        <v>44584</v>
      </c>
      <c r="D542" s="1" t="s">
        <v>71</v>
      </c>
      <c r="E542" s="1" t="s">
        <v>22</v>
      </c>
      <c r="F542" s="1">
        <v>15</v>
      </c>
      <c r="G542" s="1">
        <v>7</v>
      </c>
      <c r="H542" s="1">
        <f t="shared" si="3"/>
        <v>22</v>
      </c>
      <c r="I542" s="5">
        <f t="shared" ca="1" si="4"/>
        <v>17.399999999999999</v>
      </c>
    </row>
    <row r="543" spans="1:9" x14ac:dyDescent="0.25">
      <c r="A543" s="2">
        <f t="shared" ref="A543:A606" ca="1" si="5">RANK(I543,$I$479:$I$718,0)</f>
        <v>65</v>
      </c>
      <c r="B543" s="29" t="s">
        <v>398</v>
      </c>
      <c r="C543" s="18">
        <v>45655</v>
      </c>
      <c r="D543" s="1" t="s">
        <v>149</v>
      </c>
      <c r="E543" s="1" t="s">
        <v>22</v>
      </c>
      <c r="F543" s="1">
        <v>15</v>
      </c>
      <c r="G543" s="1">
        <v>4</v>
      </c>
      <c r="H543" s="1">
        <f t="shared" ref="H543:H606" si="6">SUM(F543:G543)</f>
        <v>19</v>
      </c>
      <c r="I543" s="5">
        <f t="shared" ref="I543:I606" ca="1" si="7">H543-(ROUNDDOWN((($G$1-C543)/365),1))</f>
        <v>17.3</v>
      </c>
    </row>
    <row r="544" spans="1:9" x14ac:dyDescent="0.25">
      <c r="A544" s="2">
        <f t="shared" ca="1" si="5"/>
        <v>66</v>
      </c>
      <c r="B544" s="1" t="s">
        <v>319</v>
      </c>
      <c r="C544" s="18">
        <v>45277</v>
      </c>
      <c r="D544" s="1" t="s">
        <v>266</v>
      </c>
      <c r="E544" s="1" t="s">
        <v>22</v>
      </c>
      <c r="F544" s="1">
        <v>14</v>
      </c>
      <c r="G544" s="1">
        <v>6</v>
      </c>
      <c r="H544" s="1">
        <f t="shared" si="6"/>
        <v>20</v>
      </c>
      <c r="I544" s="5">
        <f t="shared" ca="1" si="7"/>
        <v>17.2</v>
      </c>
    </row>
    <row r="545" spans="1:9" x14ac:dyDescent="0.25">
      <c r="A545" s="2">
        <f t="shared" ca="1" si="5"/>
        <v>66</v>
      </c>
      <c r="B545" s="1" t="s">
        <v>474</v>
      </c>
      <c r="C545" s="18">
        <v>45991</v>
      </c>
      <c r="D545" s="1" t="s">
        <v>478</v>
      </c>
      <c r="E545" s="1" t="s">
        <v>22</v>
      </c>
      <c r="F545" s="1">
        <v>13</v>
      </c>
      <c r="G545" s="1">
        <v>5</v>
      </c>
      <c r="H545" s="1">
        <f t="shared" si="6"/>
        <v>18</v>
      </c>
      <c r="I545" s="5">
        <f t="shared" ca="1" si="7"/>
        <v>17.2</v>
      </c>
    </row>
    <row r="546" spans="1:9" x14ac:dyDescent="0.25">
      <c r="A546" s="2">
        <f t="shared" ca="1" si="5"/>
        <v>68</v>
      </c>
      <c r="B546" s="29" t="s">
        <v>56</v>
      </c>
      <c r="C546" s="18">
        <v>44142</v>
      </c>
      <c r="D546" s="1" t="s">
        <v>67</v>
      </c>
      <c r="E546" s="1" t="s">
        <v>22</v>
      </c>
      <c r="F546" s="1">
        <v>14</v>
      </c>
      <c r="G546" s="1">
        <v>9</v>
      </c>
      <c r="H546" s="1">
        <f t="shared" si="6"/>
        <v>23</v>
      </c>
      <c r="I546" s="5">
        <f t="shared" ca="1" si="7"/>
        <v>17.100000000000001</v>
      </c>
    </row>
    <row r="547" spans="1:9" x14ac:dyDescent="0.25">
      <c r="A547" s="2">
        <f t="shared" ca="1" si="5"/>
        <v>68</v>
      </c>
      <c r="B547" s="1" t="s">
        <v>248</v>
      </c>
      <c r="C547" s="18">
        <v>44857</v>
      </c>
      <c r="D547" s="1" t="s">
        <v>71</v>
      </c>
      <c r="E547" s="1" t="s">
        <v>22</v>
      </c>
      <c r="F547" s="1">
        <v>14</v>
      </c>
      <c r="G547" s="1">
        <v>7</v>
      </c>
      <c r="H547" s="1">
        <f t="shared" si="6"/>
        <v>21</v>
      </c>
      <c r="I547" s="5">
        <f t="shared" ca="1" si="7"/>
        <v>17.100000000000001</v>
      </c>
    </row>
    <row r="548" spans="1:9" x14ac:dyDescent="0.25">
      <c r="A548" s="2">
        <f t="shared" ca="1" si="5"/>
        <v>68</v>
      </c>
      <c r="B548" s="29" t="s">
        <v>247</v>
      </c>
      <c r="C548" s="18">
        <v>44850</v>
      </c>
      <c r="D548" s="1" t="s">
        <v>68</v>
      </c>
      <c r="E548" s="1" t="s">
        <v>22</v>
      </c>
      <c r="F548" s="1">
        <v>13</v>
      </c>
      <c r="G548" s="1">
        <v>8</v>
      </c>
      <c r="H548" s="1">
        <f t="shared" si="6"/>
        <v>21</v>
      </c>
      <c r="I548" s="5">
        <f t="shared" ca="1" si="7"/>
        <v>17.100000000000001</v>
      </c>
    </row>
    <row r="549" spans="1:9" x14ac:dyDescent="0.25">
      <c r="A549" s="2">
        <f t="shared" ca="1" si="5"/>
        <v>68</v>
      </c>
      <c r="B549" s="1" t="s">
        <v>380</v>
      </c>
      <c r="C549" s="18">
        <v>45578</v>
      </c>
      <c r="D549" s="1" t="s">
        <v>377</v>
      </c>
      <c r="E549" s="1" t="s">
        <v>22</v>
      </c>
      <c r="F549" s="1">
        <v>14</v>
      </c>
      <c r="G549" s="1">
        <v>5</v>
      </c>
      <c r="H549" s="1">
        <f t="shared" si="6"/>
        <v>19</v>
      </c>
      <c r="I549" s="5">
        <f t="shared" ca="1" si="7"/>
        <v>17.100000000000001</v>
      </c>
    </row>
    <row r="550" spans="1:9" x14ac:dyDescent="0.25">
      <c r="A550" s="2">
        <f t="shared" ca="1" si="5"/>
        <v>72</v>
      </c>
      <c r="B550" s="1" t="s">
        <v>163</v>
      </c>
      <c r="C550" s="18">
        <v>44465</v>
      </c>
      <c r="D550" s="1" t="s">
        <v>154</v>
      </c>
      <c r="E550" s="1" t="s">
        <v>22</v>
      </c>
      <c r="F550" s="1">
        <v>15</v>
      </c>
      <c r="G550" s="1">
        <v>7</v>
      </c>
      <c r="H550" s="1">
        <f t="shared" si="6"/>
        <v>22</v>
      </c>
      <c r="I550" s="5">
        <f t="shared" ca="1" si="7"/>
        <v>17</v>
      </c>
    </row>
    <row r="551" spans="1:9" x14ac:dyDescent="0.25">
      <c r="A551" s="2">
        <f t="shared" ca="1" si="5"/>
        <v>72</v>
      </c>
      <c r="B551" s="29" t="s">
        <v>155</v>
      </c>
      <c r="C551" s="18">
        <v>44444</v>
      </c>
      <c r="D551" s="1" t="s">
        <v>73</v>
      </c>
      <c r="E551" s="1" t="s">
        <v>22</v>
      </c>
      <c r="F551" s="1">
        <v>14</v>
      </c>
      <c r="G551" s="1">
        <v>8</v>
      </c>
      <c r="H551" s="1">
        <f t="shared" si="6"/>
        <v>22</v>
      </c>
      <c r="I551" s="5">
        <f t="shared" ca="1" si="7"/>
        <v>17</v>
      </c>
    </row>
    <row r="552" spans="1:9" x14ac:dyDescent="0.25">
      <c r="A552" s="2">
        <f t="shared" ca="1" si="5"/>
        <v>72</v>
      </c>
      <c r="B552" s="29" t="s">
        <v>366</v>
      </c>
      <c r="C552" s="18">
        <v>45536</v>
      </c>
      <c r="D552" s="1" t="s">
        <v>379</v>
      </c>
      <c r="E552" s="1" t="s">
        <v>22</v>
      </c>
      <c r="F552" s="1">
        <v>14</v>
      </c>
      <c r="G552" s="1">
        <v>5</v>
      </c>
      <c r="H552" s="1">
        <f t="shared" si="6"/>
        <v>19</v>
      </c>
      <c r="I552" s="5">
        <f t="shared" ca="1" si="7"/>
        <v>17</v>
      </c>
    </row>
    <row r="553" spans="1:9" x14ac:dyDescent="0.25">
      <c r="A553" s="2">
        <f t="shared" ca="1" si="5"/>
        <v>72</v>
      </c>
      <c r="B553" s="1" t="s">
        <v>531</v>
      </c>
      <c r="C553" s="18">
        <v>46285</v>
      </c>
      <c r="D553" s="1" t="s">
        <v>71</v>
      </c>
      <c r="E553" s="1" t="s">
        <v>22</v>
      </c>
      <c r="F553" s="1">
        <v>11</v>
      </c>
      <c r="G553" s="1">
        <v>6</v>
      </c>
      <c r="H553" s="1">
        <f t="shared" si="6"/>
        <v>17</v>
      </c>
      <c r="I553" s="5">
        <f t="shared" ca="1" si="7"/>
        <v>17</v>
      </c>
    </row>
    <row r="554" spans="1:9" x14ac:dyDescent="0.25">
      <c r="A554" s="2">
        <f t="shared" ca="1" si="5"/>
        <v>76</v>
      </c>
      <c r="B554" s="1" t="s">
        <v>454</v>
      </c>
      <c r="C554" s="18">
        <v>45886</v>
      </c>
      <c r="D554" s="1" t="s">
        <v>377</v>
      </c>
      <c r="E554" s="1" t="s">
        <v>22</v>
      </c>
      <c r="F554" s="1">
        <v>13</v>
      </c>
      <c r="G554" s="1">
        <v>5</v>
      </c>
      <c r="H554" s="1">
        <f t="shared" si="6"/>
        <v>18</v>
      </c>
      <c r="I554" s="5">
        <f t="shared" ca="1" si="7"/>
        <v>16.899999999999999</v>
      </c>
    </row>
    <row r="555" spans="1:9" x14ac:dyDescent="0.25">
      <c r="A555" s="2">
        <f t="shared" ca="1" si="5"/>
        <v>76</v>
      </c>
      <c r="B555" s="1" t="s">
        <v>145</v>
      </c>
      <c r="C555" s="18">
        <v>44423</v>
      </c>
      <c r="D555" s="1" t="s">
        <v>71</v>
      </c>
      <c r="E555" s="1" t="s">
        <v>22</v>
      </c>
      <c r="F555" s="1">
        <v>15</v>
      </c>
      <c r="G555" s="1">
        <v>7</v>
      </c>
      <c r="H555" s="1">
        <f t="shared" si="6"/>
        <v>22</v>
      </c>
      <c r="I555" s="5">
        <f t="shared" ca="1" si="7"/>
        <v>16.899999999999999</v>
      </c>
    </row>
    <row r="556" spans="1:9" x14ac:dyDescent="0.25">
      <c r="A556" s="2">
        <f t="shared" ca="1" si="5"/>
        <v>76</v>
      </c>
      <c r="B556" s="1" t="s">
        <v>296</v>
      </c>
      <c r="C556" s="18">
        <v>45144</v>
      </c>
      <c r="D556" s="1" t="s">
        <v>154</v>
      </c>
      <c r="E556" s="1" t="s">
        <v>22</v>
      </c>
      <c r="F556" s="1">
        <v>12</v>
      </c>
      <c r="G556" s="1">
        <v>8</v>
      </c>
      <c r="H556" s="1">
        <f t="shared" si="6"/>
        <v>20</v>
      </c>
      <c r="I556" s="5">
        <f t="shared" ca="1" si="7"/>
        <v>16.899999999999999</v>
      </c>
    </row>
    <row r="557" spans="1:9" x14ac:dyDescent="0.25">
      <c r="A557" s="2">
        <f t="shared" ca="1" si="5"/>
        <v>79</v>
      </c>
      <c r="B557" s="1" t="s">
        <v>448</v>
      </c>
      <c r="C557" s="18">
        <v>45858</v>
      </c>
      <c r="D557" s="1" t="s">
        <v>368</v>
      </c>
      <c r="E557" s="1" t="s">
        <v>22</v>
      </c>
      <c r="F557" s="1">
        <v>13</v>
      </c>
      <c r="G557" s="1">
        <v>5</v>
      </c>
      <c r="H557" s="1">
        <f t="shared" si="6"/>
        <v>18</v>
      </c>
      <c r="I557" s="5">
        <f t="shared" ca="1" si="7"/>
        <v>16.8</v>
      </c>
    </row>
    <row r="558" spans="1:9" x14ac:dyDescent="0.25">
      <c r="A558" s="2">
        <f t="shared" ca="1" si="5"/>
        <v>79</v>
      </c>
      <c r="B558" s="1" t="s">
        <v>438</v>
      </c>
      <c r="C558" s="18">
        <v>45830</v>
      </c>
      <c r="D558" s="1" t="s">
        <v>69</v>
      </c>
      <c r="E558" s="1" t="s">
        <v>22</v>
      </c>
      <c r="F558" s="1">
        <v>12</v>
      </c>
      <c r="G558" s="1">
        <v>6</v>
      </c>
      <c r="H558" s="1">
        <f t="shared" si="6"/>
        <v>18</v>
      </c>
      <c r="I558" s="5">
        <f t="shared" ca="1" si="7"/>
        <v>16.8</v>
      </c>
    </row>
    <row r="559" spans="1:9" x14ac:dyDescent="0.25">
      <c r="A559" s="2">
        <f t="shared" ca="1" si="5"/>
        <v>81</v>
      </c>
      <c r="B559" s="1" t="s">
        <v>107</v>
      </c>
      <c r="C559" s="18">
        <v>44703</v>
      </c>
      <c r="D559" s="1" t="s">
        <v>69</v>
      </c>
      <c r="E559" s="1" t="s">
        <v>22</v>
      </c>
      <c r="F559" s="1">
        <v>15</v>
      </c>
      <c r="G559" s="1">
        <v>6</v>
      </c>
      <c r="H559" s="1">
        <f t="shared" si="6"/>
        <v>21</v>
      </c>
      <c r="I559" s="5">
        <f t="shared" ca="1" si="7"/>
        <v>16.7</v>
      </c>
    </row>
    <row r="560" spans="1:9" x14ac:dyDescent="0.25">
      <c r="A560" s="2">
        <f t="shared" ca="1" si="5"/>
        <v>82</v>
      </c>
      <c r="B560" s="1" t="s">
        <v>345</v>
      </c>
      <c r="C560" s="18">
        <v>45417</v>
      </c>
      <c r="D560" s="1" t="s">
        <v>309</v>
      </c>
      <c r="E560" s="1" t="s">
        <v>22</v>
      </c>
      <c r="F560" s="1">
        <v>11</v>
      </c>
      <c r="G560" s="1">
        <v>8</v>
      </c>
      <c r="H560" s="1">
        <f t="shared" si="6"/>
        <v>19</v>
      </c>
      <c r="I560" s="5">
        <f t="shared" ca="1" si="7"/>
        <v>16.600000000000001</v>
      </c>
    </row>
    <row r="561" spans="1:9" x14ac:dyDescent="0.25">
      <c r="A561" s="2">
        <f t="shared" ca="1" si="5"/>
        <v>82</v>
      </c>
      <c r="B561" s="1" t="s">
        <v>510</v>
      </c>
      <c r="C561" s="18">
        <v>46138</v>
      </c>
      <c r="D561" s="1" t="s">
        <v>377</v>
      </c>
      <c r="E561" s="1" t="s">
        <v>22</v>
      </c>
      <c r="F561" s="1">
        <v>10</v>
      </c>
      <c r="G561" s="1">
        <v>7</v>
      </c>
      <c r="H561" s="1">
        <f t="shared" si="6"/>
        <v>17</v>
      </c>
      <c r="I561" s="5">
        <f t="shared" ca="1" si="7"/>
        <v>16.600000000000001</v>
      </c>
    </row>
    <row r="562" spans="1:9" x14ac:dyDescent="0.25">
      <c r="A562" s="2">
        <f t="shared" ca="1" si="5"/>
        <v>84</v>
      </c>
      <c r="B562" s="29" t="s">
        <v>205</v>
      </c>
      <c r="C562" s="18">
        <v>44654</v>
      </c>
      <c r="D562" s="1" t="s">
        <v>71</v>
      </c>
      <c r="E562" s="1" t="s">
        <v>22</v>
      </c>
      <c r="F562" s="1">
        <v>14</v>
      </c>
      <c r="G562" s="1">
        <v>7</v>
      </c>
      <c r="H562" s="1">
        <f t="shared" si="6"/>
        <v>21</v>
      </c>
      <c r="I562" s="5">
        <f t="shared" ca="1" si="7"/>
        <v>16.5</v>
      </c>
    </row>
    <row r="563" spans="1:9" x14ac:dyDescent="0.25">
      <c r="A563" s="2">
        <f t="shared" ca="1" si="5"/>
        <v>84</v>
      </c>
      <c r="B563" s="29" t="s">
        <v>200</v>
      </c>
      <c r="C563" s="18">
        <v>44633</v>
      </c>
      <c r="D563" s="1" t="s">
        <v>68</v>
      </c>
      <c r="E563" s="1" t="s">
        <v>22</v>
      </c>
      <c r="F563" s="1">
        <v>12</v>
      </c>
      <c r="G563" s="1">
        <v>9</v>
      </c>
      <c r="H563" s="1">
        <f t="shared" si="6"/>
        <v>21</v>
      </c>
      <c r="I563" s="5">
        <f t="shared" ca="1" si="7"/>
        <v>16.5</v>
      </c>
    </row>
    <row r="564" spans="1:9" x14ac:dyDescent="0.25">
      <c r="A564" s="2">
        <f t="shared" ca="1" si="5"/>
        <v>86</v>
      </c>
      <c r="B564" s="29" t="s">
        <v>108</v>
      </c>
      <c r="C564" s="18">
        <v>43889</v>
      </c>
      <c r="D564" s="1" t="s">
        <v>69</v>
      </c>
      <c r="E564" s="1" t="s">
        <v>22</v>
      </c>
      <c r="F564" s="1">
        <v>15</v>
      </c>
      <c r="G564" s="1">
        <v>8</v>
      </c>
      <c r="H564" s="1">
        <f t="shared" si="6"/>
        <v>23</v>
      </c>
      <c r="I564" s="5">
        <f t="shared" ca="1" si="7"/>
        <v>16.399999999999999</v>
      </c>
    </row>
    <row r="565" spans="1:9" x14ac:dyDescent="0.25">
      <c r="A565" s="2">
        <f t="shared" ca="1" si="5"/>
        <v>86</v>
      </c>
      <c r="B565" s="1" t="s">
        <v>332</v>
      </c>
      <c r="C565" s="18">
        <v>45347</v>
      </c>
      <c r="D565" s="1" t="s">
        <v>67</v>
      </c>
      <c r="E565" s="1" t="s">
        <v>22</v>
      </c>
      <c r="F565" s="1">
        <v>12</v>
      </c>
      <c r="G565" s="1">
        <v>7</v>
      </c>
      <c r="H565" s="1">
        <f t="shared" si="6"/>
        <v>19</v>
      </c>
      <c r="I565" s="5">
        <f t="shared" ca="1" si="7"/>
        <v>16.399999999999999</v>
      </c>
    </row>
    <row r="566" spans="1:9" x14ac:dyDescent="0.25">
      <c r="A566" s="2">
        <f t="shared" ca="1" si="5"/>
        <v>86</v>
      </c>
      <c r="B566" s="29" t="s">
        <v>196</v>
      </c>
      <c r="C566" s="18">
        <v>44612</v>
      </c>
      <c r="D566" s="1" t="s">
        <v>69</v>
      </c>
      <c r="E566" s="1" t="s">
        <v>22</v>
      </c>
      <c r="F566" s="1">
        <v>14</v>
      </c>
      <c r="G566" s="1">
        <v>7</v>
      </c>
      <c r="H566" s="1">
        <f t="shared" si="6"/>
        <v>21</v>
      </c>
      <c r="I566" s="5">
        <f t="shared" ca="1" si="7"/>
        <v>16.399999999999999</v>
      </c>
    </row>
    <row r="567" spans="1:9" x14ac:dyDescent="0.25">
      <c r="A567" s="2">
        <f t="shared" ca="1" si="5"/>
        <v>86</v>
      </c>
      <c r="B567" s="29" t="s">
        <v>411</v>
      </c>
      <c r="C567" s="18">
        <v>45697</v>
      </c>
      <c r="D567" s="1" t="s">
        <v>266</v>
      </c>
      <c r="E567" s="1" t="s">
        <v>22</v>
      </c>
      <c r="F567" s="1">
        <v>13</v>
      </c>
      <c r="G567" s="1">
        <v>5</v>
      </c>
      <c r="H567" s="1">
        <f t="shared" si="6"/>
        <v>18</v>
      </c>
      <c r="I567" s="5">
        <f t="shared" ca="1" si="7"/>
        <v>16.399999999999999</v>
      </c>
    </row>
    <row r="568" spans="1:9" x14ac:dyDescent="0.25">
      <c r="A568" s="2">
        <f t="shared" ca="1" si="5"/>
        <v>86</v>
      </c>
      <c r="B568" s="1" t="s">
        <v>410</v>
      </c>
      <c r="C568" s="18">
        <v>45690</v>
      </c>
      <c r="D568" s="1" t="s">
        <v>309</v>
      </c>
      <c r="E568" s="1" t="s">
        <v>22</v>
      </c>
      <c r="F568" s="1">
        <v>13</v>
      </c>
      <c r="G568" s="1">
        <v>5</v>
      </c>
      <c r="H568" s="1">
        <f t="shared" si="6"/>
        <v>18</v>
      </c>
      <c r="I568" s="5">
        <f t="shared" ca="1" si="7"/>
        <v>16.399999999999999</v>
      </c>
    </row>
    <row r="569" spans="1:9" x14ac:dyDescent="0.25">
      <c r="A569" s="2">
        <f t="shared" ca="1" si="5"/>
        <v>86</v>
      </c>
      <c r="B569" s="1" t="s">
        <v>328</v>
      </c>
      <c r="C569" s="18">
        <v>45319</v>
      </c>
      <c r="D569" s="1" t="s">
        <v>66</v>
      </c>
      <c r="E569" s="1" t="s">
        <v>22</v>
      </c>
      <c r="F569" s="1">
        <v>13</v>
      </c>
      <c r="G569" s="1">
        <v>6</v>
      </c>
      <c r="H569" s="1">
        <f t="shared" si="6"/>
        <v>19</v>
      </c>
      <c r="I569" s="5">
        <f t="shared" ca="1" si="7"/>
        <v>16.399999999999999</v>
      </c>
    </row>
    <row r="570" spans="1:9" x14ac:dyDescent="0.25">
      <c r="A570" s="2">
        <f t="shared" ca="1" si="5"/>
        <v>92</v>
      </c>
      <c r="B570" s="1" t="s">
        <v>406</v>
      </c>
      <c r="C570" s="18">
        <v>45676</v>
      </c>
      <c r="D570" s="1" t="s">
        <v>68</v>
      </c>
      <c r="E570" s="1" t="s">
        <v>22</v>
      </c>
      <c r="F570" s="1">
        <v>10</v>
      </c>
      <c r="G570" s="1">
        <v>8</v>
      </c>
      <c r="H570" s="1">
        <f t="shared" si="6"/>
        <v>18</v>
      </c>
      <c r="I570" s="5">
        <f t="shared" ca="1" si="7"/>
        <v>16.3</v>
      </c>
    </row>
    <row r="571" spans="1:9" x14ac:dyDescent="0.25">
      <c r="A571" s="2">
        <f t="shared" ca="1" si="5"/>
        <v>92</v>
      </c>
      <c r="B571" s="1" t="s">
        <v>261</v>
      </c>
      <c r="C571" s="18">
        <v>44934</v>
      </c>
      <c r="D571" s="1" t="s">
        <v>72</v>
      </c>
      <c r="E571" s="1" t="s">
        <v>22</v>
      </c>
      <c r="F571" s="1">
        <v>13</v>
      </c>
      <c r="G571" s="1">
        <v>7</v>
      </c>
      <c r="H571" s="1">
        <f t="shared" si="6"/>
        <v>20</v>
      </c>
      <c r="I571" s="5">
        <f t="shared" ca="1" si="7"/>
        <v>16.3</v>
      </c>
    </row>
    <row r="572" spans="1:9" x14ac:dyDescent="0.25">
      <c r="A572" s="2">
        <f t="shared" ca="1" si="5"/>
        <v>94</v>
      </c>
      <c r="B572" s="29" t="s">
        <v>471</v>
      </c>
      <c r="C572" s="18">
        <v>45983</v>
      </c>
      <c r="D572" s="1" t="s">
        <v>378</v>
      </c>
      <c r="E572" s="1" t="s">
        <v>22</v>
      </c>
      <c r="F572" s="1">
        <v>9</v>
      </c>
      <c r="G572" s="1">
        <v>8</v>
      </c>
      <c r="H572" s="1">
        <f t="shared" si="6"/>
        <v>17</v>
      </c>
      <c r="I572" s="5">
        <f t="shared" ca="1" si="7"/>
        <v>16.2</v>
      </c>
    </row>
    <row r="573" spans="1:9" x14ac:dyDescent="0.25">
      <c r="A573" s="2">
        <f t="shared" ca="1" si="5"/>
        <v>94</v>
      </c>
      <c r="B573" s="1" t="s">
        <v>385</v>
      </c>
      <c r="C573" s="18">
        <v>45613</v>
      </c>
      <c r="D573" s="1" t="s">
        <v>378</v>
      </c>
      <c r="E573" s="1" t="s">
        <v>22</v>
      </c>
      <c r="F573" s="1">
        <v>12</v>
      </c>
      <c r="G573" s="1">
        <v>6</v>
      </c>
      <c r="H573" s="1">
        <f t="shared" si="6"/>
        <v>18</v>
      </c>
      <c r="I573" s="5">
        <f t="shared" ca="1" si="7"/>
        <v>16.2</v>
      </c>
    </row>
    <row r="574" spans="1:9" x14ac:dyDescent="0.25">
      <c r="A574" s="2">
        <f t="shared" ca="1" si="5"/>
        <v>96</v>
      </c>
      <c r="B574" s="29" t="s">
        <v>249</v>
      </c>
      <c r="C574" s="18">
        <v>44864</v>
      </c>
      <c r="D574" s="1" t="s">
        <v>236</v>
      </c>
      <c r="E574" s="1" t="s">
        <v>22</v>
      </c>
      <c r="F574" s="1">
        <v>13</v>
      </c>
      <c r="G574" s="1">
        <v>7</v>
      </c>
      <c r="H574" s="1">
        <f t="shared" si="6"/>
        <v>20</v>
      </c>
      <c r="I574" s="5">
        <f t="shared" ca="1" si="7"/>
        <v>16.100000000000001</v>
      </c>
    </row>
    <row r="575" spans="1:9" x14ac:dyDescent="0.25">
      <c r="A575" s="2">
        <f t="shared" ca="1" si="5"/>
        <v>96</v>
      </c>
      <c r="B575" s="1" t="s">
        <v>169</v>
      </c>
      <c r="C575" s="18">
        <v>44493</v>
      </c>
      <c r="D575" s="1" t="s">
        <v>71</v>
      </c>
      <c r="E575" s="1" t="s">
        <v>22</v>
      </c>
      <c r="F575" s="1">
        <v>15</v>
      </c>
      <c r="G575" s="1">
        <v>6</v>
      </c>
      <c r="H575" s="1">
        <f t="shared" si="6"/>
        <v>21</v>
      </c>
      <c r="I575" s="5">
        <f t="shared" ca="1" si="7"/>
        <v>16.100000000000001</v>
      </c>
    </row>
    <row r="576" spans="1:9" x14ac:dyDescent="0.25">
      <c r="A576" s="2">
        <f t="shared" ca="1" si="5"/>
        <v>96</v>
      </c>
      <c r="B576" s="29" t="s">
        <v>168</v>
      </c>
      <c r="C576" s="18">
        <v>44485</v>
      </c>
      <c r="D576" s="1" t="s">
        <v>71</v>
      </c>
      <c r="E576" s="1" t="s">
        <v>22</v>
      </c>
      <c r="F576" s="1">
        <v>15</v>
      </c>
      <c r="G576" s="1">
        <v>6</v>
      </c>
      <c r="H576" s="1">
        <f t="shared" si="6"/>
        <v>21</v>
      </c>
      <c r="I576" s="5">
        <f t="shared" ca="1" si="7"/>
        <v>16.100000000000001</v>
      </c>
    </row>
    <row r="577" spans="1:9" x14ac:dyDescent="0.25">
      <c r="A577" s="2">
        <f t="shared" ca="1" si="5"/>
        <v>99</v>
      </c>
      <c r="B577" s="29" t="s">
        <v>300</v>
      </c>
      <c r="C577" s="18">
        <v>45186</v>
      </c>
      <c r="D577" s="1" t="s">
        <v>149</v>
      </c>
      <c r="E577" s="1" t="s">
        <v>22</v>
      </c>
      <c r="F577" s="1">
        <v>14</v>
      </c>
      <c r="G577" s="1">
        <v>5</v>
      </c>
      <c r="H577" s="1">
        <f t="shared" si="6"/>
        <v>19</v>
      </c>
      <c r="I577" s="5">
        <f t="shared" ca="1" si="7"/>
        <v>16</v>
      </c>
    </row>
    <row r="578" spans="1:9" x14ac:dyDescent="0.25">
      <c r="A578" s="2">
        <f t="shared" ca="1" si="5"/>
        <v>99</v>
      </c>
      <c r="B578" s="1" t="s">
        <v>234</v>
      </c>
      <c r="C578" s="18">
        <v>44815</v>
      </c>
      <c r="D578" s="1" t="s">
        <v>184</v>
      </c>
      <c r="E578" s="1" t="s">
        <v>22</v>
      </c>
      <c r="F578" s="1">
        <v>14</v>
      </c>
      <c r="G578" s="1">
        <v>6</v>
      </c>
      <c r="H578" s="1">
        <f t="shared" si="6"/>
        <v>20</v>
      </c>
      <c r="I578" s="5">
        <f t="shared" ca="1" si="7"/>
        <v>16</v>
      </c>
    </row>
    <row r="579" spans="1:9" x14ac:dyDescent="0.25">
      <c r="A579" s="2">
        <f t="shared" ca="1" si="5"/>
        <v>99</v>
      </c>
      <c r="B579" s="1" t="s">
        <v>456</v>
      </c>
      <c r="C579" s="18">
        <v>45907</v>
      </c>
      <c r="D579" s="1" t="s">
        <v>377</v>
      </c>
      <c r="E579" s="1" t="s">
        <v>22</v>
      </c>
      <c r="F579" s="1">
        <v>12</v>
      </c>
      <c r="G579" s="1">
        <v>5</v>
      </c>
      <c r="H579" s="1">
        <f t="shared" si="6"/>
        <v>17</v>
      </c>
      <c r="I579" s="5">
        <f t="shared" ca="1" si="7"/>
        <v>16</v>
      </c>
    </row>
    <row r="580" spans="1:9" x14ac:dyDescent="0.25">
      <c r="A580" s="2">
        <f t="shared" ca="1" si="5"/>
        <v>102</v>
      </c>
      <c r="B580" s="29" t="s">
        <v>357</v>
      </c>
      <c r="C580" s="18">
        <v>45494</v>
      </c>
      <c r="D580" s="1" t="s">
        <v>67</v>
      </c>
      <c r="E580" s="1" t="s">
        <v>22</v>
      </c>
      <c r="F580" s="1">
        <v>13</v>
      </c>
      <c r="G580" s="1">
        <v>5</v>
      </c>
      <c r="H580" s="1">
        <f t="shared" si="6"/>
        <v>18</v>
      </c>
      <c r="I580" s="5">
        <f t="shared" ca="1" si="7"/>
        <v>15.8</v>
      </c>
    </row>
    <row r="581" spans="1:9" x14ac:dyDescent="0.25">
      <c r="A581" s="2">
        <f t="shared" ca="1" si="5"/>
        <v>102</v>
      </c>
      <c r="B581" s="1" t="s">
        <v>444</v>
      </c>
      <c r="C581" s="18">
        <v>45844</v>
      </c>
      <c r="D581" s="1" t="s">
        <v>68</v>
      </c>
      <c r="E581" s="1" t="s">
        <v>22</v>
      </c>
      <c r="F581" s="1">
        <v>9</v>
      </c>
      <c r="G581" s="1">
        <v>8</v>
      </c>
      <c r="H581" s="1">
        <f t="shared" si="6"/>
        <v>17</v>
      </c>
      <c r="I581" s="5">
        <f t="shared" ca="1" si="7"/>
        <v>15.8</v>
      </c>
    </row>
    <row r="582" spans="1:9" x14ac:dyDescent="0.25">
      <c r="A582" s="2">
        <f t="shared" ca="1" si="5"/>
        <v>102</v>
      </c>
      <c r="B582" s="1" t="s">
        <v>134</v>
      </c>
      <c r="C582" s="18">
        <v>44367</v>
      </c>
      <c r="D582" s="1" t="s">
        <v>74</v>
      </c>
      <c r="E582" s="1" t="s">
        <v>22</v>
      </c>
      <c r="F582" s="1">
        <v>14</v>
      </c>
      <c r="G582" s="1">
        <v>7</v>
      </c>
      <c r="H582" s="1">
        <f t="shared" si="6"/>
        <v>21</v>
      </c>
      <c r="I582" s="5">
        <f t="shared" ca="1" si="7"/>
        <v>15.8</v>
      </c>
    </row>
    <row r="583" spans="1:9" x14ac:dyDescent="0.25">
      <c r="A583" s="2">
        <f t="shared" ca="1" si="5"/>
        <v>105</v>
      </c>
      <c r="B583" s="29" t="s">
        <v>436</v>
      </c>
      <c r="C583" s="18">
        <v>45809</v>
      </c>
      <c r="D583" s="1" t="s">
        <v>71</v>
      </c>
      <c r="E583" s="1" t="s">
        <v>22</v>
      </c>
      <c r="F583" s="1">
        <v>11</v>
      </c>
      <c r="G583" s="1">
        <v>6</v>
      </c>
      <c r="H583" s="1">
        <f t="shared" si="6"/>
        <v>17</v>
      </c>
      <c r="I583" s="5">
        <f t="shared" ca="1" si="7"/>
        <v>15.7</v>
      </c>
    </row>
    <row r="584" spans="1:9" x14ac:dyDescent="0.25">
      <c r="A584" s="2">
        <f t="shared" ca="1" si="5"/>
        <v>105</v>
      </c>
      <c r="B584" s="29" t="s">
        <v>284</v>
      </c>
      <c r="C584" s="18">
        <v>45074</v>
      </c>
      <c r="D584" s="1" t="s">
        <v>154</v>
      </c>
      <c r="E584" s="1" t="s">
        <v>22</v>
      </c>
      <c r="F584" s="1">
        <v>14</v>
      </c>
      <c r="G584" s="1">
        <v>5</v>
      </c>
      <c r="H584" s="1">
        <f t="shared" si="6"/>
        <v>19</v>
      </c>
      <c r="I584" s="5">
        <f t="shared" ca="1" si="7"/>
        <v>15.7</v>
      </c>
    </row>
    <row r="585" spans="1:9" x14ac:dyDescent="0.25">
      <c r="A585" s="2">
        <f t="shared" ca="1" si="5"/>
        <v>105</v>
      </c>
      <c r="B585" s="1" t="s">
        <v>211</v>
      </c>
      <c r="C585" s="18">
        <v>44703</v>
      </c>
      <c r="D585" s="1" t="s">
        <v>69</v>
      </c>
      <c r="E585" s="1" t="s">
        <v>22</v>
      </c>
      <c r="F585" s="1">
        <v>13</v>
      </c>
      <c r="G585" s="1">
        <v>7</v>
      </c>
      <c r="H585" s="1">
        <f t="shared" si="6"/>
        <v>20</v>
      </c>
      <c r="I585" s="5">
        <f t="shared" ca="1" si="7"/>
        <v>15.7</v>
      </c>
    </row>
    <row r="586" spans="1:9" x14ac:dyDescent="0.25">
      <c r="A586" s="2">
        <f t="shared" ca="1" si="5"/>
        <v>108</v>
      </c>
      <c r="B586" s="1" t="s">
        <v>509</v>
      </c>
      <c r="C586" s="18">
        <v>46138</v>
      </c>
      <c r="D586" s="1" t="s">
        <v>483</v>
      </c>
      <c r="E586" s="1" t="s">
        <v>22</v>
      </c>
      <c r="F586" s="1">
        <v>12</v>
      </c>
      <c r="G586" s="1">
        <v>4</v>
      </c>
      <c r="H586" s="1">
        <f t="shared" si="6"/>
        <v>16</v>
      </c>
      <c r="I586" s="5">
        <f t="shared" ca="1" si="7"/>
        <v>15.6</v>
      </c>
    </row>
    <row r="587" spans="1:9" x14ac:dyDescent="0.25">
      <c r="A587" s="2">
        <f t="shared" ca="1" si="5"/>
        <v>108</v>
      </c>
      <c r="B587" s="1" t="s">
        <v>506</v>
      </c>
      <c r="C587" s="18">
        <v>46124</v>
      </c>
      <c r="D587" s="1" t="s">
        <v>377</v>
      </c>
      <c r="E587" s="1" t="s">
        <v>22</v>
      </c>
      <c r="F587" s="1">
        <v>11</v>
      </c>
      <c r="G587" s="1">
        <v>5</v>
      </c>
      <c r="H587" s="1">
        <f t="shared" si="6"/>
        <v>16</v>
      </c>
      <c r="I587" s="5">
        <f t="shared" ca="1" si="7"/>
        <v>15.6</v>
      </c>
    </row>
    <row r="588" spans="1:9" x14ac:dyDescent="0.25">
      <c r="A588" s="2">
        <f t="shared" ca="1" si="5"/>
        <v>110</v>
      </c>
      <c r="B588" s="29" t="s">
        <v>113</v>
      </c>
      <c r="C588" s="18">
        <v>44290</v>
      </c>
      <c r="D588" s="1" t="s">
        <v>71</v>
      </c>
      <c r="E588" s="1" t="s">
        <v>22</v>
      </c>
      <c r="F588" s="1">
        <v>14</v>
      </c>
      <c r="G588" s="1">
        <v>7</v>
      </c>
      <c r="H588" s="1">
        <f t="shared" si="6"/>
        <v>21</v>
      </c>
      <c r="I588" s="5">
        <f t="shared" ca="1" si="7"/>
        <v>15.5</v>
      </c>
    </row>
    <row r="589" spans="1:9" x14ac:dyDescent="0.25">
      <c r="A589" s="2">
        <f t="shared" ca="1" si="5"/>
        <v>110</v>
      </c>
      <c r="B589" s="1" t="s">
        <v>420</v>
      </c>
      <c r="C589" s="18">
        <v>45746</v>
      </c>
      <c r="D589" s="1" t="s">
        <v>74</v>
      </c>
      <c r="E589" s="1" t="s">
        <v>22</v>
      </c>
      <c r="F589" s="1">
        <v>12</v>
      </c>
      <c r="G589" s="1">
        <v>5</v>
      </c>
      <c r="H589" s="1">
        <f t="shared" si="6"/>
        <v>17</v>
      </c>
      <c r="I589" s="5">
        <f t="shared" ca="1" si="7"/>
        <v>15.5</v>
      </c>
    </row>
    <row r="590" spans="1:9" x14ac:dyDescent="0.25">
      <c r="A590" s="2">
        <f t="shared" ca="1" si="5"/>
        <v>110</v>
      </c>
      <c r="B590" s="29" t="s">
        <v>338</v>
      </c>
      <c r="C590" s="18">
        <v>45375</v>
      </c>
      <c r="D590" s="1" t="s">
        <v>149</v>
      </c>
      <c r="E590" s="1" t="s">
        <v>22</v>
      </c>
      <c r="F590" s="1">
        <v>9</v>
      </c>
      <c r="G590" s="1">
        <v>9</v>
      </c>
      <c r="H590" s="1">
        <f t="shared" si="6"/>
        <v>18</v>
      </c>
      <c r="I590" s="5">
        <f t="shared" ca="1" si="7"/>
        <v>15.5</v>
      </c>
    </row>
    <row r="591" spans="1:9" x14ac:dyDescent="0.25">
      <c r="A591" s="2">
        <f t="shared" ca="1" si="5"/>
        <v>110</v>
      </c>
      <c r="B591" s="1" t="s">
        <v>336</v>
      </c>
      <c r="C591" s="18">
        <v>45368</v>
      </c>
      <c r="D591" s="1" t="s">
        <v>72</v>
      </c>
      <c r="E591" s="1" t="s">
        <v>22</v>
      </c>
      <c r="F591" s="1">
        <v>11</v>
      </c>
      <c r="G591" s="1">
        <v>7</v>
      </c>
      <c r="H591" s="1">
        <f t="shared" si="6"/>
        <v>18</v>
      </c>
      <c r="I591" s="5">
        <f t="shared" ca="1" si="7"/>
        <v>15.5</v>
      </c>
    </row>
    <row r="592" spans="1:9" x14ac:dyDescent="0.25">
      <c r="A592" s="2">
        <f t="shared" ca="1" si="5"/>
        <v>114</v>
      </c>
      <c r="B592" s="1" t="s">
        <v>193</v>
      </c>
      <c r="C592" s="18">
        <v>44605</v>
      </c>
      <c r="D592" s="1" t="s">
        <v>68</v>
      </c>
      <c r="E592" s="1" t="s">
        <v>22</v>
      </c>
      <c r="F592" s="1">
        <v>14</v>
      </c>
      <c r="G592" s="1">
        <v>6</v>
      </c>
      <c r="H592" s="1">
        <f t="shared" si="6"/>
        <v>20</v>
      </c>
      <c r="I592" s="5">
        <f t="shared" ca="1" si="7"/>
        <v>15.4</v>
      </c>
    </row>
    <row r="593" spans="1:9" x14ac:dyDescent="0.25">
      <c r="A593" s="2">
        <f t="shared" ca="1" si="5"/>
        <v>114</v>
      </c>
      <c r="B593" s="1" t="s">
        <v>492</v>
      </c>
      <c r="C593" s="18">
        <v>46061</v>
      </c>
      <c r="D593" s="1" t="s">
        <v>71</v>
      </c>
      <c r="E593" s="1" t="s">
        <v>22</v>
      </c>
      <c r="F593" s="1">
        <v>12</v>
      </c>
      <c r="G593" s="1">
        <v>4</v>
      </c>
      <c r="H593" s="1">
        <f t="shared" si="6"/>
        <v>16</v>
      </c>
      <c r="I593" s="5">
        <f t="shared" ca="1" si="7"/>
        <v>15.4</v>
      </c>
    </row>
    <row r="594" spans="1:9" x14ac:dyDescent="0.25">
      <c r="A594" s="2">
        <f t="shared" ca="1" si="5"/>
        <v>114</v>
      </c>
      <c r="B594" s="1" t="s">
        <v>269</v>
      </c>
      <c r="C594" s="18">
        <v>44962</v>
      </c>
      <c r="D594" s="1" t="s">
        <v>154</v>
      </c>
      <c r="E594" s="1" t="s">
        <v>22</v>
      </c>
      <c r="F594" s="1">
        <v>13</v>
      </c>
      <c r="G594" s="1">
        <v>6</v>
      </c>
      <c r="H594" s="1">
        <f t="shared" si="6"/>
        <v>19</v>
      </c>
      <c r="I594" s="5">
        <f t="shared" ca="1" si="7"/>
        <v>15.4</v>
      </c>
    </row>
    <row r="595" spans="1:9" x14ac:dyDescent="0.25">
      <c r="A595" s="2">
        <f t="shared" ca="1" si="5"/>
        <v>114</v>
      </c>
      <c r="B595" s="29" t="s">
        <v>95</v>
      </c>
      <c r="C595" s="18">
        <v>44226</v>
      </c>
      <c r="D595" s="1" t="s">
        <v>74</v>
      </c>
      <c r="E595" s="1" t="s">
        <v>22</v>
      </c>
      <c r="F595" s="1">
        <v>15</v>
      </c>
      <c r="G595" s="1">
        <v>6</v>
      </c>
      <c r="H595" s="1">
        <f t="shared" si="6"/>
        <v>21</v>
      </c>
      <c r="I595" s="5">
        <f t="shared" ca="1" si="7"/>
        <v>15.4</v>
      </c>
    </row>
    <row r="596" spans="1:9" x14ac:dyDescent="0.25">
      <c r="A596" s="2">
        <f t="shared" ca="1" si="5"/>
        <v>118</v>
      </c>
      <c r="B596" s="1" t="s">
        <v>82</v>
      </c>
      <c r="C596" s="18">
        <v>44577</v>
      </c>
      <c r="D596" s="1" t="s">
        <v>68</v>
      </c>
      <c r="E596" s="1" t="s">
        <v>22</v>
      </c>
      <c r="F596" s="1">
        <v>13</v>
      </c>
      <c r="G596" s="1">
        <v>7</v>
      </c>
      <c r="H596" s="1">
        <f t="shared" si="6"/>
        <v>20</v>
      </c>
      <c r="I596" s="5">
        <f t="shared" ca="1" si="7"/>
        <v>15.3</v>
      </c>
    </row>
    <row r="597" spans="1:9" x14ac:dyDescent="0.25">
      <c r="A597" s="2">
        <f t="shared" ca="1" si="5"/>
        <v>118</v>
      </c>
      <c r="B597" s="1" t="s">
        <v>94</v>
      </c>
      <c r="C597" s="18">
        <v>44577</v>
      </c>
      <c r="D597" s="1" t="s">
        <v>71</v>
      </c>
      <c r="E597" s="1" t="s">
        <v>22</v>
      </c>
      <c r="F597" s="1">
        <v>14</v>
      </c>
      <c r="G597" s="1">
        <v>6</v>
      </c>
      <c r="H597" s="1">
        <f t="shared" si="6"/>
        <v>20</v>
      </c>
      <c r="I597" s="5">
        <f t="shared" ca="1" si="7"/>
        <v>15.3</v>
      </c>
    </row>
    <row r="598" spans="1:9" x14ac:dyDescent="0.25">
      <c r="A598" s="2">
        <f t="shared" ca="1" si="5"/>
        <v>118</v>
      </c>
      <c r="B598" s="29" t="s">
        <v>183</v>
      </c>
      <c r="C598" s="18">
        <v>44556</v>
      </c>
      <c r="D598" s="1" t="s">
        <v>70</v>
      </c>
      <c r="E598" s="1" t="s">
        <v>22</v>
      </c>
      <c r="F598" s="1">
        <v>13</v>
      </c>
      <c r="G598" s="1">
        <v>7</v>
      </c>
      <c r="H598" s="1">
        <f t="shared" si="6"/>
        <v>20</v>
      </c>
      <c r="I598" s="5">
        <f t="shared" ca="1" si="7"/>
        <v>15.3</v>
      </c>
    </row>
    <row r="599" spans="1:9" x14ac:dyDescent="0.25">
      <c r="A599" s="2">
        <f t="shared" ca="1" si="5"/>
        <v>121</v>
      </c>
      <c r="B599" s="1" t="s">
        <v>394</v>
      </c>
      <c r="C599" s="18">
        <v>45641</v>
      </c>
      <c r="D599" s="1" t="s">
        <v>266</v>
      </c>
      <c r="E599" s="1" t="s">
        <v>22</v>
      </c>
      <c r="F599" s="1">
        <v>12</v>
      </c>
      <c r="G599" s="1">
        <v>5</v>
      </c>
      <c r="H599" s="1">
        <f t="shared" si="6"/>
        <v>17</v>
      </c>
      <c r="I599" s="5">
        <f t="shared" ca="1" si="7"/>
        <v>15.2</v>
      </c>
    </row>
    <row r="600" spans="1:9" x14ac:dyDescent="0.25">
      <c r="A600" s="2">
        <f t="shared" ca="1" si="5"/>
        <v>121</v>
      </c>
      <c r="B600" s="1" t="s">
        <v>317</v>
      </c>
      <c r="C600" s="18">
        <v>45263</v>
      </c>
      <c r="D600" s="1" t="s">
        <v>379</v>
      </c>
      <c r="E600" s="1" t="s">
        <v>22</v>
      </c>
      <c r="F600" s="1">
        <v>13</v>
      </c>
      <c r="G600" s="1">
        <v>5</v>
      </c>
      <c r="H600" s="1">
        <f t="shared" si="6"/>
        <v>18</v>
      </c>
      <c r="I600" s="5">
        <f t="shared" ca="1" si="7"/>
        <v>15.2</v>
      </c>
    </row>
    <row r="601" spans="1:9" x14ac:dyDescent="0.25">
      <c r="A601" s="2">
        <f t="shared" ca="1" si="5"/>
        <v>121</v>
      </c>
      <c r="B601" s="1" t="s">
        <v>390</v>
      </c>
      <c r="C601" s="18">
        <v>45627</v>
      </c>
      <c r="D601" s="1" t="s">
        <v>66</v>
      </c>
      <c r="E601" s="1" t="s">
        <v>22</v>
      </c>
      <c r="F601" s="1">
        <v>12</v>
      </c>
      <c r="G601" s="1">
        <v>5</v>
      </c>
      <c r="H601" s="1">
        <f t="shared" si="6"/>
        <v>17</v>
      </c>
      <c r="I601" s="5">
        <f t="shared" ca="1" si="7"/>
        <v>15.2</v>
      </c>
    </row>
    <row r="602" spans="1:9" x14ac:dyDescent="0.25">
      <c r="A602" s="2">
        <f t="shared" ca="1" si="5"/>
        <v>121</v>
      </c>
      <c r="B602" s="1" t="s">
        <v>177</v>
      </c>
      <c r="C602" s="18">
        <v>44521</v>
      </c>
      <c r="D602" s="1" t="s">
        <v>74</v>
      </c>
      <c r="E602" s="1" t="s">
        <v>22</v>
      </c>
      <c r="F602" s="1">
        <v>15</v>
      </c>
      <c r="G602" s="1">
        <v>5</v>
      </c>
      <c r="H602" s="1">
        <f t="shared" si="6"/>
        <v>20</v>
      </c>
      <c r="I602" s="5">
        <f t="shared" ca="1" si="7"/>
        <v>15.2</v>
      </c>
    </row>
    <row r="603" spans="1:9" x14ac:dyDescent="0.25">
      <c r="A603" s="2">
        <f t="shared" ca="1" si="5"/>
        <v>125</v>
      </c>
      <c r="B603" s="1" t="s">
        <v>194</v>
      </c>
      <c r="C603" s="18">
        <v>45235</v>
      </c>
      <c r="D603" s="1" t="s">
        <v>236</v>
      </c>
      <c r="E603" s="1" t="s">
        <v>22</v>
      </c>
      <c r="F603" s="1">
        <v>10</v>
      </c>
      <c r="G603" s="1">
        <v>8</v>
      </c>
      <c r="H603" s="1">
        <f t="shared" si="6"/>
        <v>18</v>
      </c>
      <c r="I603" s="5">
        <f t="shared" ca="1" si="7"/>
        <v>15.1</v>
      </c>
    </row>
    <row r="604" spans="1:9" x14ac:dyDescent="0.25">
      <c r="A604" s="2">
        <f t="shared" ca="1" si="5"/>
        <v>125</v>
      </c>
      <c r="B604" s="29" t="s">
        <v>51</v>
      </c>
      <c r="C604" s="18">
        <v>45220</v>
      </c>
      <c r="D604" s="1" t="s">
        <v>149</v>
      </c>
      <c r="E604" s="1" t="s">
        <v>22</v>
      </c>
      <c r="F604" s="1">
        <v>12</v>
      </c>
      <c r="G604" s="1">
        <v>6</v>
      </c>
      <c r="H604" s="1">
        <f t="shared" si="6"/>
        <v>18</v>
      </c>
      <c r="I604" s="5">
        <f t="shared" ca="1" si="7"/>
        <v>15.1</v>
      </c>
    </row>
    <row r="605" spans="1:9" x14ac:dyDescent="0.25">
      <c r="A605" s="2">
        <f t="shared" ca="1" si="5"/>
        <v>127</v>
      </c>
      <c r="B605" s="29" t="s">
        <v>164</v>
      </c>
      <c r="C605" s="18">
        <v>44472</v>
      </c>
      <c r="D605" s="1" t="s">
        <v>71</v>
      </c>
      <c r="E605" s="1" t="s">
        <v>22</v>
      </c>
      <c r="F605" s="1">
        <v>14</v>
      </c>
      <c r="G605" s="1">
        <v>6</v>
      </c>
      <c r="H605" s="1">
        <f t="shared" si="6"/>
        <v>20</v>
      </c>
      <c r="I605" s="5">
        <f t="shared" ca="1" si="7"/>
        <v>15</v>
      </c>
    </row>
    <row r="606" spans="1:9" x14ac:dyDescent="0.25">
      <c r="A606" s="2">
        <f t="shared" ca="1" si="5"/>
        <v>127</v>
      </c>
      <c r="B606" s="29" t="s">
        <v>376</v>
      </c>
      <c r="C606" s="18">
        <v>45564</v>
      </c>
      <c r="D606" s="1" t="s">
        <v>71</v>
      </c>
      <c r="E606" s="1" t="s">
        <v>22</v>
      </c>
      <c r="F606" s="1">
        <v>12</v>
      </c>
      <c r="G606" s="1">
        <v>5</v>
      </c>
      <c r="H606" s="1">
        <f t="shared" si="6"/>
        <v>17</v>
      </c>
      <c r="I606" s="5">
        <f t="shared" ca="1" si="7"/>
        <v>15</v>
      </c>
    </row>
    <row r="607" spans="1:9" x14ac:dyDescent="0.25">
      <c r="A607" s="2">
        <f t="shared" ref="A607:A670" ca="1" si="8">RANK(I607,$I$479:$I$718,0)</f>
        <v>127</v>
      </c>
      <c r="B607" s="1" t="s">
        <v>460</v>
      </c>
      <c r="C607" s="18">
        <v>45921</v>
      </c>
      <c r="D607" s="1" t="s">
        <v>69</v>
      </c>
      <c r="E607" s="1" t="s">
        <v>22</v>
      </c>
      <c r="F607" s="1">
        <v>12</v>
      </c>
      <c r="G607" s="1">
        <v>4</v>
      </c>
      <c r="H607" s="1">
        <f t="shared" ref="H607:H670" si="9">SUM(F607:G607)</f>
        <v>16</v>
      </c>
      <c r="I607" s="5">
        <f t="shared" ref="I607:I670" ca="1" si="10">H607-(ROUNDDOWN((($G$1-C607)/365),1))</f>
        <v>15</v>
      </c>
    </row>
    <row r="608" spans="1:9" x14ac:dyDescent="0.25">
      <c r="A608" s="2">
        <f t="shared" ca="1" si="8"/>
        <v>131</v>
      </c>
      <c r="B608" s="1" t="s">
        <v>152</v>
      </c>
      <c r="C608" s="18">
        <v>44437</v>
      </c>
      <c r="D608" s="1" t="s">
        <v>72</v>
      </c>
      <c r="E608" s="1" t="s">
        <v>22</v>
      </c>
      <c r="F608" s="1">
        <v>14</v>
      </c>
      <c r="G608" s="1">
        <v>6</v>
      </c>
      <c r="H608" s="1">
        <f t="shared" si="9"/>
        <v>20</v>
      </c>
      <c r="I608" s="5">
        <f t="shared" ca="1" si="10"/>
        <v>14.9</v>
      </c>
    </row>
    <row r="609" spans="1:9" x14ac:dyDescent="0.25">
      <c r="A609" s="2">
        <f t="shared" ca="1" si="8"/>
        <v>127</v>
      </c>
      <c r="B609" s="1" t="s">
        <v>529</v>
      </c>
      <c r="C609" s="18">
        <v>46271</v>
      </c>
      <c r="D609" s="1" t="s">
        <v>74</v>
      </c>
      <c r="E609" s="1" t="s">
        <v>22</v>
      </c>
      <c r="F609" s="1">
        <v>10</v>
      </c>
      <c r="G609" s="1">
        <v>5</v>
      </c>
      <c r="H609" s="1">
        <f t="shared" si="9"/>
        <v>15</v>
      </c>
      <c r="I609" s="5">
        <f t="shared" ca="1" si="10"/>
        <v>15</v>
      </c>
    </row>
    <row r="610" spans="1:9" x14ac:dyDescent="0.25">
      <c r="A610" s="2">
        <f t="shared" ca="1" si="8"/>
        <v>131</v>
      </c>
      <c r="B610" s="29" t="s">
        <v>364</v>
      </c>
      <c r="C610" s="18">
        <v>45522</v>
      </c>
      <c r="D610" s="1" t="s">
        <v>71</v>
      </c>
      <c r="E610" s="1" t="s">
        <v>22</v>
      </c>
      <c r="F610" s="1">
        <v>14</v>
      </c>
      <c r="G610" s="1">
        <v>3</v>
      </c>
      <c r="H610" s="1">
        <f t="shared" si="9"/>
        <v>17</v>
      </c>
      <c r="I610" s="5">
        <f t="shared" ca="1" si="10"/>
        <v>14.9</v>
      </c>
    </row>
    <row r="611" spans="1:9" x14ac:dyDescent="0.25">
      <c r="A611" s="2">
        <f t="shared" ca="1" si="8"/>
        <v>131</v>
      </c>
      <c r="B611" s="29" t="s">
        <v>229</v>
      </c>
      <c r="C611" s="18">
        <v>44780</v>
      </c>
      <c r="D611" s="1" t="s">
        <v>72</v>
      </c>
      <c r="E611" s="1" t="s">
        <v>22</v>
      </c>
      <c r="F611" s="1">
        <v>14</v>
      </c>
      <c r="G611" s="1">
        <v>5</v>
      </c>
      <c r="H611" s="1">
        <f t="shared" si="9"/>
        <v>19</v>
      </c>
      <c r="I611" s="5">
        <f t="shared" ca="1" si="10"/>
        <v>14.9</v>
      </c>
    </row>
    <row r="612" spans="1:9" x14ac:dyDescent="0.25">
      <c r="A612" s="2">
        <f t="shared" ca="1" si="8"/>
        <v>131</v>
      </c>
      <c r="B612" s="1" t="s">
        <v>36</v>
      </c>
      <c r="C612" s="18">
        <v>44409</v>
      </c>
      <c r="D612" s="1" t="s">
        <v>70</v>
      </c>
      <c r="E612" s="1" t="s">
        <v>22</v>
      </c>
      <c r="F612" s="1">
        <v>13</v>
      </c>
      <c r="G612" s="1">
        <v>7</v>
      </c>
      <c r="H612" s="1">
        <f t="shared" si="9"/>
        <v>20</v>
      </c>
      <c r="I612" s="5">
        <f t="shared" ca="1" si="10"/>
        <v>14.9</v>
      </c>
    </row>
    <row r="613" spans="1:9" x14ac:dyDescent="0.25">
      <c r="A613" s="2">
        <f t="shared" ca="1" si="8"/>
        <v>131</v>
      </c>
      <c r="B613" s="1" t="s">
        <v>45</v>
      </c>
      <c r="C613" s="18">
        <v>44409</v>
      </c>
      <c r="D613" s="1" t="s">
        <v>73</v>
      </c>
      <c r="E613" s="1" t="s">
        <v>22</v>
      </c>
      <c r="F613" s="1">
        <v>14</v>
      </c>
      <c r="G613" s="1">
        <v>6</v>
      </c>
      <c r="H613" s="1">
        <f t="shared" si="9"/>
        <v>20</v>
      </c>
      <c r="I613" s="5">
        <f t="shared" ca="1" si="10"/>
        <v>14.9</v>
      </c>
    </row>
    <row r="614" spans="1:9" x14ac:dyDescent="0.25">
      <c r="A614" s="2">
        <f t="shared" ca="1" si="8"/>
        <v>131</v>
      </c>
      <c r="B614" s="1" t="s">
        <v>523</v>
      </c>
      <c r="C614" s="18">
        <v>46229</v>
      </c>
      <c r="D614" s="1" t="s">
        <v>75</v>
      </c>
      <c r="E614" s="1" t="s">
        <v>22</v>
      </c>
      <c r="F614" s="1">
        <v>10</v>
      </c>
      <c r="G614" s="1">
        <v>5</v>
      </c>
      <c r="H614" s="1">
        <f t="shared" si="9"/>
        <v>15</v>
      </c>
      <c r="I614" s="5">
        <f t="shared" ca="1" si="10"/>
        <v>14.9</v>
      </c>
    </row>
    <row r="615" spans="1:9" x14ac:dyDescent="0.25">
      <c r="A615" s="2">
        <f t="shared" ca="1" si="8"/>
        <v>137</v>
      </c>
      <c r="B615" s="29" t="s">
        <v>348</v>
      </c>
      <c r="C615" s="18">
        <v>45452</v>
      </c>
      <c r="D615" s="1" t="s">
        <v>71</v>
      </c>
      <c r="E615" s="1" t="s">
        <v>22</v>
      </c>
      <c r="F615" s="1">
        <v>10</v>
      </c>
      <c r="G615" s="1">
        <v>7</v>
      </c>
      <c r="H615" s="1">
        <f t="shared" si="9"/>
        <v>17</v>
      </c>
      <c r="I615" s="5">
        <f t="shared" ca="1" si="10"/>
        <v>14.7</v>
      </c>
    </row>
    <row r="616" spans="1:9" x14ac:dyDescent="0.25">
      <c r="A616" s="2">
        <f t="shared" ca="1" si="8"/>
        <v>137</v>
      </c>
      <c r="B616" s="29" t="s">
        <v>128</v>
      </c>
      <c r="C616" s="18">
        <v>44346</v>
      </c>
      <c r="D616" s="1" t="s">
        <v>72</v>
      </c>
      <c r="E616" s="1" t="s">
        <v>22</v>
      </c>
      <c r="F616" s="1">
        <v>14</v>
      </c>
      <c r="G616" s="1">
        <v>6</v>
      </c>
      <c r="H616" s="1">
        <f t="shared" si="9"/>
        <v>20</v>
      </c>
      <c r="I616" s="5">
        <f t="shared" ca="1" si="10"/>
        <v>14.7</v>
      </c>
    </row>
    <row r="617" spans="1:9" x14ac:dyDescent="0.25">
      <c r="A617" s="2">
        <f t="shared" ca="1" si="8"/>
        <v>137</v>
      </c>
      <c r="B617" s="1" t="s">
        <v>282</v>
      </c>
      <c r="C617" s="18">
        <v>45067</v>
      </c>
      <c r="D617" s="1" t="s">
        <v>69</v>
      </c>
      <c r="E617" s="1" t="s">
        <v>22</v>
      </c>
      <c r="F617" s="1">
        <v>12</v>
      </c>
      <c r="G617" s="1">
        <v>6</v>
      </c>
      <c r="H617" s="1">
        <f t="shared" si="9"/>
        <v>18</v>
      </c>
      <c r="I617" s="5">
        <f t="shared" ca="1" si="10"/>
        <v>14.7</v>
      </c>
    </row>
    <row r="618" spans="1:9" x14ac:dyDescent="0.25">
      <c r="A618" s="2">
        <f t="shared" ca="1" si="8"/>
        <v>140</v>
      </c>
      <c r="B618" s="1" t="s">
        <v>122</v>
      </c>
      <c r="C618" s="18">
        <v>44325</v>
      </c>
      <c r="D618" s="1" t="s">
        <v>68</v>
      </c>
      <c r="E618" s="1" t="s">
        <v>22</v>
      </c>
      <c r="F618" s="1">
        <v>14</v>
      </c>
      <c r="G618" s="1">
        <v>6</v>
      </c>
      <c r="H618" s="1">
        <f t="shared" si="9"/>
        <v>20</v>
      </c>
      <c r="I618" s="5">
        <f t="shared" ca="1" si="10"/>
        <v>14.6</v>
      </c>
    </row>
    <row r="619" spans="1:9" x14ac:dyDescent="0.25">
      <c r="A619" s="2">
        <f t="shared" ca="1" si="8"/>
        <v>140</v>
      </c>
      <c r="B619" s="29" t="s">
        <v>279</v>
      </c>
      <c r="C619" s="18">
        <v>45046</v>
      </c>
      <c r="D619" s="1" t="s">
        <v>71</v>
      </c>
      <c r="E619" s="1" t="s">
        <v>22</v>
      </c>
      <c r="F619" s="1">
        <v>12</v>
      </c>
      <c r="G619" s="1">
        <v>6</v>
      </c>
      <c r="H619" s="1">
        <f t="shared" si="9"/>
        <v>18</v>
      </c>
      <c r="I619" s="5">
        <f t="shared" ca="1" si="10"/>
        <v>14.6</v>
      </c>
    </row>
    <row r="620" spans="1:9" x14ac:dyDescent="0.25">
      <c r="A620" s="2">
        <f t="shared" ca="1" si="8"/>
        <v>142</v>
      </c>
      <c r="B620" s="29" t="s">
        <v>419</v>
      </c>
      <c r="C620" s="18">
        <v>45739</v>
      </c>
      <c r="D620" s="1" t="s">
        <v>68</v>
      </c>
      <c r="E620" s="1" t="s">
        <v>22</v>
      </c>
      <c r="F620" s="1">
        <v>11</v>
      </c>
      <c r="G620" s="1">
        <v>5</v>
      </c>
      <c r="H620" s="1">
        <f t="shared" si="9"/>
        <v>16</v>
      </c>
      <c r="I620" s="5">
        <f t="shared" ca="1" si="10"/>
        <v>14.5</v>
      </c>
    </row>
    <row r="621" spans="1:9" x14ac:dyDescent="0.25">
      <c r="A621" s="2">
        <f t="shared" ca="1" si="8"/>
        <v>142</v>
      </c>
      <c r="B621" s="1" t="s">
        <v>415</v>
      </c>
      <c r="C621" s="18">
        <v>45732</v>
      </c>
      <c r="D621" s="1" t="s">
        <v>73</v>
      </c>
      <c r="E621" s="1" t="s">
        <v>22</v>
      </c>
      <c r="F621" s="1">
        <v>10</v>
      </c>
      <c r="G621" s="1">
        <v>6</v>
      </c>
      <c r="H621" s="1">
        <f t="shared" si="9"/>
        <v>16</v>
      </c>
      <c r="I621" s="5">
        <f t="shared" ca="1" si="10"/>
        <v>14.5</v>
      </c>
    </row>
    <row r="622" spans="1:9" x14ac:dyDescent="0.25">
      <c r="A622" s="2">
        <f t="shared" ca="1" si="8"/>
        <v>144</v>
      </c>
      <c r="B622" s="1" t="s">
        <v>409</v>
      </c>
      <c r="C622" s="18">
        <v>45690</v>
      </c>
      <c r="D622" s="1" t="s">
        <v>149</v>
      </c>
      <c r="E622" s="1" t="s">
        <v>22</v>
      </c>
      <c r="F622" s="1">
        <v>10</v>
      </c>
      <c r="G622" s="1">
        <v>6</v>
      </c>
      <c r="H622" s="1">
        <f t="shared" si="9"/>
        <v>16</v>
      </c>
      <c r="I622" s="5">
        <f t="shared" ca="1" si="10"/>
        <v>14.4</v>
      </c>
    </row>
    <row r="623" spans="1:9" x14ac:dyDescent="0.25">
      <c r="A623" s="2">
        <f t="shared" ca="1" si="8"/>
        <v>145</v>
      </c>
      <c r="B623" s="29" t="s">
        <v>327</v>
      </c>
      <c r="C623" s="18">
        <v>45312</v>
      </c>
      <c r="D623" s="1" t="s">
        <v>149</v>
      </c>
      <c r="E623" s="1" t="s">
        <v>22</v>
      </c>
      <c r="F623" s="1">
        <v>11</v>
      </c>
      <c r="G623" s="1">
        <v>6</v>
      </c>
      <c r="H623" s="1">
        <f t="shared" si="9"/>
        <v>17</v>
      </c>
      <c r="I623" s="5">
        <f t="shared" ca="1" si="10"/>
        <v>14.3</v>
      </c>
    </row>
    <row r="624" spans="1:9" x14ac:dyDescent="0.25">
      <c r="A624" s="2">
        <f t="shared" ca="1" si="8"/>
        <v>145</v>
      </c>
      <c r="B624" s="1" t="s">
        <v>186</v>
      </c>
      <c r="C624" s="18">
        <v>44577</v>
      </c>
      <c r="D624" s="1" t="s">
        <v>70</v>
      </c>
      <c r="E624" s="1" t="s">
        <v>22</v>
      </c>
      <c r="F624" s="1">
        <v>13</v>
      </c>
      <c r="G624" s="1">
        <v>6</v>
      </c>
      <c r="H624" s="1">
        <f t="shared" si="9"/>
        <v>19</v>
      </c>
      <c r="I624" s="5">
        <f t="shared" ca="1" si="10"/>
        <v>14.3</v>
      </c>
    </row>
    <row r="625" spans="1:9" x14ac:dyDescent="0.25">
      <c r="A625" s="2">
        <f t="shared" ca="1" si="8"/>
        <v>145</v>
      </c>
      <c r="B625" s="29" t="s">
        <v>479</v>
      </c>
      <c r="C625" s="18">
        <v>46026</v>
      </c>
      <c r="D625" s="1" t="s">
        <v>67</v>
      </c>
      <c r="E625" s="1" t="s">
        <v>22</v>
      </c>
      <c r="F625" s="1">
        <v>10</v>
      </c>
      <c r="G625" s="1">
        <v>5</v>
      </c>
      <c r="H625" s="1">
        <f t="shared" si="9"/>
        <v>15</v>
      </c>
      <c r="I625" s="5">
        <f t="shared" ca="1" si="10"/>
        <v>14.3</v>
      </c>
    </row>
    <row r="626" spans="1:9" x14ac:dyDescent="0.25">
      <c r="A626" s="2">
        <f t="shared" ca="1" si="8"/>
        <v>145</v>
      </c>
      <c r="B626" s="29" t="s">
        <v>86</v>
      </c>
      <c r="C626" s="18">
        <v>44185</v>
      </c>
      <c r="D626" s="1" t="s">
        <v>69</v>
      </c>
      <c r="E626" s="1" t="s">
        <v>22</v>
      </c>
      <c r="F626" s="1">
        <v>13</v>
      </c>
      <c r="G626" s="1">
        <v>7</v>
      </c>
      <c r="H626" s="1">
        <f t="shared" si="9"/>
        <v>20</v>
      </c>
      <c r="I626" s="5">
        <f t="shared" ca="1" si="10"/>
        <v>14.3</v>
      </c>
    </row>
    <row r="627" spans="1:9" x14ac:dyDescent="0.25">
      <c r="A627" s="2">
        <f t="shared" ca="1" si="8"/>
        <v>149</v>
      </c>
      <c r="B627" s="1" t="s">
        <v>476</v>
      </c>
      <c r="C627" s="18">
        <v>46005</v>
      </c>
      <c r="D627" s="1" t="s">
        <v>75</v>
      </c>
      <c r="E627" s="1" t="s">
        <v>22</v>
      </c>
      <c r="F627" s="1">
        <v>9</v>
      </c>
      <c r="G627" s="1">
        <v>6</v>
      </c>
      <c r="H627" s="1">
        <f t="shared" si="9"/>
        <v>15</v>
      </c>
      <c r="I627" s="5">
        <f t="shared" ca="1" si="10"/>
        <v>14.2</v>
      </c>
    </row>
    <row r="628" spans="1:9" x14ac:dyDescent="0.25">
      <c r="A628" s="2">
        <f t="shared" ca="1" si="8"/>
        <v>149</v>
      </c>
      <c r="B628" s="1" t="s">
        <v>178</v>
      </c>
      <c r="C628" s="18">
        <v>44521</v>
      </c>
      <c r="D628" s="1" t="s">
        <v>74</v>
      </c>
      <c r="E628" s="1" t="s">
        <v>22</v>
      </c>
      <c r="F628" s="1">
        <v>14</v>
      </c>
      <c r="G628" s="1">
        <v>5</v>
      </c>
      <c r="H628" s="1">
        <f t="shared" si="9"/>
        <v>19</v>
      </c>
      <c r="I628" s="5">
        <f t="shared" ca="1" si="10"/>
        <v>14.2</v>
      </c>
    </row>
    <row r="629" spans="1:9" x14ac:dyDescent="0.25">
      <c r="A629" s="2">
        <f t="shared" ca="1" si="8"/>
        <v>149</v>
      </c>
      <c r="B629" s="1" t="s">
        <v>387</v>
      </c>
      <c r="C629" s="18">
        <v>45613</v>
      </c>
      <c r="D629" s="1" t="s">
        <v>154</v>
      </c>
      <c r="E629" s="1" t="s">
        <v>22</v>
      </c>
      <c r="F629" s="1">
        <v>11</v>
      </c>
      <c r="G629" s="1">
        <v>5</v>
      </c>
      <c r="H629" s="1">
        <f t="shared" si="9"/>
        <v>16</v>
      </c>
      <c r="I629" s="5">
        <f t="shared" ca="1" si="10"/>
        <v>14.2</v>
      </c>
    </row>
    <row r="630" spans="1:9" x14ac:dyDescent="0.25">
      <c r="A630" s="2">
        <f t="shared" ca="1" si="8"/>
        <v>152</v>
      </c>
      <c r="B630" s="1" t="s">
        <v>174</v>
      </c>
      <c r="C630" s="18">
        <v>44507</v>
      </c>
      <c r="D630" s="1" t="s">
        <v>71</v>
      </c>
      <c r="E630" s="1" t="s">
        <v>22</v>
      </c>
      <c r="F630" s="1">
        <v>14</v>
      </c>
      <c r="G630" s="1">
        <v>5</v>
      </c>
      <c r="H630" s="1">
        <f t="shared" si="9"/>
        <v>19</v>
      </c>
      <c r="I630" s="5">
        <f t="shared" ca="1" si="10"/>
        <v>14.1</v>
      </c>
    </row>
    <row r="631" spans="1:9" x14ac:dyDescent="0.25">
      <c r="A631" s="2">
        <f t="shared" ca="1" si="8"/>
        <v>152</v>
      </c>
      <c r="B631" s="1" t="s">
        <v>171</v>
      </c>
      <c r="C631" s="18">
        <v>44493</v>
      </c>
      <c r="D631" s="1" t="s">
        <v>149</v>
      </c>
      <c r="E631" s="1" t="s">
        <v>22</v>
      </c>
      <c r="F631" s="1">
        <v>14</v>
      </c>
      <c r="G631" s="1">
        <v>5</v>
      </c>
      <c r="H631" s="1">
        <f t="shared" si="9"/>
        <v>19</v>
      </c>
      <c r="I631" s="5">
        <f t="shared" ca="1" si="10"/>
        <v>14.1</v>
      </c>
    </row>
    <row r="632" spans="1:9" x14ac:dyDescent="0.25">
      <c r="A632" s="2">
        <f t="shared" ca="1" si="8"/>
        <v>152</v>
      </c>
      <c r="B632" s="1" t="s">
        <v>275</v>
      </c>
      <c r="C632" s="18">
        <v>45220</v>
      </c>
      <c r="D632" s="1" t="s">
        <v>309</v>
      </c>
      <c r="E632" s="1" t="s">
        <v>22</v>
      </c>
      <c r="F632" s="1">
        <v>11</v>
      </c>
      <c r="G632" s="1">
        <v>6</v>
      </c>
      <c r="H632" s="1">
        <f t="shared" si="9"/>
        <v>17</v>
      </c>
      <c r="I632" s="5">
        <f t="shared" ca="1" si="10"/>
        <v>14.1</v>
      </c>
    </row>
    <row r="633" spans="1:9" x14ac:dyDescent="0.25">
      <c r="A633" s="2">
        <f t="shared" ca="1" si="8"/>
        <v>152</v>
      </c>
      <c r="B633" s="29" t="s">
        <v>49</v>
      </c>
      <c r="C633" s="18">
        <v>45220</v>
      </c>
      <c r="D633" s="1" t="s">
        <v>149</v>
      </c>
      <c r="E633" s="1" t="s">
        <v>22</v>
      </c>
      <c r="F633" s="1">
        <v>12</v>
      </c>
      <c r="G633" s="1">
        <v>5</v>
      </c>
      <c r="H633" s="1">
        <f t="shared" si="9"/>
        <v>17</v>
      </c>
      <c r="I633" s="5">
        <f t="shared" ca="1" si="10"/>
        <v>14.1</v>
      </c>
    </row>
    <row r="634" spans="1:9" x14ac:dyDescent="0.25">
      <c r="A634" s="2">
        <f t="shared" ca="1" si="8"/>
        <v>152</v>
      </c>
      <c r="B634" s="29" t="s">
        <v>50</v>
      </c>
      <c r="C634" s="18">
        <v>45220</v>
      </c>
      <c r="D634" s="1" t="s">
        <v>149</v>
      </c>
      <c r="E634" s="1" t="s">
        <v>22</v>
      </c>
      <c r="F634" s="1">
        <v>12</v>
      </c>
      <c r="G634" s="1">
        <v>5</v>
      </c>
      <c r="H634" s="1">
        <f t="shared" si="9"/>
        <v>17</v>
      </c>
      <c r="I634" s="5">
        <f t="shared" ca="1" si="10"/>
        <v>14.1</v>
      </c>
    </row>
    <row r="635" spans="1:9" x14ac:dyDescent="0.25">
      <c r="A635" s="2">
        <f t="shared" ca="1" si="8"/>
        <v>152</v>
      </c>
      <c r="B635" s="1" t="s">
        <v>167</v>
      </c>
      <c r="C635" s="18">
        <v>44479</v>
      </c>
      <c r="D635" s="1" t="s">
        <v>72</v>
      </c>
      <c r="E635" s="1" t="s">
        <v>22</v>
      </c>
      <c r="F635" s="1">
        <v>13</v>
      </c>
      <c r="G635" s="1">
        <v>6</v>
      </c>
      <c r="H635" s="1">
        <f t="shared" si="9"/>
        <v>19</v>
      </c>
      <c r="I635" s="5">
        <f t="shared" ca="1" si="10"/>
        <v>14.1</v>
      </c>
    </row>
    <row r="636" spans="1:9" x14ac:dyDescent="0.25">
      <c r="A636" s="2">
        <f t="shared" ca="1" si="8"/>
        <v>158</v>
      </c>
      <c r="B636" s="1" t="s">
        <v>55</v>
      </c>
      <c r="C636" s="18">
        <v>44451</v>
      </c>
      <c r="D636" s="1" t="s">
        <v>74</v>
      </c>
      <c r="E636" s="1" t="s">
        <v>22</v>
      </c>
      <c r="F636" s="1">
        <v>13</v>
      </c>
      <c r="G636" s="1">
        <v>6</v>
      </c>
      <c r="H636" s="1">
        <f t="shared" si="9"/>
        <v>19</v>
      </c>
      <c r="I636" s="5">
        <f t="shared" ca="1" si="10"/>
        <v>14</v>
      </c>
    </row>
    <row r="637" spans="1:9" x14ac:dyDescent="0.25">
      <c r="A637" s="2">
        <f t="shared" ca="1" si="8"/>
        <v>159</v>
      </c>
      <c r="B637" s="1" t="s">
        <v>139</v>
      </c>
      <c r="C637" s="18">
        <v>44409</v>
      </c>
      <c r="D637" s="1" t="s">
        <v>69</v>
      </c>
      <c r="E637" s="1" t="s">
        <v>22</v>
      </c>
      <c r="F637" s="1">
        <v>13</v>
      </c>
      <c r="G637" s="1">
        <v>6</v>
      </c>
      <c r="H637" s="1">
        <f t="shared" si="9"/>
        <v>19</v>
      </c>
      <c r="I637" s="5">
        <f t="shared" ca="1" si="10"/>
        <v>13.9</v>
      </c>
    </row>
    <row r="638" spans="1:9" x14ac:dyDescent="0.25">
      <c r="A638" s="2">
        <f t="shared" ca="1" si="8"/>
        <v>160</v>
      </c>
      <c r="B638" s="1" t="s">
        <v>295</v>
      </c>
      <c r="C638" s="18">
        <v>45130</v>
      </c>
      <c r="D638" s="1" t="s">
        <v>69</v>
      </c>
      <c r="E638" s="1" t="s">
        <v>22</v>
      </c>
      <c r="F638" s="1">
        <v>13</v>
      </c>
      <c r="G638" s="1">
        <v>4</v>
      </c>
      <c r="H638" s="1">
        <f t="shared" si="9"/>
        <v>17</v>
      </c>
      <c r="I638" s="5">
        <f t="shared" ca="1" si="10"/>
        <v>13.8</v>
      </c>
    </row>
    <row r="639" spans="1:9" x14ac:dyDescent="0.25">
      <c r="A639" s="2">
        <f t="shared" ca="1" si="8"/>
        <v>160</v>
      </c>
      <c r="B639" s="29" t="s">
        <v>225</v>
      </c>
      <c r="C639" s="18">
        <v>44752</v>
      </c>
      <c r="D639" s="1" t="s">
        <v>71</v>
      </c>
      <c r="E639" s="1" t="s">
        <v>22</v>
      </c>
      <c r="F639" s="1">
        <v>13</v>
      </c>
      <c r="G639" s="1">
        <v>5</v>
      </c>
      <c r="H639" s="1">
        <f t="shared" si="9"/>
        <v>18</v>
      </c>
      <c r="I639" s="5">
        <f t="shared" ca="1" si="10"/>
        <v>13.8</v>
      </c>
    </row>
    <row r="640" spans="1:9" x14ac:dyDescent="0.25">
      <c r="A640" s="2">
        <f t="shared" ca="1" si="8"/>
        <v>160</v>
      </c>
      <c r="B640" s="29" t="s">
        <v>220</v>
      </c>
      <c r="C640" s="18">
        <v>44738</v>
      </c>
      <c r="D640" s="1" t="s">
        <v>69</v>
      </c>
      <c r="E640" s="1" t="s">
        <v>22</v>
      </c>
      <c r="F640" s="1">
        <v>11</v>
      </c>
      <c r="G640" s="1">
        <v>7</v>
      </c>
      <c r="H640" s="1">
        <f t="shared" si="9"/>
        <v>18</v>
      </c>
      <c r="I640" s="5">
        <f t="shared" ca="1" si="10"/>
        <v>13.8</v>
      </c>
    </row>
    <row r="641" spans="1:9" x14ac:dyDescent="0.25">
      <c r="A641" s="2">
        <f t="shared" ca="1" si="8"/>
        <v>160</v>
      </c>
      <c r="B641" s="1" t="s">
        <v>133</v>
      </c>
      <c r="C641" s="18">
        <v>44367</v>
      </c>
      <c r="D641" s="1" t="s">
        <v>74</v>
      </c>
      <c r="E641" s="1" t="s">
        <v>22</v>
      </c>
      <c r="F641" s="1">
        <v>13</v>
      </c>
      <c r="G641" s="1">
        <v>6</v>
      </c>
      <c r="H641" s="1">
        <f t="shared" si="9"/>
        <v>19</v>
      </c>
      <c r="I641" s="5">
        <f t="shared" ca="1" si="10"/>
        <v>13.8</v>
      </c>
    </row>
    <row r="642" spans="1:9" x14ac:dyDescent="0.25">
      <c r="A642" s="2">
        <f t="shared" ca="1" si="8"/>
        <v>164</v>
      </c>
      <c r="B642" s="29" t="s">
        <v>213</v>
      </c>
      <c r="C642" s="18">
        <v>44710</v>
      </c>
      <c r="D642" s="1" t="s">
        <v>68</v>
      </c>
      <c r="E642" s="1" t="s">
        <v>22</v>
      </c>
      <c r="F642" s="1">
        <v>12</v>
      </c>
      <c r="G642" s="1">
        <v>6</v>
      </c>
      <c r="H642" s="1">
        <f t="shared" si="9"/>
        <v>18</v>
      </c>
      <c r="I642" s="5">
        <f t="shared" ca="1" si="10"/>
        <v>13.7</v>
      </c>
    </row>
    <row r="643" spans="1:9" x14ac:dyDescent="0.25">
      <c r="A643" s="2">
        <f t="shared" ca="1" si="8"/>
        <v>165</v>
      </c>
      <c r="B643" s="29" t="s">
        <v>426</v>
      </c>
      <c r="C643" s="18">
        <v>45774</v>
      </c>
      <c r="D643" s="1" t="s">
        <v>470</v>
      </c>
      <c r="E643" s="1" t="s">
        <v>22</v>
      </c>
      <c r="F643" s="1">
        <v>6</v>
      </c>
      <c r="G643" s="1">
        <v>9</v>
      </c>
      <c r="H643" s="1">
        <f t="shared" si="9"/>
        <v>15</v>
      </c>
      <c r="I643" s="5">
        <f t="shared" ca="1" si="10"/>
        <v>13.6</v>
      </c>
    </row>
    <row r="644" spans="1:9" x14ac:dyDescent="0.25">
      <c r="A644" s="2">
        <f t="shared" ca="1" si="8"/>
        <v>165</v>
      </c>
      <c r="B644" s="1" t="s">
        <v>505</v>
      </c>
      <c r="C644" s="18">
        <v>46124</v>
      </c>
      <c r="D644" s="1" t="s">
        <v>378</v>
      </c>
      <c r="E644" s="1" t="s">
        <v>22</v>
      </c>
      <c r="F644" s="1">
        <v>10</v>
      </c>
      <c r="G644" s="1">
        <v>4</v>
      </c>
      <c r="H644" s="1">
        <f t="shared" si="9"/>
        <v>14</v>
      </c>
      <c r="I644" s="5">
        <f t="shared" ca="1" si="10"/>
        <v>13.6</v>
      </c>
    </row>
    <row r="645" spans="1:9" x14ac:dyDescent="0.25">
      <c r="A645" s="2">
        <f t="shared" ca="1" si="8"/>
        <v>165</v>
      </c>
      <c r="B645" s="1" t="s">
        <v>422</v>
      </c>
      <c r="C645" s="18">
        <v>45753</v>
      </c>
      <c r="D645" s="1" t="s">
        <v>73</v>
      </c>
      <c r="E645" s="1" t="s">
        <v>22</v>
      </c>
      <c r="F645" s="1">
        <v>10</v>
      </c>
      <c r="G645" s="1">
        <v>5</v>
      </c>
      <c r="H645" s="1">
        <f t="shared" si="9"/>
        <v>15</v>
      </c>
      <c r="I645" s="5">
        <f t="shared" ca="1" si="10"/>
        <v>13.6</v>
      </c>
    </row>
    <row r="646" spans="1:9" x14ac:dyDescent="0.25">
      <c r="A646" s="2">
        <f t="shared" ca="1" si="8"/>
        <v>168</v>
      </c>
      <c r="B646" s="1" t="s">
        <v>58</v>
      </c>
      <c r="C646" s="18">
        <v>45011</v>
      </c>
      <c r="D646" s="1" t="s">
        <v>68</v>
      </c>
      <c r="E646" s="1" t="s">
        <v>22</v>
      </c>
      <c r="F646" s="1">
        <v>10</v>
      </c>
      <c r="G646" s="1">
        <v>7</v>
      </c>
      <c r="H646" s="1">
        <f t="shared" si="9"/>
        <v>17</v>
      </c>
      <c r="I646" s="5">
        <f t="shared" ca="1" si="10"/>
        <v>13.5</v>
      </c>
    </row>
    <row r="647" spans="1:9" x14ac:dyDescent="0.25">
      <c r="A647" s="2">
        <f t="shared" ca="1" si="8"/>
        <v>168</v>
      </c>
      <c r="B647" s="1" t="s">
        <v>203</v>
      </c>
      <c r="C647" s="18">
        <v>44640</v>
      </c>
      <c r="D647" s="1" t="s">
        <v>149</v>
      </c>
      <c r="E647" s="1" t="s">
        <v>22</v>
      </c>
      <c r="F647" s="1">
        <v>11</v>
      </c>
      <c r="G647" s="1">
        <v>7</v>
      </c>
      <c r="H647" s="1">
        <f t="shared" si="9"/>
        <v>18</v>
      </c>
      <c r="I647" s="5">
        <f t="shared" ca="1" si="10"/>
        <v>13.5</v>
      </c>
    </row>
    <row r="648" spans="1:9" x14ac:dyDescent="0.25">
      <c r="A648" s="2">
        <f t="shared" ca="1" si="8"/>
        <v>170</v>
      </c>
      <c r="B648" s="29" t="s">
        <v>105</v>
      </c>
      <c r="C648" s="18">
        <v>43874</v>
      </c>
      <c r="D648" s="1" t="s">
        <v>69</v>
      </c>
      <c r="E648" s="1" t="s">
        <v>22</v>
      </c>
      <c r="F648" s="1">
        <v>14</v>
      </c>
      <c r="G648" s="1">
        <v>6</v>
      </c>
      <c r="H648" s="1">
        <f t="shared" si="9"/>
        <v>20</v>
      </c>
      <c r="I648" s="5">
        <f t="shared" ca="1" si="10"/>
        <v>13.4</v>
      </c>
    </row>
    <row r="649" spans="1:9" x14ac:dyDescent="0.25">
      <c r="A649" s="2">
        <f t="shared" ca="1" si="8"/>
        <v>170</v>
      </c>
      <c r="B649" s="1" t="s">
        <v>191</v>
      </c>
      <c r="C649" s="18">
        <v>44591</v>
      </c>
      <c r="D649" s="1" t="s">
        <v>69</v>
      </c>
      <c r="E649" s="1" t="s">
        <v>22</v>
      </c>
      <c r="F649" s="1">
        <v>12</v>
      </c>
      <c r="G649" s="1">
        <v>6</v>
      </c>
      <c r="H649" s="1">
        <f t="shared" si="9"/>
        <v>18</v>
      </c>
      <c r="I649" s="5">
        <f t="shared" ca="1" si="10"/>
        <v>13.4</v>
      </c>
    </row>
    <row r="650" spans="1:9" x14ac:dyDescent="0.25">
      <c r="A650" s="2">
        <f t="shared" ca="1" si="8"/>
        <v>172</v>
      </c>
      <c r="B650" s="29" t="s">
        <v>87</v>
      </c>
      <c r="C650" s="18">
        <v>43832</v>
      </c>
      <c r="D650" s="1" t="s">
        <v>69</v>
      </c>
      <c r="E650" s="1" t="s">
        <v>22</v>
      </c>
      <c r="F650" s="1">
        <v>13</v>
      </c>
      <c r="G650" s="1">
        <v>7</v>
      </c>
      <c r="H650" s="1">
        <f t="shared" si="9"/>
        <v>20</v>
      </c>
      <c r="I650" s="5">
        <f t="shared" ca="1" si="10"/>
        <v>13.3</v>
      </c>
    </row>
    <row r="651" spans="1:9" x14ac:dyDescent="0.25">
      <c r="A651" s="2">
        <f t="shared" ca="1" si="8"/>
        <v>172</v>
      </c>
      <c r="B651" s="29" t="s">
        <v>257</v>
      </c>
      <c r="C651" s="18">
        <v>44913</v>
      </c>
      <c r="D651" s="1" t="s">
        <v>69</v>
      </c>
      <c r="E651" s="1" t="s">
        <v>22</v>
      </c>
      <c r="F651" s="1">
        <v>11</v>
      </c>
      <c r="G651" s="1">
        <v>6</v>
      </c>
      <c r="H651" s="1">
        <f t="shared" si="9"/>
        <v>17</v>
      </c>
      <c r="I651" s="5">
        <f t="shared" ca="1" si="10"/>
        <v>13.3</v>
      </c>
    </row>
    <row r="652" spans="1:9" x14ac:dyDescent="0.25">
      <c r="A652" s="2">
        <f t="shared" ca="1" si="8"/>
        <v>174</v>
      </c>
      <c r="B652" s="29" t="s">
        <v>312</v>
      </c>
      <c r="C652" s="18">
        <v>45242</v>
      </c>
      <c r="D652" s="1" t="s">
        <v>266</v>
      </c>
      <c r="E652" s="1" t="s">
        <v>22</v>
      </c>
      <c r="F652" s="1">
        <v>13</v>
      </c>
      <c r="G652" s="1">
        <v>3</v>
      </c>
      <c r="H652" s="1">
        <f t="shared" si="9"/>
        <v>16</v>
      </c>
      <c r="I652" s="5">
        <f t="shared" ca="1" si="10"/>
        <v>13.2</v>
      </c>
    </row>
    <row r="653" spans="1:9" x14ac:dyDescent="0.25">
      <c r="A653" s="2">
        <f t="shared" ca="1" si="8"/>
        <v>175</v>
      </c>
      <c r="B653" s="1" t="s">
        <v>206</v>
      </c>
      <c r="C653" s="18">
        <v>45220</v>
      </c>
      <c r="D653" s="1" t="s">
        <v>308</v>
      </c>
      <c r="E653" s="1" t="s">
        <v>22</v>
      </c>
      <c r="F653" s="1">
        <v>10</v>
      </c>
      <c r="G653" s="1">
        <v>6</v>
      </c>
      <c r="H653" s="1">
        <f t="shared" si="9"/>
        <v>16</v>
      </c>
      <c r="I653" s="5">
        <f t="shared" ca="1" si="10"/>
        <v>13.1</v>
      </c>
    </row>
    <row r="654" spans="1:9" x14ac:dyDescent="0.25">
      <c r="A654" s="2">
        <f t="shared" ca="1" si="8"/>
        <v>175</v>
      </c>
      <c r="B654" s="1" t="s">
        <v>166</v>
      </c>
      <c r="C654" s="18">
        <v>44479</v>
      </c>
      <c r="D654" s="1" t="s">
        <v>68</v>
      </c>
      <c r="E654" s="1" t="s">
        <v>22</v>
      </c>
      <c r="F654" s="1">
        <v>14</v>
      </c>
      <c r="G654" s="1">
        <v>4</v>
      </c>
      <c r="H654" s="1">
        <f t="shared" si="9"/>
        <v>18</v>
      </c>
      <c r="I654" s="5">
        <f t="shared" ca="1" si="10"/>
        <v>13.1</v>
      </c>
    </row>
    <row r="655" spans="1:9" x14ac:dyDescent="0.25">
      <c r="A655" s="2">
        <f t="shared" ca="1" si="8"/>
        <v>177</v>
      </c>
      <c r="B655" s="1" t="s">
        <v>158</v>
      </c>
      <c r="C655" s="18">
        <v>44451</v>
      </c>
      <c r="D655" s="1" t="s">
        <v>154</v>
      </c>
      <c r="E655" s="1" t="s">
        <v>22</v>
      </c>
      <c r="F655" s="1">
        <v>12</v>
      </c>
      <c r="G655" s="1">
        <v>6</v>
      </c>
      <c r="H655" s="1">
        <f t="shared" si="9"/>
        <v>18</v>
      </c>
      <c r="I655" s="5">
        <f t="shared" ca="1" si="10"/>
        <v>13</v>
      </c>
    </row>
    <row r="656" spans="1:9" x14ac:dyDescent="0.25">
      <c r="A656" s="2">
        <f t="shared" ca="1" si="8"/>
        <v>178</v>
      </c>
      <c r="B656" s="1" t="s">
        <v>450</v>
      </c>
      <c r="C656" s="18">
        <v>45872</v>
      </c>
      <c r="D656" s="1" t="s">
        <v>149</v>
      </c>
      <c r="E656" s="1" t="s">
        <v>22</v>
      </c>
      <c r="F656" s="1">
        <v>10</v>
      </c>
      <c r="G656" s="1">
        <v>4</v>
      </c>
      <c r="H656" s="1">
        <f t="shared" si="9"/>
        <v>14</v>
      </c>
      <c r="I656" s="5">
        <f t="shared" ca="1" si="10"/>
        <v>12.9</v>
      </c>
    </row>
    <row r="657" spans="1:9" x14ac:dyDescent="0.25">
      <c r="A657" s="2">
        <f t="shared" ca="1" si="8"/>
        <v>178</v>
      </c>
      <c r="B657" s="1" t="s">
        <v>23</v>
      </c>
      <c r="C657" s="18">
        <v>44409</v>
      </c>
      <c r="D657" s="1" t="s">
        <v>69</v>
      </c>
      <c r="E657" s="1" t="s">
        <v>22</v>
      </c>
      <c r="F657" s="1">
        <v>12</v>
      </c>
      <c r="G657" s="1">
        <v>6</v>
      </c>
      <c r="H657" s="1">
        <f t="shared" si="9"/>
        <v>18</v>
      </c>
      <c r="I657" s="5">
        <f t="shared" ca="1" si="10"/>
        <v>12.9</v>
      </c>
    </row>
    <row r="658" spans="1:9" x14ac:dyDescent="0.25">
      <c r="A658" s="2">
        <f t="shared" ca="1" si="8"/>
        <v>180</v>
      </c>
      <c r="B658" s="1" t="s">
        <v>447</v>
      </c>
      <c r="C658" s="18">
        <v>45858</v>
      </c>
      <c r="D658" s="1" t="s">
        <v>368</v>
      </c>
      <c r="E658" s="1" t="s">
        <v>22</v>
      </c>
      <c r="F658" s="1">
        <v>10</v>
      </c>
      <c r="G658" s="1">
        <v>4</v>
      </c>
      <c r="H658" s="1">
        <f t="shared" si="9"/>
        <v>14</v>
      </c>
      <c r="I658" s="5">
        <f t="shared" ca="1" si="10"/>
        <v>12.8</v>
      </c>
    </row>
    <row r="659" spans="1:9" x14ac:dyDescent="0.25">
      <c r="A659" s="2">
        <f t="shared" ca="1" si="8"/>
        <v>180</v>
      </c>
      <c r="B659" s="1" t="s">
        <v>291</v>
      </c>
      <c r="C659" s="18">
        <v>45102</v>
      </c>
      <c r="D659" s="1" t="s">
        <v>236</v>
      </c>
      <c r="E659" s="1" t="s">
        <v>22</v>
      </c>
      <c r="F659" s="1">
        <v>11</v>
      </c>
      <c r="G659" s="1">
        <v>5</v>
      </c>
      <c r="H659" s="1">
        <f t="shared" si="9"/>
        <v>16</v>
      </c>
      <c r="I659" s="5">
        <f t="shared" ca="1" si="10"/>
        <v>12.8</v>
      </c>
    </row>
    <row r="660" spans="1:9" x14ac:dyDescent="0.25">
      <c r="A660" s="2">
        <f t="shared" ca="1" si="8"/>
        <v>182</v>
      </c>
      <c r="B660" s="1" t="s">
        <v>286</v>
      </c>
      <c r="C660" s="18">
        <v>45081</v>
      </c>
      <c r="D660" s="1" t="s">
        <v>71</v>
      </c>
      <c r="E660" s="1" t="s">
        <v>22</v>
      </c>
      <c r="F660" s="1">
        <v>11</v>
      </c>
      <c r="G660" s="1">
        <v>5</v>
      </c>
      <c r="H660" s="1">
        <f t="shared" si="9"/>
        <v>16</v>
      </c>
      <c r="I660" s="5">
        <f t="shared" ca="1" si="10"/>
        <v>12.7</v>
      </c>
    </row>
    <row r="661" spans="1:9" x14ac:dyDescent="0.25">
      <c r="A661" s="2">
        <f t="shared" ca="1" si="8"/>
        <v>183</v>
      </c>
      <c r="B661" s="1" t="s">
        <v>421</v>
      </c>
      <c r="C661" s="18">
        <v>45753</v>
      </c>
      <c r="D661" s="1" t="s">
        <v>72</v>
      </c>
      <c r="E661" s="1" t="s">
        <v>22</v>
      </c>
      <c r="F661" s="1">
        <v>10</v>
      </c>
      <c r="G661" s="1">
        <v>4</v>
      </c>
      <c r="H661" s="1">
        <f t="shared" si="9"/>
        <v>14</v>
      </c>
      <c r="I661" s="5">
        <f t="shared" ca="1" si="10"/>
        <v>12.6</v>
      </c>
    </row>
    <row r="662" spans="1:9" x14ac:dyDescent="0.25">
      <c r="A662" s="2">
        <f t="shared" ca="1" si="8"/>
        <v>184</v>
      </c>
      <c r="B662" s="1" t="s">
        <v>335</v>
      </c>
      <c r="C662" s="18">
        <v>45368</v>
      </c>
      <c r="D662" s="1" t="s">
        <v>68</v>
      </c>
      <c r="E662" s="1" t="s">
        <v>22</v>
      </c>
      <c r="F662" s="1">
        <v>10</v>
      </c>
      <c r="G662" s="1">
        <v>5</v>
      </c>
      <c r="H662" s="1">
        <f t="shared" si="9"/>
        <v>15</v>
      </c>
      <c r="I662" s="5">
        <f t="shared" ca="1" si="10"/>
        <v>12.5</v>
      </c>
    </row>
    <row r="663" spans="1:9" x14ac:dyDescent="0.25">
      <c r="A663" s="2">
        <f t="shared" ca="1" si="8"/>
        <v>185</v>
      </c>
      <c r="B663" s="1" t="s">
        <v>96</v>
      </c>
      <c r="C663" s="18">
        <v>44250</v>
      </c>
      <c r="D663" s="1" t="s">
        <v>266</v>
      </c>
      <c r="E663" s="1" t="s">
        <v>22</v>
      </c>
      <c r="F663" s="1">
        <v>13</v>
      </c>
      <c r="G663" s="1">
        <v>5</v>
      </c>
      <c r="H663" s="1">
        <f t="shared" si="9"/>
        <v>18</v>
      </c>
      <c r="I663" s="5">
        <f t="shared" ca="1" si="10"/>
        <v>12.4</v>
      </c>
    </row>
    <row r="664" spans="1:9" x14ac:dyDescent="0.25">
      <c r="A664" s="2">
        <f t="shared" ca="1" si="8"/>
        <v>185</v>
      </c>
      <c r="B664" s="29" t="s">
        <v>331</v>
      </c>
      <c r="C664" s="18">
        <v>45340</v>
      </c>
      <c r="D664" s="1" t="s">
        <v>72</v>
      </c>
      <c r="E664" s="1" t="s">
        <v>22</v>
      </c>
      <c r="F664" s="1">
        <v>9</v>
      </c>
      <c r="G664" s="1">
        <v>6</v>
      </c>
      <c r="H664" s="1">
        <f t="shared" si="9"/>
        <v>15</v>
      </c>
      <c r="I664" s="5">
        <f t="shared" ca="1" si="10"/>
        <v>12.4</v>
      </c>
    </row>
    <row r="665" spans="1:9" x14ac:dyDescent="0.25">
      <c r="A665" s="2">
        <f t="shared" ca="1" si="8"/>
        <v>185</v>
      </c>
      <c r="B665" s="1" t="s">
        <v>268</v>
      </c>
      <c r="C665" s="18">
        <v>44962</v>
      </c>
      <c r="D665" s="1" t="s">
        <v>266</v>
      </c>
      <c r="E665" s="1" t="s">
        <v>22</v>
      </c>
      <c r="F665" s="1">
        <v>11</v>
      </c>
      <c r="G665" s="1">
        <v>5</v>
      </c>
      <c r="H665" s="1">
        <f t="shared" si="9"/>
        <v>16</v>
      </c>
      <c r="I665" s="5">
        <f t="shared" ca="1" si="10"/>
        <v>12.4</v>
      </c>
    </row>
    <row r="666" spans="1:9" x14ac:dyDescent="0.25">
      <c r="A666" s="2">
        <f t="shared" ca="1" si="8"/>
        <v>185</v>
      </c>
      <c r="B666" s="29" t="s">
        <v>486</v>
      </c>
      <c r="C666" s="18">
        <v>46054</v>
      </c>
      <c r="D666" s="1" t="s">
        <v>71</v>
      </c>
      <c r="E666" s="1" t="s">
        <v>22</v>
      </c>
      <c r="F666" s="1">
        <v>8</v>
      </c>
      <c r="G666" s="1">
        <v>5</v>
      </c>
      <c r="H666" s="1">
        <f t="shared" si="9"/>
        <v>13</v>
      </c>
      <c r="I666" s="5">
        <f t="shared" ca="1" si="10"/>
        <v>12.4</v>
      </c>
    </row>
    <row r="667" spans="1:9" x14ac:dyDescent="0.25">
      <c r="A667" s="2">
        <f t="shared" ca="1" si="8"/>
        <v>189</v>
      </c>
      <c r="B667" s="1" t="s">
        <v>405</v>
      </c>
      <c r="C667" s="18">
        <v>45676</v>
      </c>
      <c r="D667" s="1" t="s">
        <v>149</v>
      </c>
      <c r="E667" s="1" t="s">
        <v>22</v>
      </c>
      <c r="F667" s="1">
        <v>10</v>
      </c>
      <c r="G667" s="1">
        <v>4</v>
      </c>
      <c r="H667" s="1">
        <f t="shared" si="9"/>
        <v>14</v>
      </c>
      <c r="I667" s="5">
        <f t="shared" ca="1" si="10"/>
        <v>12.3</v>
      </c>
    </row>
    <row r="668" spans="1:9" x14ac:dyDescent="0.25">
      <c r="A668" s="2">
        <f t="shared" ca="1" si="8"/>
        <v>189</v>
      </c>
      <c r="B668" s="1" t="s">
        <v>396</v>
      </c>
      <c r="C668" s="18">
        <v>45648</v>
      </c>
      <c r="D668" s="1" t="s">
        <v>68</v>
      </c>
      <c r="E668" s="1" t="s">
        <v>22</v>
      </c>
      <c r="F668" s="1">
        <v>8</v>
      </c>
      <c r="G668" s="1">
        <v>6</v>
      </c>
      <c r="H668" s="1">
        <f t="shared" si="9"/>
        <v>14</v>
      </c>
      <c r="I668" s="5">
        <f t="shared" ca="1" si="10"/>
        <v>12.3</v>
      </c>
    </row>
    <row r="669" spans="1:9" x14ac:dyDescent="0.25">
      <c r="A669" s="2">
        <f t="shared" ca="1" si="8"/>
        <v>191</v>
      </c>
      <c r="B669" s="1" t="s">
        <v>320</v>
      </c>
      <c r="C669" s="18">
        <v>45277</v>
      </c>
      <c r="D669" s="1" t="s">
        <v>266</v>
      </c>
      <c r="E669" s="1" t="s">
        <v>22</v>
      </c>
      <c r="F669" s="1">
        <v>9</v>
      </c>
      <c r="G669" s="1">
        <v>6</v>
      </c>
      <c r="H669" s="1">
        <f t="shared" si="9"/>
        <v>15</v>
      </c>
      <c r="I669" s="5">
        <f t="shared" ca="1" si="10"/>
        <v>12.2</v>
      </c>
    </row>
    <row r="670" spans="1:9" x14ac:dyDescent="0.25">
      <c r="A670" s="2">
        <f t="shared" ca="1" si="8"/>
        <v>192</v>
      </c>
      <c r="B670" s="1" t="s">
        <v>208</v>
      </c>
      <c r="C670" s="18">
        <v>45220</v>
      </c>
      <c r="D670" s="1" t="s">
        <v>308</v>
      </c>
      <c r="E670" s="1" t="s">
        <v>22</v>
      </c>
      <c r="F670" s="1">
        <v>10</v>
      </c>
      <c r="G670" s="1">
        <v>5</v>
      </c>
      <c r="H670" s="1">
        <f t="shared" si="9"/>
        <v>15</v>
      </c>
      <c r="I670" s="5">
        <f t="shared" ca="1" si="10"/>
        <v>12.1</v>
      </c>
    </row>
    <row r="671" spans="1:9" x14ac:dyDescent="0.25">
      <c r="A671" s="2">
        <f t="shared" ref="A671:A717" ca="1" si="11">RANK(I671,$I$479:$I$718,0)</f>
        <v>193</v>
      </c>
      <c r="B671" s="1" t="s">
        <v>54</v>
      </c>
      <c r="C671" s="18">
        <v>44451</v>
      </c>
      <c r="D671" s="1" t="s">
        <v>74</v>
      </c>
      <c r="E671" s="1" t="s">
        <v>22</v>
      </c>
      <c r="F671" s="1">
        <v>12</v>
      </c>
      <c r="G671" s="1">
        <v>5</v>
      </c>
      <c r="H671" s="1">
        <f t="shared" ref="H671:H734" si="12">SUM(F671:G671)</f>
        <v>17</v>
      </c>
      <c r="I671" s="5">
        <f t="shared" ref="I671:I717" ca="1" si="13">H671-(ROUNDDOWN((($G$1-C671)/365),1))</f>
        <v>12</v>
      </c>
    </row>
    <row r="672" spans="1:9" x14ac:dyDescent="0.25">
      <c r="A672" s="2">
        <f t="shared" ca="1" si="11"/>
        <v>193</v>
      </c>
      <c r="B672" s="1" t="s">
        <v>157</v>
      </c>
      <c r="C672" s="18">
        <v>44451</v>
      </c>
      <c r="D672" s="1" t="s">
        <v>71</v>
      </c>
      <c r="E672" s="1" t="s">
        <v>22</v>
      </c>
      <c r="F672" s="1">
        <v>12</v>
      </c>
      <c r="G672" s="1">
        <v>5</v>
      </c>
      <c r="H672" s="1">
        <f t="shared" si="12"/>
        <v>17</v>
      </c>
      <c r="I672" s="5">
        <f t="shared" ca="1" si="13"/>
        <v>12</v>
      </c>
    </row>
    <row r="673" spans="1:9" x14ac:dyDescent="0.25">
      <c r="A673" s="2">
        <f t="shared" ca="1" si="11"/>
        <v>195</v>
      </c>
      <c r="B673" s="1" t="s">
        <v>433</v>
      </c>
      <c r="C673" s="18">
        <v>45802</v>
      </c>
      <c r="D673" s="1" t="s">
        <v>262</v>
      </c>
      <c r="E673" s="1" t="s">
        <v>22</v>
      </c>
      <c r="F673" s="1">
        <v>8</v>
      </c>
      <c r="G673" s="1">
        <v>5</v>
      </c>
      <c r="H673" s="1">
        <f t="shared" si="12"/>
        <v>13</v>
      </c>
      <c r="I673" s="5">
        <f t="shared" ca="1" si="13"/>
        <v>11.7</v>
      </c>
    </row>
    <row r="674" spans="1:9" x14ac:dyDescent="0.25">
      <c r="A674" s="2">
        <f t="shared" ca="1" si="11"/>
        <v>195</v>
      </c>
      <c r="B674" s="1" t="s">
        <v>116</v>
      </c>
      <c r="C674" s="18">
        <v>44703</v>
      </c>
      <c r="D674" s="1" t="s">
        <v>72</v>
      </c>
      <c r="E674" s="1" t="s">
        <v>22</v>
      </c>
      <c r="F674" s="1">
        <v>10</v>
      </c>
      <c r="G674" s="1">
        <v>6</v>
      </c>
      <c r="H674" s="1">
        <f t="shared" si="12"/>
        <v>16</v>
      </c>
      <c r="I674" s="5">
        <f t="shared" ca="1" si="13"/>
        <v>11.7</v>
      </c>
    </row>
    <row r="675" spans="1:9" x14ac:dyDescent="0.25">
      <c r="A675" s="2">
        <f t="shared" ca="1" si="11"/>
        <v>195</v>
      </c>
      <c r="B675" s="1" t="s">
        <v>118</v>
      </c>
      <c r="C675" s="18">
        <v>44703</v>
      </c>
      <c r="D675" s="1" t="s">
        <v>71</v>
      </c>
      <c r="E675" s="1" t="s">
        <v>22</v>
      </c>
      <c r="F675" s="1">
        <v>11</v>
      </c>
      <c r="G675" s="1">
        <v>5</v>
      </c>
      <c r="H675" s="1">
        <f t="shared" si="12"/>
        <v>16</v>
      </c>
      <c r="I675" s="5">
        <f t="shared" ca="1" si="13"/>
        <v>11.7</v>
      </c>
    </row>
    <row r="676" spans="1:9" x14ac:dyDescent="0.25">
      <c r="A676" s="2">
        <f t="shared" ca="1" si="11"/>
        <v>198</v>
      </c>
      <c r="B676" s="29" t="s">
        <v>342</v>
      </c>
      <c r="C676" s="18">
        <v>45396</v>
      </c>
      <c r="D676" s="1" t="s">
        <v>75</v>
      </c>
      <c r="E676" s="1" t="s">
        <v>22</v>
      </c>
      <c r="F676" s="1">
        <v>8</v>
      </c>
      <c r="G676" s="1">
        <v>6</v>
      </c>
      <c r="H676" s="1">
        <f t="shared" si="12"/>
        <v>14</v>
      </c>
      <c r="I676" s="5">
        <f t="shared" ca="1" si="13"/>
        <v>11.6</v>
      </c>
    </row>
    <row r="677" spans="1:9" x14ac:dyDescent="0.25">
      <c r="A677" s="2">
        <f t="shared" ca="1" si="11"/>
        <v>199</v>
      </c>
      <c r="B677" s="1" t="s">
        <v>416</v>
      </c>
      <c r="C677" s="18">
        <v>45732</v>
      </c>
      <c r="D677" s="1" t="s">
        <v>308</v>
      </c>
      <c r="E677" s="1" t="s">
        <v>22</v>
      </c>
      <c r="F677" s="1">
        <v>8</v>
      </c>
      <c r="G677" s="1">
        <v>5</v>
      </c>
      <c r="H677" s="1">
        <f t="shared" si="12"/>
        <v>13</v>
      </c>
      <c r="I677" s="5">
        <f t="shared" ca="1" si="13"/>
        <v>11.5</v>
      </c>
    </row>
    <row r="678" spans="1:9" x14ac:dyDescent="0.25">
      <c r="A678" s="2">
        <f t="shared" ca="1" si="11"/>
        <v>200</v>
      </c>
      <c r="B678" s="1" t="s">
        <v>97</v>
      </c>
      <c r="C678" s="18">
        <v>44230</v>
      </c>
      <c r="D678" s="1" t="s">
        <v>69</v>
      </c>
      <c r="E678" s="1" t="s">
        <v>22</v>
      </c>
      <c r="F678" s="1">
        <v>12</v>
      </c>
      <c r="G678" s="1">
        <v>5</v>
      </c>
      <c r="H678" s="1">
        <f t="shared" si="12"/>
        <v>17</v>
      </c>
      <c r="I678" s="5">
        <f t="shared" ca="1" si="13"/>
        <v>11.4</v>
      </c>
    </row>
    <row r="679" spans="1:9" x14ac:dyDescent="0.25">
      <c r="A679" s="2">
        <f t="shared" ca="1" si="11"/>
        <v>200</v>
      </c>
      <c r="B679" s="1" t="s">
        <v>189</v>
      </c>
      <c r="C679" s="18">
        <v>44591</v>
      </c>
      <c r="D679" s="1" t="s">
        <v>70</v>
      </c>
      <c r="E679" s="1" t="s">
        <v>22</v>
      </c>
      <c r="F679" s="1">
        <v>11</v>
      </c>
      <c r="G679" s="1">
        <v>5</v>
      </c>
      <c r="H679" s="1">
        <f t="shared" si="12"/>
        <v>16</v>
      </c>
      <c r="I679" s="5">
        <f t="shared" ca="1" si="13"/>
        <v>11.4</v>
      </c>
    </row>
    <row r="680" spans="1:9" x14ac:dyDescent="0.25">
      <c r="A680" s="2">
        <f t="shared" ca="1" si="11"/>
        <v>202</v>
      </c>
      <c r="B680" s="1" t="s">
        <v>182</v>
      </c>
      <c r="C680" s="18">
        <v>44535</v>
      </c>
      <c r="D680" s="1" t="s">
        <v>69</v>
      </c>
      <c r="E680" s="1" t="s">
        <v>22</v>
      </c>
      <c r="F680" s="1">
        <v>11</v>
      </c>
      <c r="G680" s="1">
        <v>5</v>
      </c>
      <c r="H680" s="1">
        <f t="shared" si="12"/>
        <v>16</v>
      </c>
      <c r="I680" s="5">
        <f t="shared" ca="1" si="13"/>
        <v>11.2</v>
      </c>
    </row>
    <row r="681" spans="1:9" x14ac:dyDescent="0.25">
      <c r="A681" s="2">
        <f t="shared" ca="1" si="11"/>
        <v>203</v>
      </c>
      <c r="B681" s="1" t="s">
        <v>243</v>
      </c>
      <c r="C681" s="18">
        <v>44843</v>
      </c>
      <c r="D681" s="1" t="s">
        <v>149</v>
      </c>
      <c r="E681" s="1" t="s">
        <v>22</v>
      </c>
      <c r="F681" s="1">
        <v>9</v>
      </c>
      <c r="G681" s="1">
        <v>6</v>
      </c>
      <c r="H681" s="1">
        <f t="shared" si="12"/>
        <v>15</v>
      </c>
      <c r="I681" s="5">
        <f t="shared" ca="1" si="13"/>
        <v>11.1</v>
      </c>
    </row>
    <row r="682" spans="1:9" x14ac:dyDescent="0.25">
      <c r="A682" s="2">
        <f t="shared" ca="1" si="11"/>
        <v>204</v>
      </c>
      <c r="B682" s="1" t="s">
        <v>451</v>
      </c>
      <c r="C682" s="18">
        <v>45872</v>
      </c>
      <c r="D682" s="1" t="s">
        <v>73</v>
      </c>
      <c r="E682" s="1" t="s">
        <v>22</v>
      </c>
      <c r="F682" s="1">
        <v>9</v>
      </c>
      <c r="G682" s="1">
        <v>3</v>
      </c>
      <c r="H682" s="1">
        <f t="shared" si="12"/>
        <v>12</v>
      </c>
      <c r="I682" s="5">
        <f t="shared" ca="1" si="13"/>
        <v>10.9</v>
      </c>
    </row>
    <row r="683" spans="1:9" x14ac:dyDescent="0.25">
      <c r="A683" s="2">
        <f t="shared" ca="1" si="11"/>
        <v>205</v>
      </c>
      <c r="B683" s="1" t="s">
        <v>449</v>
      </c>
      <c r="C683" s="18">
        <v>45858</v>
      </c>
      <c r="D683" s="1" t="s">
        <v>68</v>
      </c>
      <c r="E683" s="1" t="s">
        <v>22</v>
      </c>
      <c r="F683" s="1">
        <v>8</v>
      </c>
      <c r="G683" s="1">
        <v>4</v>
      </c>
      <c r="H683" s="1">
        <f t="shared" si="12"/>
        <v>12</v>
      </c>
      <c r="I683" s="5">
        <f t="shared" ca="1" si="13"/>
        <v>10.8</v>
      </c>
    </row>
    <row r="684" spans="1:9" x14ac:dyDescent="0.25">
      <c r="A684" s="2">
        <f t="shared" ca="1" si="11"/>
        <v>206</v>
      </c>
      <c r="B684" s="1" t="s">
        <v>214</v>
      </c>
      <c r="C684" s="18">
        <v>44717</v>
      </c>
      <c r="D684" s="1" t="s">
        <v>154</v>
      </c>
      <c r="E684" s="1" t="s">
        <v>22</v>
      </c>
      <c r="F684" s="1">
        <v>11</v>
      </c>
      <c r="G684" s="1">
        <v>4</v>
      </c>
      <c r="H684" s="1">
        <f t="shared" si="12"/>
        <v>15</v>
      </c>
      <c r="I684" s="5">
        <f t="shared" ca="1" si="13"/>
        <v>10.7</v>
      </c>
    </row>
    <row r="685" spans="1:9" x14ac:dyDescent="0.25">
      <c r="A685" s="2">
        <f t="shared" ca="1" si="11"/>
        <v>206</v>
      </c>
      <c r="B685" s="1" t="s">
        <v>130</v>
      </c>
      <c r="C685" s="18">
        <v>44353</v>
      </c>
      <c r="D685" s="1" t="s">
        <v>72</v>
      </c>
      <c r="E685" s="1" t="s">
        <v>22</v>
      </c>
      <c r="F685" s="1">
        <v>11</v>
      </c>
      <c r="G685" s="1">
        <v>5</v>
      </c>
      <c r="H685" s="1">
        <f t="shared" si="12"/>
        <v>16</v>
      </c>
      <c r="I685" s="5">
        <f t="shared" ca="1" si="13"/>
        <v>10.7</v>
      </c>
    </row>
    <row r="686" spans="1:9" x14ac:dyDescent="0.25">
      <c r="A686" s="2">
        <f t="shared" ca="1" si="11"/>
        <v>206</v>
      </c>
      <c r="B686" s="1" t="s">
        <v>215</v>
      </c>
      <c r="C686" s="18">
        <v>44717</v>
      </c>
      <c r="D686" s="1" t="s">
        <v>74</v>
      </c>
      <c r="E686" s="1" t="s">
        <v>22</v>
      </c>
      <c r="F686" s="1">
        <v>11</v>
      </c>
      <c r="G686" s="1">
        <v>4</v>
      </c>
      <c r="H686" s="1">
        <f t="shared" si="12"/>
        <v>15</v>
      </c>
      <c r="I686" s="5">
        <f t="shared" ca="1" si="13"/>
        <v>10.7</v>
      </c>
    </row>
    <row r="687" spans="1:9" x14ac:dyDescent="0.25">
      <c r="A687" s="2">
        <f t="shared" ca="1" si="11"/>
        <v>206</v>
      </c>
      <c r="B687" s="1" t="s">
        <v>129</v>
      </c>
      <c r="C687" s="18">
        <v>44353</v>
      </c>
      <c r="D687" s="1" t="s">
        <v>69</v>
      </c>
      <c r="E687" s="1" t="s">
        <v>22</v>
      </c>
      <c r="F687" s="1">
        <v>11</v>
      </c>
      <c r="G687" s="1">
        <v>5</v>
      </c>
      <c r="H687" s="1">
        <f t="shared" si="12"/>
        <v>16</v>
      </c>
      <c r="I687" s="5">
        <f t="shared" ca="1" si="13"/>
        <v>10.7</v>
      </c>
    </row>
    <row r="688" spans="1:9" x14ac:dyDescent="0.25">
      <c r="A688" s="2">
        <f t="shared" ca="1" si="11"/>
        <v>206</v>
      </c>
      <c r="B688" s="29" t="s">
        <v>347</v>
      </c>
      <c r="C688" s="18">
        <v>45438</v>
      </c>
      <c r="D688" s="1" t="s">
        <v>71</v>
      </c>
      <c r="E688" s="1" t="s">
        <v>22</v>
      </c>
      <c r="F688" s="1">
        <v>10</v>
      </c>
      <c r="G688" s="1">
        <v>3</v>
      </c>
      <c r="H688" s="1">
        <f t="shared" si="12"/>
        <v>13</v>
      </c>
      <c r="I688" s="5">
        <f t="shared" ca="1" si="13"/>
        <v>10.7</v>
      </c>
    </row>
    <row r="689" spans="1:9" x14ac:dyDescent="0.25">
      <c r="A689" s="2">
        <f t="shared" ca="1" si="11"/>
        <v>211</v>
      </c>
      <c r="B689" s="1" t="s">
        <v>340</v>
      </c>
      <c r="C689" s="18">
        <v>45389</v>
      </c>
      <c r="D689" s="1" t="s">
        <v>69</v>
      </c>
      <c r="E689" s="1" t="s">
        <v>22</v>
      </c>
      <c r="F689" s="1">
        <v>9</v>
      </c>
      <c r="G689" s="1">
        <v>4</v>
      </c>
      <c r="H689" s="1">
        <f t="shared" si="12"/>
        <v>13</v>
      </c>
      <c r="I689" s="5">
        <f t="shared" ca="1" si="13"/>
        <v>10.6</v>
      </c>
    </row>
    <row r="690" spans="1:9" x14ac:dyDescent="0.25">
      <c r="A690" s="2">
        <f t="shared" ca="1" si="11"/>
        <v>212</v>
      </c>
      <c r="B690" s="1" t="s">
        <v>198</v>
      </c>
      <c r="C690" s="18">
        <v>44626</v>
      </c>
      <c r="D690" s="1" t="s">
        <v>71</v>
      </c>
      <c r="E690" s="1" t="s">
        <v>22</v>
      </c>
      <c r="F690" s="1">
        <v>11</v>
      </c>
      <c r="G690" s="1">
        <v>4</v>
      </c>
      <c r="H690" s="1">
        <f t="shared" si="12"/>
        <v>15</v>
      </c>
      <c r="I690" s="5">
        <f t="shared" ca="1" si="13"/>
        <v>10.5</v>
      </c>
    </row>
    <row r="691" spans="1:9" x14ac:dyDescent="0.25">
      <c r="A691" s="2">
        <f t="shared" ca="1" si="11"/>
        <v>213</v>
      </c>
      <c r="B691" s="1" t="s">
        <v>190</v>
      </c>
      <c r="C691" s="18">
        <v>44591</v>
      </c>
      <c r="D691" s="1" t="s">
        <v>69</v>
      </c>
      <c r="E691" s="1" t="s">
        <v>22</v>
      </c>
      <c r="F691" s="1">
        <v>8</v>
      </c>
      <c r="G691" s="1">
        <v>7</v>
      </c>
      <c r="H691" s="1">
        <f t="shared" si="12"/>
        <v>15</v>
      </c>
      <c r="I691" s="5">
        <f t="shared" ca="1" si="13"/>
        <v>10.4</v>
      </c>
    </row>
    <row r="692" spans="1:9" x14ac:dyDescent="0.25">
      <c r="A692" s="2">
        <f t="shared" ca="1" si="11"/>
        <v>214</v>
      </c>
      <c r="B692" s="1" t="s">
        <v>93</v>
      </c>
      <c r="C692" s="18">
        <v>44217</v>
      </c>
      <c r="D692" s="1" t="s">
        <v>71</v>
      </c>
      <c r="E692" s="1" t="s">
        <v>22</v>
      </c>
      <c r="F692" s="1">
        <v>12</v>
      </c>
      <c r="G692" s="1">
        <v>4</v>
      </c>
      <c r="H692" s="1">
        <f t="shared" si="12"/>
        <v>16</v>
      </c>
      <c r="I692" s="5">
        <f t="shared" ca="1" si="13"/>
        <v>10.3</v>
      </c>
    </row>
    <row r="693" spans="1:9" x14ac:dyDescent="0.25">
      <c r="A693" s="2">
        <f t="shared" ca="1" si="11"/>
        <v>215</v>
      </c>
      <c r="B693" s="1" t="s">
        <v>314</v>
      </c>
      <c r="C693" s="18">
        <v>45249</v>
      </c>
      <c r="D693" s="1" t="s">
        <v>68</v>
      </c>
      <c r="E693" s="1" t="s">
        <v>22</v>
      </c>
      <c r="F693" s="1">
        <v>9</v>
      </c>
      <c r="G693" s="1">
        <v>4</v>
      </c>
      <c r="H693" s="1">
        <f t="shared" si="12"/>
        <v>13</v>
      </c>
      <c r="I693" s="5">
        <f t="shared" ca="1" si="13"/>
        <v>10.199999999999999</v>
      </c>
    </row>
    <row r="694" spans="1:9" x14ac:dyDescent="0.25">
      <c r="A694" s="2">
        <f t="shared" ca="1" si="11"/>
        <v>216</v>
      </c>
      <c r="B694" s="1" t="s">
        <v>170</v>
      </c>
      <c r="C694" s="18">
        <v>44493</v>
      </c>
      <c r="D694" s="1" t="s">
        <v>154</v>
      </c>
      <c r="E694" s="1" t="s">
        <v>22</v>
      </c>
      <c r="F694" s="1">
        <v>11</v>
      </c>
      <c r="G694" s="1">
        <v>4</v>
      </c>
      <c r="H694" s="1">
        <f t="shared" si="12"/>
        <v>15</v>
      </c>
      <c r="I694" s="5">
        <f t="shared" ca="1" si="13"/>
        <v>10.1</v>
      </c>
    </row>
    <row r="695" spans="1:9" x14ac:dyDescent="0.25">
      <c r="A695" s="2">
        <f t="shared" ca="1" si="11"/>
        <v>217</v>
      </c>
      <c r="B695" s="1" t="s">
        <v>162</v>
      </c>
      <c r="C695" s="18">
        <v>44465</v>
      </c>
      <c r="D695" s="1" t="s">
        <v>68</v>
      </c>
      <c r="E695" s="1" t="s">
        <v>22</v>
      </c>
      <c r="F695" s="1">
        <v>12</v>
      </c>
      <c r="G695" s="1">
        <v>3</v>
      </c>
      <c r="H695" s="1">
        <f t="shared" si="12"/>
        <v>15</v>
      </c>
      <c r="I695" s="5">
        <f t="shared" ca="1" si="13"/>
        <v>10</v>
      </c>
    </row>
    <row r="696" spans="1:9" x14ac:dyDescent="0.25">
      <c r="A696" s="2">
        <f t="shared" ca="1" si="11"/>
        <v>217</v>
      </c>
      <c r="B696" s="1" t="s">
        <v>52</v>
      </c>
      <c r="C696" s="18">
        <v>44451</v>
      </c>
      <c r="D696" s="1" t="s">
        <v>71</v>
      </c>
      <c r="E696" s="1" t="s">
        <v>22</v>
      </c>
      <c r="F696" s="1">
        <v>10</v>
      </c>
      <c r="G696" s="1">
        <v>5</v>
      </c>
      <c r="H696" s="1">
        <f t="shared" si="12"/>
        <v>15</v>
      </c>
      <c r="I696" s="5">
        <f t="shared" ca="1" si="13"/>
        <v>10</v>
      </c>
    </row>
    <row r="697" spans="1:9" x14ac:dyDescent="0.25">
      <c r="A697" s="2">
        <f t="shared" ca="1" si="11"/>
        <v>217</v>
      </c>
      <c r="B697" s="1" t="s">
        <v>46</v>
      </c>
      <c r="C697" s="18">
        <v>44451</v>
      </c>
      <c r="D697" s="1" t="s">
        <v>69</v>
      </c>
      <c r="E697" s="1" t="s">
        <v>22</v>
      </c>
      <c r="F697" s="1">
        <v>10</v>
      </c>
      <c r="G697" s="1">
        <v>5</v>
      </c>
      <c r="H697" s="1">
        <f t="shared" si="12"/>
        <v>15</v>
      </c>
      <c r="I697" s="5">
        <f t="shared" ca="1" si="13"/>
        <v>10</v>
      </c>
    </row>
    <row r="698" spans="1:9" x14ac:dyDescent="0.25">
      <c r="A698" s="2">
        <f t="shared" ca="1" si="11"/>
        <v>220</v>
      </c>
      <c r="B698" s="29" t="s">
        <v>148</v>
      </c>
      <c r="C698" s="18">
        <v>44430</v>
      </c>
      <c r="D698" s="1" t="s">
        <v>149</v>
      </c>
      <c r="E698" s="1" t="s">
        <v>22</v>
      </c>
      <c r="F698" s="1">
        <v>10</v>
      </c>
      <c r="G698" s="1">
        <v>5</v>
      </c>
      <c r="H698" s="1">
        <f t="shared" si="12"/>
        <v>15</v>
      </c>
      <c r="I698" s="5">
        <f t="shared" ca="1" si="13"/>
        <v>9.9</v>
      </c>
    </row>
    <row r="699" spans="1:9" x14ac:dyDescent="0.25">
      <c r="A699" s="2">
        <f t="shared" ca="1" si="11"/>
        <v>220</v>
      </c>
      <c r="B699" s="1" t="s">
        <v>25</v>
      </c>
      <c r="C699" s="18">
        <v>44409</v>
      </c>
      <c r="D699" s="1" t="s">
        <v>69</v>
      </c>
      <c r="E699" s="1" t="s">
        <v>22</v>
      </c>
      <c r="F699" s="1">
        <v>10</v>
      </c>
      <c r="G699" s="1">
        <v>5</v>
      </c>
      <c r="H699" s="1">
        <f t="shared" si="12"/>
        <v>15</v>
      </c>
      <c r="I699" s="5">
        <f t="shared" ca="1" si="13"/>
        <v>9.9</v>
      </c>
    </row>
    <row r="700" spans="1:9" x14ac:dyDescent="0.25">
      <c r="A700" s="2">
        <f t="shared" ca="1" si="11"/>
        <v>220</v>
      </c>
      <c r="B700" s="1" t="s">
        <v>24</v>
      </c>
      <c r="C700" s="18">
        <v>44409</v>
      </c>
      <c r="D700" s="1" t="s">
        <v>69</v>
      </c>
      <c r="E700" s="1" t="s">
        <v>22</v>
      </c>
      <c r="F700" s="1">
        <v>10</v>
      </c>
      <c r="G700" s="1">
        <v>5</v>
      </c>
      <c r="H700" s="1">
        <f t="shared" si="12"/>
        <v>15</v>
      </c>
      <c r="I700" s="5">
        <f t="shared" ca="1" si="13"/>
        <v>9.9</v>
      </c>
    </row>
    <row r="701" spans="1:9" x14ac:dyDescent="0.25">
      <c r="A701" s="2">
        <f t="shared" ca="1" si="11"/>
        <v>220</v>
      </c>
      <c r="B701" s="29" t="s">
        <v>138</v>
      </c>
      <c r="C701" s="18">
        <v>44402</v>
      </c>
      <c r="D701" s="1" t="s">
        <v>69</v>
      </c>
      <c r="E701" s="1" t="s">
        <v>22</v>
      </c>
      <c r="F701" s="1">
        <v>10</v>
      </c>
      <c r="G701" s="1">
        <v>5</v>
      </c>
      <c r="H701" s="1">
        <f t="shared" si="12"/>
        <v>15</v>
      </c>
      <c r="I701" s="5">
        <f t="shared" ca="1" si="13"/>
        <v>9.9</v>
      </c>
    </row>
    <row r="702" spans="1:9" x14ac:dyDescent="0.25">
      <c r="A702" s="2">
        <f t="shared" ca="1" si="11"/>
        <v>224</v>
      </c>
      <c r="B702" s="1" t="s">
        <v>135</v>
      </c>
      <c r="C702" s="18">
        <v>44367</v>
      </c>
      <c r="D702" s="1" t="s">
        <v>68</v>
      </c>
      <c r="E702" s="1" t="s">
        <v>22</v>
      </c>
      <c r="F702" s="1">
        <v>10</v>
      </c>
      <c r="G702" s="1">
        <v>5</v>
      </c>
      <c r="H702" s="1">
        <f t="shared" si="12"/>
        <v>15</v>
      </c>
      <c r="I702" s="5">
        <f t="shared" ca="1" si="13"/>
        <v>9.8000000000000007</v>
      </c>
    </row>
    <row r="703" spans="1:9" x14ac:dyDescent="0.25">
      <c r="A703" s="2">
        <f t="shared" ca="1" si="11"/>
        <v>225</v>
      </c>
      <c r="B703" s="1" t="s">
        <v>351</v>
      </c>
      <c r="C703" s="18">
        <v>45459</v>
      </c>
      <c r="D703" s="1" t="s">
        <v>149</v>
      </c>
      <c r="E703" s="1" t="s">
        <v>22</v>
      </c>
      <c r="F703" s="1">
        <v>9</v>
      </c>
      <c r="G703" s="1">
        <v>3</v>
      </c>
      <c r="H703" s="1">
        <f t="shared" si="12"/>
        <v>12</v>
      </c>
      <c r="I703" s="5">
        <f t="shared" ca="1" si="13"/>
        <v>9.6999999999999993</v>
      </c>
    </row>
    <row r="704" spans="1:9" x14ac:dyDescent="0.25">
      <c r="A704" s="2">
        <f t="shared" ca="1" si="11"/>
        <v>225</v>
      </c>
      <c r="B704" s="1" t="s">
        <v>468</v>
      </c>
      <c r="C704" s="18">
        <v>45816</v>
      </c>
      <c r="D704" s="1" t="s">
        <v>469</v>
      </c>
      <c r="E704" s="1" t="s">
        <v>22</v>
      </c>
      <c r="F704" s="1">
        <v>8</v>
      </c>
      <c r="G704" s="1">
        <v>3</v>
      </c>
      <c r="H704" s="1">
        <f t="shared" si="12"/>
        <v>11</v>
      </c>
      <c r="I704" s="5">
        <f t="shared" ca="1" si="13"/>
        <v>9.6999999999999993</v>
      </c>
    </row>
    <row r="705" spans="1:9" x14ac:dyDescent="0.25">
      <c r="A705" s="2">
        <f t="shared" ca="1" si="11"/>
        <v>225</v>
      </c>
      <c r="B705" s="1" t="s">
        <v>90</v>
      </c>
      <c r="C705" s="18">
        <v>44703</v>
      </c>
      <c r="D705" s="1" t="s">
        <v>69</v>
      </c>
      <c r="E705" s="1" t="s">
        <v>22</v>
      </c>
      <c r="F705" s="1">
        <v>9</v>
      </c>
      <c r="G705" s="1">
        <v>5</v>
      </c>
      <c r="H705" s="1">
        <f t="shared" si="12"/>
        <v>14</v>
      </c>
      <c r="I705" s="5">
        <f t="shared" ca="1" si="13"/>
        <v>9.6999999999999993</v>
      </c>
    </row>
    <row r="706" spans="1:9" x14ac:dyDescent="0.25">
      <c r="A706" s="2">
        <f t="shared" ca="1" si="11"/>
        <v>225</v>
      </c>
      <c r="B706" s="1" t="s">
        <v>283</v>
      </c>
      <c r="C706" s="18">
        <v>45067</v>
      </c>
      <c r="D706" s="1" t="s">
        <v>149</v>
      </c>
      <c r="E706" s="1" t="s">
        <v>22</v>
      </c>
      <c r="F706" s="1">
        <v>9</v>
      </c>
      <c r="G706" s="1">
        <v>4</v>
      </c>
      <c r="H706" s="1">
        <f t="shared" si="12"/>
        <v>13</v>
      </c>
      <c r="I706" s="5">
        <f t="shared" ca="1" si="13"/>
        <v>9.6999999999999993</v>
      </c>
    </row>
    <row r="707" spans="1:9" x14ac:dyDescent="0.25">
      <c r="A707" s="2">
        <f t="shared" ca="1" si="11"/>
        <v>229</v>
      </c>
      <c r="B707" s="1" t="s">
        <v>150</v>
      </c>
      <c r="C707" s="18">
        <v>44437</v>
      </c>
      <c r="D707" s="1" t="s">
        <v>72</v>
      </c>
      <c r="E707" s="1" t="s">
        <v>22</v>
      </c>
      <c r="F707" s="1">
        <v>9</v>
      </c>
      <c r="G707" s="1">
        <v>5</v>
      </c>
      <c r="H707" s="1">
        <f t="shared" si="12"/>
        <v>14</v>
      </c>
      <c r="I707" s="5">
        <f t="shared" ca="1" si="13"/>
        <v>8.9</v>
      </c>
    </row>
    <row r="708" spans="1:9" x14ac:dyDescent="0.25">
      <c r="A708" s="2">
        <f t="shared" ca="1" si="11"/>
        <v>230</v>
      </c>
      <c r="B708" s="1" t="s">
        <v>222</v>
      </c>
      <c r="C708" s="18">
        <v>44745</v>
      </c>
      <c r="D708" s="1" t="s">
        <v>71</v>
      </c>
      <c r="E708" s="1" t="s">
        <v>22</v>
      </c>
      <c r="F708" s="1">
        <v>8</v>
      </c>
      <c r="G708" s="1">
        <v>5</v>
      </c>
      <c r="H708" s="1">
        <f t="shared" si="12"/>
        <v>13</v>
      </c>
      <c r="I708" s="5">
        <f t="shared" ca="1" si="13"/>
        <v>8.8000000000000007</v>
      </c>
    </row>
    <row r="709" spans="1:9" x14ac:dyDescent="0.25">
      <c r="A709" s="2">
        <f t="shared" ca="1" si="11"/>
        <v>231</v>
      </c>
      <c r="B709" s="1" t="s">
        <v>99</v>
      </c>
      <c r="C709" s="18">
        <v>44577</v>
      </c>
      <c r="D709" s="1" t="s">
        <v>154</v>
      </c>
      <c r="E709" s="1" t="s">
        <v>22</v>
      </c>
      <c r="F709" s="1">
        <v>9</v>
      </c>
      <c r="G709" s="1">
        <v>4</v>
      </c>
      <c r="H709" s="1">
        <f t="shared" si="12"/>
        <v>13</v>
      </c>
      <c r="I709" s="5">
        <f t="shared" ca="1" si="13"/>
        <v>8.3000000000000007</v>
      </c>
    </row>
    <row r="710" spans="1:9" x14ac:dyDescent="0.25">
      <c r="A710" s="2">
        <f t="shared" ca="1" si="11"/>
        <v>231</v>
      </c>
      <c r="B710" s="1" t="s">
        <v>263</v>
      </c>
      <c r="C710" s="18">
        <v>44934</v>
      </c>
      <c r="D710" s="1" t="s">
        <v>262</v>
      </c>
      <c r="E710" s="1" t="s">
        <v>22</v>
      </c>
      <c r="F710" s="1">
        <v>8</v>
      </c>
      <c r="G710" s="1">
        <v>4</v>
      </c>
      <c r="H710" s="1">
        <f t="shared" si="12"/>
        <v>12</v>
      </c>
      <c r="I710" s="5">
        <f t="shared" ca="1" si="13"/>
        <v>8.3000000000000007</v>
      </c>
    </row>
    <row r="711" spans="1:9" x14ac:dyDescent="0.25">
      <c r="A711" s="2">
        <f t="shared" ca="1" si="11"/>
        <v>233</v>
      </c>
      <c r="B711" s="1" t="s">
        <v>98</v>
      </c>
      <c r="C711" s="18">
        <v>44092</v>
      </c>
      <c r="D711" s="1" t="s">
        <v>69</v>
      </c>
      <c r="E711" s="1" t="s">
        <v>22</v>
      </c>
      <c r="F711" s="1">
        <v>10</v>
      </c>
      <c r="G711" s="1">
        <v>4</v>
      </c>
      <c r="H711" s="1">
        <f t="shared" si="12"/>
        <v>14</v>
      </c>
      <c r="I711" s="5">
        <f t="shared" ca="1" si="13"/>
        <v>8</v>
      </c>
    </row>
    <row r="712" spans="1:9" x14ac:dyDescent="0.25">
      <c r="A712" s="2">
        <f t="shared" ca="1" si="11"/>
        <v>234</v>
      </c>
      <c r="B712" s="1" t="s">
        <v>34</v>
      </c>
      <c r="C712" s="18">
        <v>44423</v>
      </c>
      <c r="D712" s="1" t="s">
        <v>71</v>
      </c>
      <c r="E712" s="1" t="s">
        <v>22</v>
      </c>
      <c r="F712" s="1">
        <v>8</v>
      </c>
      <c r="G712" s="1">
        <v>5</v>
      </c>
      <c r="H712" s="1">
        <f t="shared" si="12"/>
        <v>13</v>
      </c>
      <c r="I712" s="5">
        <f t="shared" ca="1" si="13"/>
        <v>7.9</v>
      </c>
    </row>
    <row r="713" spans="1:9" x14ac:dyDescent="0.25">
      <c r="A713" s="2">
        <f t="shared" ca="1" si="11"/>
        <v>235</v>
      </c>
      <c r="B713" s="1" t="s">
        <v>35</v>
      </c>
      <c r="C713" s="18">
        <v>44423</v>
      </c>
      <c r="D713" s="1" t="s">
        <v>72</v>
      </c>
      <c r="E713" s="1" t="s">
        <v>22</v>
      </c>
      <c r="F713" s="1">
        <v>7</v>
      </c>
      <c r="G713" s="1">
        <v>5</v>
      </c>
      <c r="H713" s="1">
        <f t="shared" si="12"/>
        <v>12</v>
      </c>
      <c r="I713" s="5">
        <f t="shared" ca="1" si="13"/>
        <v>6.9</v>
      </c>
    </row>
    <row r="714" spans="1:9" x14ac:dyDescent="0.25">
      <c r="A714" s="2">
        <f t="shared" ca="1" si="11"/>
        <v>236</v>
      </c>
      <c r="B714" s="1" t="s">
        <v>62</v>
      </c>
      <c r="C714" s="18">
        <v>44577</v>
      </c>
      <c r="D714" s="1" t="s">
        <v>75</v>
      </c>
      <c r="E714" s="1" t="s">
        <v>22</v>
      </c>
      <c r="F714" s="1">
        <v>7</v>
      </c>
      <c r="G714" s="1">
        <v>4</v>
      </c>
      <c r="H714" s="1">
        <f t="shared" si="12"/>
        <v>11</v>
      </c>
      <c r="I714" s="5">
        <f t="shared" ca="1" si="13"/>
        <v>6.3</v>
      </c>
    </row>
    <row r="715" spans="1:9" x14ac:dyDescent="0.25">
      <c r="A715" s="2">
        <f t="shared" ca="1" si="11"/>
        <v>237</v>
      </c>
      <c r="B715" s="1" t="s">
        <v>242</v>
      </c>
      <c r="C715" s="18">
        <v>44843</v>
      </c>
      <c r="D715" s="1" t="s">
        <v>73</v>
      </c>
      <c r="E715" s="1" t="s">
        <v>22</v>
      </c>
      <c r="F715" s="1">
        <v>7</v>
      </c>
      <c r="G715" s="1">
        <v>3</v>
      </c>
      <c r="H715" s="1">
        <f t="shared" si="12"/>
        <v>10</v>
      </c>
      <c r="I715" s="5">
        <f t="shared" ca="1" si="13"/>
        <v>6.1</v>
      </c>
    </row>
    <row r="716" spans="1:9" x14ac:dyDescent="0.25">
      <c r="A716" s="2">
        <f t="shared" ca="1" si="11"/>
        <v>238</v>
      </c>
      <c r="B716" s="29" t="s">
        <v>226</v>
      </c>
      <c r="C716" s="18">
        <v>44766</v>
      </c>
      <c r="D716" s="1" t="s">
        <v>71</v>
      </c>
      <c r="E716" s="1" t="s">
        <v>22</v>
      </c>
      <c r="F716" s="1">
        <v>5</v>
      </c>
      <c r="G716" s="1">
        <v>5</v>
      </c>
      <c r="H716" s="1">
        <f t="shared" si="12"/>
        <v>10</v>
      </c>
      <c r="I716" s="5">
        <f t="shared" ca="1" si="13"/>
        <v>5.8</v>
      </c>
    </row>
    <row r="717" spans="1:9" x14ac:dyDescent="0.25">
      <c r="A717" s="2">
        <f t="shared" ca="1" si="11"/>
        <v>239</v>
      </c>
      <c r="B717" s="1" t="s">
        <v>100</v>
      </c>
      <c r="C717" s="18">
        <v>44703</v>
      </c>
      <c r="D717" s="1" t="s">
        <v>69</v>
      </c>
      <c r="E717" s="1" t="s">
        <v>22</v>
      </c>
      <c r="F717" s="1">
        <v>7</v>
      </c>
      <c r="G717" s="1">
        <v>3</v>
      </c>
      <c r="H717" s="1">
        <f t="shared" si="12"/>
        <v>10</v>
      </c>
      <c r="I717" s="5">
        <f t="shared" ca="1" si="13"/>
        <v>5.7</v>
      </c>
    </row>
    <row r="718" spans="1:9" x14ac:dyDescent="0.25">
      <c r="A718" s="2"/>
      <c r="I718" s="3"/>
    </row>
    <row r="719" spans="1:9" x14ac:dyDescent="0.25">
      <c r="A719" s="2" t="s">
        <v>27</v>
      </c>
      <c r="B719" s="1" t="s">
        <v>28</v>
      </c>
      <c r="D719" s="1" t="s">
        <v>29</v>
      </c>
      <c r="E719" s="1" t="s">
        <v>29</v>
      </c>
      <c r="F719" s="4">
        <f t="shared" ref="F719:I719" si="14">AVERAGE(F479:F718)</f>
        <v>12.347280334728033</v>
      </c>
      <c r="G719" s="4">
        <f t="shared" si="14"/>
        <v>5.8870292887029292</v>
      </c>
      <c r="H719" s="4">
        <f t="shared" si="14"/>
        <v>18.234309623430963</v>
      </c>
      <c r="I719" s="5">
        <f t="shared" ca="1" si="14"/>
        <v>15.041422594142258</v>
      </c>
    </row>
    <row r="720" spans="1:9" x14ac:dyDescent="0.25">
      <c r="A720" s="39" t="s">
        <v>13</v>
      </c>
      <c r="B720" s="40"/>
      <c r="C720" s="40"/>
      <c r="D720" s="40"/>
      <c r="E720" s="40"/>
      <c r="F720" s="40"/>
      <c r="G720" s="40"/>
      <c r="H720" s="40"/>
      <c r="I720" s="41"/>
    </row>
    <row r="721" spans="1:18" s="14" customFormat="1" ht="30" x14ac:dyDescent="0.25">
      <c r="A721" s="10" t="s">
        <v>1</v>
      </c>
      <c r="B721" s="11" t="s">
        <v>0</v>
      </c>
      <c r="C721" s="11" t="s">
        <v>359</v>
      </c>
      <c r="D721" s="11" t="s">
        <v>65</v>
      </c>
      <c r="E721" s="11" t="s">
        <v>2</v>
      </c>
      <c r="F721" s="11" t="s">
        <v>6</v>
      </c>
      <c r="G721" s="11" t="s">
        <v>7</v>
      </c>
      <c r="H721" s="21" t="s">
        <v>361</v>
      </c>
      <c r="I721" s="22" t="s">
        <v>360</v>
      </c>
      <c r="J721" s="11"/>
      <c r="L721" s="1"/>
      <c r="M721" s="1"/>
      <c r="N721" s="1"/>
      <c r="O721" s="1"/>
      <c r="P721" s="1"/>
      <c r="Q721" s="4"/>
      <c r="R721"/>
    </row>
    <row r="722" spans="1:18" x14ac:dyDescent="0.25">
      <c r="A722" s="2">
        <f ca="1">RANK(I722,$I$722:$I$861,0)</f>
        <v>1</v>
      </c>
      <c r="B722" s="29" t="s">
        <v>457</v>
      </c>
      <c r="C722" s="18">
        <v>45914</v>
      </c>
      <c r="D722" s="1" t="s">
        <v>71</v>
      </c>
      <c r="E722" s="1" t="s">
        <v>17</v>
      </c>
      <c r="F722" s="1">
        <v>17</v>
      </c>
      <c r="G722" s="1">
        <v>9</v>
      </c>
      <c r="H722" s="1">
        <f>SUM(F722:G722)</f>
        <v>26</v>
      </c>
      <c r="I722" s="5">
        <f ca="1">H722-(ROUNDDOWN((($G$1-C722)/365),1))</f>
        <v>25</v>
      </c>
    </row>
    <row r="723" spans="1:18" x14ac:dyDescent="0.25">
      <c r="A723" s="2">
        <f ca="1">RANK(I723,$I$722:$I$861,0)</f>
        <v>2</v>
      </c>
      <c r="B723" s="29" t="s">
        <v>414</v>
      </c>
      <c r="C723" s="18">
        <v>45725</v>
      </c>
      <c r="D723" s="1" t="s">
        <v>72</v>
      </c>
      <c r="E723" s="1" t="s">
        <v>17</v>
      </c>
      <c r="F723" s="1">
        <v>15</v>
      </c>
      <c r="G723" s="1">
        <v>10</v>
      </c>
      <c r="H723" s="1">
        <f>SUM(F723:G723)</f>
        <v>25</v>
      </c>
      <c r="I723" s="5">
        <f ca="1">H723-(ROUNDDOWN((($G$1-C723)/365),1))</f>
        <v>23.5</v>
      </c>
    </row>
    <row r="724" spans="1:18" x14ac:dyDescent="0.25">
      <c r="A724" s="2">
        <f ca="1">RANK(I724,$I$722:$I$861,0)</f>
        <v>3</v>
      </c>
      <c r="B724" s="29" t="s">
        <v>372</v>
      </c>
      <c r="C724" s="18">
        <v>45550</v>
      </c>
      <c r="D724" s="1" t="s">
        <v>266</v>
      </c>
      <c r="E724" s="1" t="s">
        <v>17</v>
      </c>
      <c r="F724" s="1">
        <v>16</v>
      </c>
      <c r="G724" s="1">
        <v>8</v>
      </c>
      <c r="H724" s="1">
        <f>SUM(F724:G724)</f>
        <v>24</v>
      </c>
      <c r="I724" s="5">
        <f ca="1">H724-(ROUNDDOWN((($G$1-C724)/365),1))</f>
        <v>22</v>
      </c>
    </row>
    <row r="725" spans="1:18" x14ac:dyDescent="0.25">
      <c r="A725" s="2">
        <f ca="1">RANK(I725,$I$722:$I$861,0)</f>
        <v>4</v>
      </c>
      <c r="B725" s="1" t="s">
        <v>101</v>
      </c>
      <c r="C725" s="18">
        <v>45011</v>
      </c>
      <c r="D725" s="1" t="s">
        <v>69</v>
      </c>
      <c r="E725" s="1" t="s">
        <v>17</v>
      </c>
      <c r="F725" s="1">
        <v>17</v>
      </c>
      <c r="G725" s="1">
        <v>8</v>
      </c>
      <c r="H725" s="1">
        <f>SUM(F725:G725)</f>
        <v>25</v>
      </c>
      <c r="I725" s="5">
        <f ca="1">H725-(ROUNDDOWN((($G$1-C725)/365),1))</f>
        <v>21.5</v>
      </c>
    </row>
    <row r="726" spans="1:18" x14ac:dyDescent="0.25">
      <c r="A726" s="2">
        <f ca="1">RANK(I726,$I$722:$I$861,0)</f>
        <v>5</v>
      </c>
      <c r="B726" s="29" t="s">
        <v>403</v>
      </c>
      <c r="C726" s="18">
        <v>45669</v>
      </c>
      <c r="D726" s="1" t="s">
        <v>71</v>
      </c>
      <c r="E726" s="1" t="s">
        <v>17</v>
      </c>
      <c r="F726" s="1">
        <v>14</v>
      </c>
      <c r="G726" s="1">
        <v>9</v>
      </c>
      <c r="H726" s="1">
        <f>SUM(F726:G726)</f>
        <v>23</v>
      </c>
      <c r="I726" s="5">
        <f ca="1">H726-(ROUNDDOWN((($G$1-C726)/365),1))</f>
        <v>21.3</v>
      </c>
    </row>
    <row r="727" spans="1:18" x14ac:dyDescent="0.25">
      <c r="A727" s="2">
        <f ca="1">RANK(I727,$I$722:$I$861,0)</f>
        <v>6</v>
      </c>
      <c r="B727" s="29" t="s">
        <v>464</v>
      </c>
      <c r="C727" s="18">
        <v>45956</v>
      </c>
      <c r="D727" s="1" t="s">
        <v>266</v>
      </c>
      <c r="E727" s="1" t="s">
        <v>17</v>
      </c>
      <c r="F727" s="1">
        <v>16</v>
      </c>
      <c r="G727" s="1">
        <v>6</v>
      </c>
      <c r="H727" s="1">
        <f>SUM(F727:G727)</f>
        <v>22</v>
      </c>
      <c r="I727" s="5">
        <f ca="1">H727-(ROUNDDOWN((($G$1-C727)/365),1))</f>
        <v>21.1</v>
      </c>
    </row>
    <row r="728" spans="1:18" x14ac:dyDescent="0.25">
      <c r="A728" s="2">
        <f ca="1">RANK(I728,$I$722:$I$861,0)</f>
        <v>7</v>
      </c>
      <c r="B728" s="29" t="s">
        <v>343</v>
      </c>
      <c r="C728" s="18">
        <v>45410</v>
      </c>
      <c r="D728" s="1" t="s">
        <v>71</v>
      </c>
      <c r="E728" s="1" t="s">
        <v>17</v>
      </c>
      <c r="F728" s="1">
        <v>16</v>
      </c>
      <c r="G728" s="1">
        <v>7</v>
      </c>
      <c r="H728" s="1">
        <f>SUM(F728:G728)</f>
        <v>23</v>
      </c>
      <c r="I728" s="5">
        <f ca="1">H728-(ROUNDDOWN((($G$1-C728)/365),1))</f>
        <v>20.6</v>
      </c>
    </row>
    <row r="729" spans="1:18" x14ac:dyDescent="0.25">
      <c r="A729" s="2">
        <f ca="1">RANK(I729,$I$722:$I$861,0)</f>
        <v>8</v>
      </c>
      <c r="B729" s="29" t="s">
        <v>265</v>
      </c>
      <c r="C729" s="18">
        <v>45320</v>
      </c>
      <c r="D729" s="1" t="s">
        <v>74</v>
      </c>
      <c r="E729" s="1" t="s">
        <v>17</v>
      </c>
      <c r="F729" s="1">
        <v>16</v>
      </c>
      <c r="G729" s="1">
        <v>7</v>
      </c>
      <c r="H729" s="1">
        <f>SUM(F729:G729)</f>
        <v>23</v>
      </c>
      <c r="I729" s="5">
        <f ca="1">H729-(ROUNDDOWN((($G$1-C729)/365),1))</f>
        <v>20.399999999999999</v>
      </c>
    </row>
    <row r="730" spans="1:18" x14ac:dyDescent="0.25">
      <c r="A730" s="2">
        <f ca="1">RANK(I730,$I$722:$I$861,0)</f>
        <v>9</v>
      </c>
      <c r="B730" s="1" t="s">
        <v>528</v>
      </c>
      <c r="C730" s="18">
        <v>46271</v>
      </c>
      <c r="D730" s="1" t="s">
        <v>483</v>
      </c>
      <c r="E730" s="1" t="s">
        <v>17</v>
      </c>
      <c r="F730" s="1">
        <v>14</v>
      </c>
      <c r="G730" s="1">
        <v>6</v>
      </c>
      <c r="H730" s="1">
        <f>SUM(F730:G730)</f>
        <v>20</v>
      </c>
      <c r="I730" s="5">
        <f ca="1">H730-(ROUNDDOWN((($G$1-C730)/365),1))</f>
        <v>20</v>
      </c>
      <c r="L730" s="14"/>
      <c r="M730" s="14"/>
      <c r="N730" s="14"/>
      <c r="O730" s="14"/>
      <c r="P730" s="14"/>
      <c r="Q730" s="14"/>
      <c r="R730" s="14"/>
    </row>
    <row r="731" spans="1:18" x14ac:dyDescent="0.25">
      <c r="A731" s="2">
        <f ca="1">RANK(I731,$I$722:$I$861,0)</f>
        <v>9</v>
      </c>
      <c r="B731" s="1" t="s">
        <v>536</v>
      </c>
      <c r="C731" s="18">
        <v>46299</v>
      </c>
      <c r="D731" s="1" t="s">
        <v>378</v>
      </c>
      <c r="E731" s="1" t="s">
        <v>17</v>
      </c>
      <c r="F731" s="1">
        <v>14</v>
      </c>
      <c r="G731" s="1">
        <v>6</v>
      </c>
      <c r="H731" s="1">
        <f>SUM(F731:G731)</f>
        <v>20</v>
      </c>
      <c r="I731" s="5">
        <f ca="1">H731-(ROUNDDOWN((($G$1-C731)/365),1))</f>
        <v>20</v>
      </c>
    </row>
    <row r="732" spans="1:18" x14ac:dyDescent="0.25">
      <c r="A732" s="2">
        <f ca="1">RANK(I732,$I$722:$I$861,0)</f>
        <v>11</v>
      </c>
      <c r="B732" s="29" t="s">
        <v>232</v>
      </c>
      <c r="C732" s="18">
        <v>44794</v>
      </c>
      <c r="D732" s="1" t="s">
        <v>184</v>
      </c>
      <c r="E732" s="1" t="s">
        <v>17</v>
      </c>
      <c r="F732" s="1">
        <v>17</v>
      </c>
      <c r="G732" s="1">
        <v>7</v>
      </c>
      <c r="H732" s="1">
        <f>SUM(F732:G732)</f>
        <v>24</v>
      </c>
      <c r="I732" s="5">
        <f ca="1">H732-(ROUNDDOWN((($G$1-C732)/365),1))</f>
        <v>19.899999999999999</v>
      </c>
    </row>
    <row r="733" spans="1:18" x14ac:dyDescent="0.25">
      <c r="A733" s="2">
        <f ca="1">RANK(I733,$I$722:$I$861,0)</f>
        <v>12</v>
      </c>
      <c r="B733" s="1" t="s">
        <v>294</v>
      </c>
      <c r="C733" s="18">
        <v>45130</v>
      </c>
      <c r="D733" s="1" t="s">
        <v>236</v>
      </c>
      <c r="E733" s="1" t="s">
        <v>17</v>
      </c>
      <c r="F733" s="1">
        <v>16</v>
      </c>
      <c r="G733" s="1">
        <v>7</v>
      </c>
      <c r="H733" s="1">
        <f>SUM(F733:G733)</f>
        <v>23</v>
      </c>
      <c r="I733" s="5">
        <f ca="1">H733-(ROUNDDOWN((($G$1-C733)/365),1))</f>
        <v>19.8</v>
      </c>
    </row>
    <row r="734" spans="1:18" x14ac:dyDescent="0.25">
      <c r="A734" s="2">
        <f ca="1">RANK(I734,$I$722:$I$861,0)</f>
        <v>12</v>
      </c>
      <c r="B734" s="1" t="s">
        <v>443</v>
      </c>
      <c r="C734" s="18">
        <v>45844</v>
      </c>
      <c r="D734" s="1" t="s">
        <v>71</v>
      </c>
      <c r="E734" s="1" t="s">
        <v>17</v>
      </c>
      <c r="F734" s="1">
        <v>15</v>
      </c>
      <c r="G734" s="1">
        <v>6</v>
      </c>
      <c r="H734" s="1">
        <f>SUM(F734:G734)</f>
        <v>21</v>
      </c>
      <c r="I734" s="5">
        <f ca="1">H734-(ROUNDDOWN((($G$1-C734)/365),1))</f>
        <v>19.8</v>
      </c>
    </row>
    <row r="735" spans="1:18" x14ac:dyDescent="0.25">
      <c r="A735" s="2">
        <f ca="1">RANK(I735,$I$722:$I$861,0)</f>
        <v>14</v>
      </c>
      <c r="B735" s="1" t="s">
        <v>349</v>
      </c>
      <c r="C735" s="18">
        <v>45459</v>
      </c>
      <c r="D735" s="1" t="s">
        <v>236</v>
      </c>
      <c r="E735" s="1" t="s">
        <v>17</v>
      </c>
      <c r="F735" s="1">
        <v>16</v>
      </c>
      <c r="G735" s="1">
        <v>6</v>
      </c>
      <c r="H735" s="1">
        <f>SUM(F735:G735)</f>
        <v>22</v>
      </c>
      <c r="I735" s="5">
        <f ca="1">H735-(ROUNDDOWN((($G$1-C735)/365),1))</f>
        <v>19.7</v>
      </c>
    </row>
    <row r="736" spans="1:18" x14ac:dyDescent="0.25">
      <c r="A736" s="2">
        <f ca="1">RANK(I736,$I$722:$I$861,0)</f>
        <v>15</v>
      </c>
      <c r="B736" s="1" t="s">
        <v>424</v>
      </c>
      <c r="C736" s="18">
        <v>45753</v>
      </c>
      <c r="D736" s="1" t="s">
        <v>71</v>
      </c>
      <c r="E736" s="1" t="s">
        <v>17</v>
      </c>
      <c r="F736" s="1">
        <v>15</v>
      </c>
      <c r="G736" s="1">
        <v>6</v>
      </c>
      <c r="H736" s="1">
        <f>SUM(F736:G736)</f>
        <v>21</v>
      </c>
      <c r="I736" s="5">
        <f ca="1">H736-(ROUNDDOWN((($G$1-C736)/365),1))</f>
        <v>19.600000000000001</v>
      </c>
    </row>
    <row r="737" spans="1:9" x14ac:dyDescent="0.25">
      <c r="A737" s="2">
        <f ca="1">RANK(I737,$I$722:$I$861,0)</f>
        <v>16</v>
      </c>
      <c r="B737" s="1" t="s">
        <v>89</v>
      </c>
      <c r="C737" s="18">
        <v>45011</v>
      </c>
      <c r="D737" s="1" t="s">
        <v>66</v>
      </c>
      <c r="E737" s="1" t="s">
        <v>17</v>
      </c>
      <c r="F737" s="1">
        <v>15</v>
      </c>
      <c r="G737" s="1">
        <v>8</v>
      </c>
      <c r="H737" s="1">
        <f>SUM(F737:G737)</f>
        <v>23</v>
      </c>
      <c r="I737" s="5">
        <f ca="1">H737-(ROUNDDOWN((($G$1-C737)/365),1))</f>
        <v>19.5</v>
      </c>
    </row>
    <row r="738" spans="1:9" x14ac:dyDescent="0.25">
      <c r="A738" s="2">
        <f ca="1">RANK(I738,$I$722:$I$861,0)</f>
        <v>17</v>
      </c>
      <c r="B738" s="1" t="s">
        <v>181</v>
      </c>
      <c r="C738" s="18">
        <v>44535</v>
      </c>
      <c r="D738" s="1" t="s">
        <v>71</v>
      </c>
      <c r="E738" s="1" t="s">
        <v>17</v>
      </c>
      <c r="F738" s="1">
        <v>16</v>
      </c>
      <c r="G738" s="1">
        <v>8</v>
      </c>
      <c r="H738" s="1">
        <f>SUM(F738:G738)</f>
        <v>24</v>
      </c>
      <c r="I738" s="5">
        <f ca="1">H738-(ROUNDDOWN((($G$1-C738)/365),1))</f>
        <v>19.2</v>
      </c>
    </row>
    <row r="739" spans="1:9" x14ac:dyDescent="0.25">
      <c r="A739" s="2">
        <f ca="1">RANK(I739,$I$722:$I$861,0)</f>
        <v>17</v>
      </c>
      <c r="B739" s="1" t="s">
        <v>472</v>
      </c>
      <c r="C739" s="18">
        <v>45991</v>
      </c>
      <c r="D739" s="1" t="s">
        <v>66</v>
      </c>
      <c r="E739" s="1" t="s">
        <v>17</v>
      </c>
      <c r="F739" s="1">
        <v>15</v>
      </c>
      <c r="G739" s="1">
        <v>5</v>
      </c>
      <c r="H739" s="1">
        <f>SUM(F739:G739)</f>
        <v>20</v>
      </c>
      <c r="I739" s="5">
        <f ca="1">H739-(ROUNDDOWN((($G$1-C739)/365),1))</f>
        <v>19.2</v>
      </c>
    </row>
    <row r="740" spans="1:9" x14ac:dyDescent="0.25">
      <c r="A740" s="2">
        <f ca="1">RANK(I740,$I$722:$I$861,0)</f>
        <v>19</v>
      </c>
      <c r="B740" s="1" t="s">
        <v>165</v>
      </c>
      <c r="C740" s="18">
        <v>44479</v>
      </c>
      <c r="D740" s="1" t="s">
        <v>154</v>
      </c>
      <c r="E740" s="1" t="s">
        <v>17</v>
      </c>
      <c r="F740" s="1">
        <v>15</v>
      </c>
      <c r="G740" s="1">
        <v>9</v>
      </c>
      <c r="H740" s="1">
        <f>SUM(F740:G740)</f>
        <v>24</v>
      </c>
      <c r="I740" s="5">
        <f ca="1">H740-(ROUNDDOWN((($G$1-C740)/365),1))</f>
        <v>19.100000000000001</v>
      </c>
    </row>
    <row r="741" spans="1:9" x14ac:dyDescent="0.25">
      <c r="A741" s="2">
        <f ca="1">RANK(I741,$I$722:$I$861,0)</f>
        <v>19</v>
      </c>
      <c r="B741" s="1" t="s">
        <v>462</v>
      </c>
      <c r="C741" s="18">
        <v>45935</v>
      </c>
      <c r="D741" s="1" t="s">
        <v>67</v>
      </c>
      <c r="E741" s="1" t="s">
        <v>17</v>
      </c>
      <c r="F741" s="1">
        <v>14</v>
      </c>
      <c r="G741" s="1">
        <v>6</v>
      </c>
      <c r="H741" s="1">
        <f>SUM(F741:G741)</f>
        <v>20</v>
      </c>
      <c r="I741" s="5">
        <f ca="1">H741-(ROUNDDOWN((($G$1-C741)/365),1))</f>
        <v>19.100000000000001</v>
      </c>
    </row>
    <row r="742" spans="1:9" x14ac:dyDescent="0.25">
      <c r="A742" s="2">
        <f ca="1">RANK(I742,$I$722:$I$861,0)</f>
        <v>21</v>
      </c>
      <c r="B742" s="29" t="s">
        <v>527</v>
      </c>
      <c r="C742" s="18">
        <v>46264</v>
      </c>
      <c r="D742" s="1" t="s">
        <v>68</v>
      </c>
      <c r="E742" s="1" t="s">
        <v>17</v>
      </c>
      <c r="F742" s="1">
        <v>11</v>
      </c>
      <c r="G742" s="1">
        <v>8</v>
      </c>
      <c r="H742" s="1">
        <f>SUM(F742:G742)</f>
        <v>19</v>
      </c>
      <c r="I742" s="5">
        <f ca="1">H742-(ROUNDDOWN((($G$1-C742)/365),1))</f>
        <v>19</v>
      </c>
    </row>
    <row r="743" spans="1:9" x14ac:dyDescent="0.25">
      <c r="A743" s="2">
        <f ca="1">RANK(I743,$I$722:$I$861,0)</f>
        <v>22</v>
      </c>
      <c r="B743" s="1" t="s">
        <v>522</v>
      </c>
      <c r="C743" s="18">
        <v>46229</v>
      </c>
      <c r="D743" s="1" t="s">
        <v>236</v>
      </c>
      <c r="E743" s="1" t="s">
        <v>17</v>
      </c>
      <c r="F743" s="1">
        <v>13</v>
      </c>
      <c r="G743" s="1">
        <v>6</v>
      </c>
      <c r="H743" s="1">
        <f>SUM(F743:G743)</f>
        <v>19</v>
      </c>
      <c r="I743" s="5">
        <f ca="1">H743-(ROUNDDOWN((($G$1-C743)/365),1))</f>
        <v>18.899999999999999</v>
      </c>
    </row>
    <row r="744" spans="1:9" x14ac:dyDescent="0.25">
      <c r="A744" s="2">
        <f ca="1">RANK(I744,$I$722:$I$861,0)</f>
        <v>23</v>
      </c>
      <c r="B744" s="29" t="s">
        <v>224</v>
      </c>
      <c r="C744" s="18">
        <v>44752</v>
      </c>
      <c r="D744" s="1" t="s">
        <v>71</v>
      </c>
      <c r="E744" s="1" t="s">
        <v>17</v>
      </c>
      <c r="F744" s="1">
        <v>15</v>
      </c>
      <c r="G744" s="1">
        <v>8</v>
      </c>
      <c r="H744" s="1">
        <f>SUM(F744:G744)</f>
        <v>23</v>
      </c>
      <c r="I744" s="5">
        <f ca="1">H744-(ROUNDDOWN((($G$1-C744)/365),1))</f>
        <v>18.8</v>
      </c>
    </row>
    <row r="745" spans="1:9" x14ac:dyDescent="0.25">
      <c r="A745" s="2">
        <f ca="1">RANK(I745,$I$722:$I$861,0)</f>
        <v>24</v>
      </c>
      <c r="B745" s="29" t="s">
        <v>432</v>
      </c>
      <c r="C745" s="18">
        <v>45795</v>
      </c>
      <c r="D745" s="1" t="s">
        <v>378</v>
      </c>
      <c r="E745" s="1" t="s">
        <v>17</v>
      </c>
      <c r="F745" s="1">
        <v>15</v>
      </c>
      <c r="G745" s="1">
        <v>5</v>
      </c>
      <c r="H745" s="1">
        <f>SUM(F745:G745)</f>
        <v>20</v>
      </c>
      <c r="I745" s="5">
        <f ca="1">H745-(ROUNDDOWN((($G$1-C745)/365),1))</f>
        <v>18.7</v>
      </c>
    </row>
    <row r="746" spans="1:9" x14ac:dyDescent="0.25">
      <c r="A746" s="2">
        <f ca="1">RANK(I746,$I$722:$I$861,0)</f>
        <v>25</v>
      </c>
      <c r="B746" s="1" t="s">
        <v>353</v>
      </c>
      <c r="C746" s="18">
        <v>45053</v>
      </c>
      <c r="D746" s="1" t="s">
        <v>67</v>
      </c>
      <c r="E746" s="1" t="s">
        <v>17</v>
      </c>
      <c r="F746" s="1">
        <v>15</v>
      </c>
      <c r="G746" s="1">
        <v>7</v>
      </c>
      <c r="H746" s="1">
        <f>SUM(F746:G746)</f>
        <v>22</v>
      </c>
      <c r="I746" s="5">
        <f ca="1">H746-(ROUNDDOWN((($G$1-C746)/365),1))</f>
        <v>18.600000000000001</v>
      </c>
    </row>
    <row r="747" spans="1:9" x14ac:dyDescent="0.25">
      <c r="A747" s="2">
        <f ca="1">RANK(I747,$I$722:$I$861,0)</f>
        <v>25</v>
      </c>
      <c r="B747" s="29" t="s">
        <v>121</v>
      </c>
      <c r="C747" s="18">
        <v>44318</v>
      </c>
      <c r="D747" s="1" t="s">
        <v>72</v>
      </c>
      <c r="E747" s="1" t="s">
        <v>17</v>
      </c>
      <c r="F747" s="1">
        <v>16</v>
      </c>
      <c r="G747" s="1">
        <v>8</v>
      </c>
      <c r="H747" s="1">
        <f>SUM(F747:G747)</f>
        <v>24</v>
      </c>
      <c r="I747" s="5">
        <f ca="1">H747-(ROUNDDOWN((($G$1-C747)/365),1))</f>
        <v>18.600000000000001</v>
      </c>
    </row>
    <row r="748" spans="1:9" x14ac:dyDescent="0.25">
      <c r="A748" s="2">
        <f ca="1">RANK(I748,$I$722:$I$861,0)</f>
        <v>25</v>
      </c>
      <c r="B748" s="1" t="s">
        <v>504</v>
      </c>
      <c r="C748" s="18">
        <v>46124</v>
      </c>
      <c r="D748" s="1" t="s">
        <v>483</v>
      </c>
      <c r="E748" s="1" t="s">
        <v>17</v>
      </c>
      <c r="F748" s="1">
        <v>13</v>
      </c>
      <c r="G748" s="1">
        <v>6</v>
      </c>
      <c r="H748" s="1">
        <f>SUM(F748:G748)</f>
        <v>19</v>
      </c>
      <c r="I748" s="5">
        <f ca="1">H748-(ROUNDDOWN((($G$1-C748)/365),1))</f>
        <v>18.600000000000001</v>
      </c>
    </row>
    <row r="749" spans="1:9" x14ac:dyDescent="0.25">
      <c r="A749" s="2">
        <f ca="1">RANK(I749,$I$722:$I$861,0)</f>
        <v>25</v>
      </c>
      <c r="B749" s="1" t="s">
        <v>502</v>
      </c>
      <c r="C749" s="18">
        <v>46117</v>
      </c>
      <c r="D749" s="1" t="s">
        <v>378</v>
      </c>
      <c r="E749" s="1" t="s">
        <v>17</v>
      </c>
      <c r="F749" s="1">
        <v>13</v>
      </c>
      <c r="G749" s="1">
        <v>6</v>
      </c>
      <c r="H749" s="1">
        <f>SUM(F749:G749)</f>
        <v>19</v>
      </c>
      <c r="I749" s="5">
        <f ca="1">H749-(ROUNDDOWN((($G$1-C749)/365),1))</f>
        <v>18.600000000000001</v>
      </c>
    </row>
    <row r="750" spans="1:9" x14ac:dyDescent="0.25">
      <c r="A750" s="2">
        <f ca="1">RANK(I750,$I$722:$I$861,0)</f>
        <v>29</v>
      </c>
      <c r="B750" s="29" t="s">
        <v>137</v>
      </c>
      <c r="C750" s="18">
        <v>45011</v>
      </c>
      <c r="D750" s="1" t="s">
        <v>70</v>
      </c>
      <c r="E750" s="1" t="s">
        <v>17</v>
      </c>
      <c r="F750" s="1">
        <v>16</v>
      </c>
      <c r="G750" s="1">
        <v>6</v>
      </c>
      <c r="H750" s="1">
        <f>SUM(F750:G750)</f>
        <v>22</v>
      </c>
      <c r="I750" s="5">
        <f ca="1">H750-(ROUNDDOWN((($G$1-C750)/365),1))</f>
        <v>18.5</v>
      </c>
    </row>
    <row r="751" spans="1:9" x14ac:dyDescent="0.25">
      <c r="A751" s="2">
        <f ca="1">RANK(I751,$I$722:$I$861,0)</f>
        <v>30</v>
      </c>
      <c r="B751" s="1" t="s">
        <v>494</v>
      </c>
      <c r="C751" s="18">
        <v>46075</v>
      </c>
      <c r="D751" s="1" t="s">
        <v>378</v>
      </c>
      <c r="E751" s="1" t="s">
        <v>17</v>
      </c>
      <c r="F751" s="1">
        <v>14</v>
      </c>
      <c r="G751" s="1">
        <v>5</v>
      </c>
      <c r="H751" s="1">
        <f>SUM(F751:G751)</f>
        <v>19</v>
      </c>
      <c r="I751" s="5">
        <f ca="1">H751-(ROUNDDOWN((($G$1-C751)/365),1))</f>
        <v>18.399999999999999</v>
      </c>
    </row>
    <row r="752" spans="1:9" x14ac:dyDescent="0.25">
      <c r="A752" s="2">
        <f ca="1">RANK(I752,$I$722:$I$861,0)</f>
        <v>31</v>
      </c>
      <c r="B752" s="29" t="s">
        <v>264</v>
      </c>
      <c r="C752" s="18">
        <v>44941</v>
      </c>
      <c r="D752" s="1" t="s">
        <v>66</v>
      </c>
      <c r="E752" s="1" t="s">
        <v>17</v>
      </c>
      <c r="F752" s="1">
        <v>16</v>
      </c>
      <c r="G752" s="1">
        <v>6</v>
      </c>
      <c r="H752" s="1">
        <f>SUM(F752:G752)</f>
        <v>22</v>
      </c>
      <c r="I752" s="5">
        <f ca="1">H752-(ROUNDDOWN((($G$1-C752)/365),1))</f>
        <v>18.3</v>
      </c>
    </row>
    <row r="753" spans="1:9" x14ac:dyDescent="0.25">
      <c r="A753" s="2">
        <f ca="1">RANK(I753,$I$722:$I$861,0)</f>
        <v>31</v>
      </c>
      <c r="B753" s="1" t="s">
        <v>480</v>
      </c>
      <c r="C753" s="18">
        <v>46033</v>
      </c>
      <c r="D753" s="1" t="s">
        <v>378</v>
      </c>
      <c r="E753" s="1" t="s">
        <v>17</v>
      </c>
      <c r="F753" s="1">
        <v>13</v>
      </c>
      <c r="G753" s="1">
        <v>6</v>
      </c>
      <c r="H753" s="1">
        <f>SUM(F753:G753)</f>
        <v>19</v>
      </c>
      <c r="I753" s="5">
        <f ca="1">H753-(ROUNDDOWN((($G$1-C753)/365),1))</f>
        <v>18.3</v>
      </c>
    </row>
    <row r="754" spans="1:9" x14ac:dyDescent="0.25">
      <c r="A754" s="2">
        <f ca="1">RANK(I754,$I$722:$I$861,0)</f>
        <v>31</v>
      </c>
      <c r="B754" s="1" t="s">
        <v>481</v>
      </c>
      <c r="C754" s="18">
        <v>46033</v>
      </c>
      <c r="D754" s="1" t="s">
        <v>378</v>
      </c>
      <c r="E754" s="1" t="s">
        <v>17</v>
      </c>
      <c r="F754" s="1">
        <v>14</v>
      </c>
      <c r="G754" s="1">
        <v>5</v>
      </c>
      <c r="H754" s="1">
        <f>SUM(F754:G754)</f>
        <v>19</v>
      </c>
      <c r="I754" s="5">
        <f ca="1">H754-(ROUNDDOWN((($G$1-C754)/365),1))</f>
        <v>18.3</v>
      </c>
    </row>
    <row r="755" spans="1:9" x14ac:dyDescent="0.25">
      <c r="A755" s="2">
        <f ca="1">RANK(I755,$I$722:$I$861,0)</f>
        <v>31</v>
      </c>
      <c r="B755" s="1" t="s">
        <v>397</v>
      </c>
      <c r="C755" s="18">
        <v>45648</v>
      </c>
      <c r="D755" s="1" t="s">
        <v>149</v>
      </c>
      <c r="E755" s="1" t="s">
        <v>17</v>
      </c>
      <c r="F755" s="1">
        <v>16</v>
      </c>
      <c r="G755" s="1">
        <v>4</v>
      </c>
      <c r="H755" s="1">
        <f>SUM(F755:G755)</f>
        <v>20</v>
      </c>
      <c r="I755" s="5">
        <f ca="1">H755-(ROUNDDOWN((($G$1-C755)/365),1))</f>
        <v>18.3</v>
      </c>
    </row>
    <row r="756" spans="1:9" x14ac:dyDescent="0.25">
      <c r="A756" s="2">
        <f ca="1">RANK(I756,$I$722:$I$861,0)</f>
        <v>35</v>
      </c>
      <c r="B756" s="29" t="s">
        <v>318</v>
      </c>
      <c r="C756" s="18">
        <v>45270</v>
      </c>
      <c r="D756" s="1" t="s">
        <v>72</v>
      </c>
      <c r="E756" s="1" t="s">
        <v>17</v>
      </c>
      <c r="F756" s="1">
        <v>15</v>
      </c>
      <c r="G756" s="1">
        <v>6</v>
      </c>
      <c r="H756" s="1">
        <f>SUM(F756:G756)</f>
        <v>21</v>
      </c>
      <c r="I756" s="5">
        <f ca="1">H756-(ROUNDDOWN((($G$1-C756)/365),1))</f>
        <v>18.2</v>
      </c>
    </row>
    <row r="757" spans="1:9" x14ac:dyDescent="0.25">
      <c r="A757" s="2">
        <f ca="1">RANK(I757,$I$722:$I$861,0)</f>
        <v>35</v>
      </c>
      <c r="B757" s="29" t="s">
        <v>176</v>
      </c>
      <c r="C757" s="18">
        <v>44514</v>
      </c>
      <c r="D757" s="1" t="s">
        <v>71</v>
      </c>
      <c r="E757" s="1" t="s">
        <v>17</v>
      </c>
      <c r="F757" s="1">
        <v>16</v>
      </c>
      <c r="G757" s="1">
        <v>7</v>
      </c>
      <c r="H757" s="1">
        <f>SUM(F757:G757)</f>
        <v>23</v>
      </c>
      <c r="I757" s="5">
        <f ca="1">H757-(ROUNDDOWN((($G$1-C757)/365),1))</f>
        <v>18.2</v>
      </c>
    </row>
    <row r="758" spans="1:9" x14ac:dyDescent="0.25">
      <c r="A758" s="2">
        <f ca="1">RANK(I758,$I$722:$I$861,0)</f>
        <v>37</v>
      </c>
      <c r="B758" s="29" t="s">
        <v>467</v>
      </c>
      <c r="C758" s="18">
        <v>45969</v>
      </c>
      <c r="D758" s="1" t="s">
        <v>67</v>
      </c>
      <c r="E758" s="1" t="s">
        <v>17</v>
      </c>
      <c r="F758" s="1">
        <v>12</v>
      </c>
      <c r="G758" s="1">
        <v>7</v>
      </c>
      <c r="H758" s="1">
        <f>SUM(F758:G758)</f>
        <v>19</v>
      </c>
      <c r="I758" s="5">
        <f ca="1">H758-(ROUNDDOWN((($G$1-C758)/365),1))</f>
        <v>18.100000000000001</v>
      </c>
    </row>
    <row r="759" spans="1:9" x14ac:dyDescent="0.25">
      <c r="A759" s="2">
        <f ca="1">RANK(I759,$I$722:$I$861,0)</f>
        <v>37</v>
      </c>
      <c r="B759" s="1" t="s">
        <v>466</v>
      </c>
      <c r="C759" s="18">
        <v>45963</v>
      </c>
      <c r="D759" s="1" t="s">
        <v>378</v>
      </c>
      <c r="E759" s="1" t="s">
        <v>17</v>
      </c>
      <c r="F759" s="1">
        <v>12</v>
      </c>
      <c r="G759" s="1">
        <v>7</v>
      </c>
      <c r="H759" s="1">
        <f>SUM(F759:G759)</f>
        <v>19</v>
      </c>
      <c r="I759" s="5">
        <f ca="1">H759-(ROUNDDOWN((($G$1-C759)/365),1))</f>
        <v>18.100000000000001</v>
      </c>
    </row>
    <row r="760" spans="1:9" x14ac:dyDescent="0.25">
      <c r="A760" s="2">
        <f ca="1">RANK(I760,$I$722:$I$861,0)</f>
        <v>37</v>
      </c>
      <c r="B760" s="29" t="s">
        <v>306</v>
      </c>
      <c r="C760" s="18">
        <v>45214</v>
      </c>
      <c r="D760" s="1" t="s">
        <v>72</v>
      </c>
      <c r="E760" s="1" t="s">
        <v>17</v>
      </c>
      <c r="F760" s="1">
        <v>14</v>
      </c>
      <c r="G760" s="1">
        <v>7</v>
      </c>
      <c r="H760" s="1">
        <f>SUM(F760:G760)</f>
        <v>21</v>
      </c>
      <c r="I760" s="5">
        <f ca="1">H760-(ROUNDDOWN((($G$1-C760)/365),1))</f>
        <v>18.100000000000001</v>
      </c>
    </row>
    <row r="761" spans="1:9" x14ac:dyDescent="0.25">
      <c r="A761" s="2">
        <f ca="1">RANK(I761,$I$722:$I$861,0)</f>
        <v>40</v>
      </c>
      <c r="B761" s="1" t="s">
        <v>459</v>
      </c>
      <c r="C761" s="18">
        <v>45921</v>
      </c>
      <c r="D761" s="1" t="s">
        <v>266</v>
      </c>
      <c r="E761" s="1" t="s">
        <v>17</v>
      </c>
      <c r="F761" s="1">
        <v>13</v>
      </c>
      <c r="G761" s="1">
        <v>6</v>
      </c>
      <c r="H761" s="1">
        <f>SUM(F761:G761)</f>
        <v>19</v>
      </c>
      <c r="I761" s="5">
        <f ca="1">H761-(ROUNDDOWN((($G$1-C761)/365),1))</f>
        <v>18</v>
      </c>
    </row>
    <row r="762" spans="1:9" x14ac:dyDescent="0.25">
      <c r="A762" s="2">
        <f ca="1">RANK(I762,$I$722:$I$861,0)</f>
        <v>40</v>
      </c>
      <c r="B762" s="1" t="s">
        <v>535</v>
      </c>
      <c r="C762" s="18">
        <v>46299</v>
      </c>
      <c r="D762" s="1" t="s">
        <v>378</v>
      </c>
      <c r="E762" s="1" t="s">
        <v>17</v>
      </c>
      <c r="F762" s="1">
        <v>13</v>
      </c>
      <c r="G762" s="1">
        <v>5</v>
      </c>
      <c r="H762" s="1">
        <f>SUM(F762:G762)</f>
        <v>18</v>
      </c>
      <c r="I762" s="5">
        <f ca="1">H762-(ROUNDDOWN((($G$1-C762)/365),1))</f>
        <v>18</v>
      </c>
    </row>
    <row r="763" spans="1:9" x14ac:dyDescent="0.25">
      <c r="A763" s="2">
        <f ca="1">RANK(I763,$I$722:$I$861,0)</f>
        <v>42</v>
      </c>
      <c r="B763" s="1" t="s">
        <v>231</v>
      </c>
      <c r="C763" s="18">
        <v>44787</v>
      </c>
      <c r="D763" s="1" t="s">
        <v>69</v>
      </c>
      <c r="E763" s="1" t="s">
        <v>17</v>
      </c>
      <c r="F763" s="1">
        <v>14</v>
      </c>
      <c r="G763" s="1">
        <v>8</v>
      </c>
      <c r="H763" s="1">
        <f>SUM(F763:G763)</f>
        <v>22</v>
      </c>
      <c r="I763" s="5">
        <f ca="1">H763-(ROUNDDOWN((($G$1-C763)/365),1))</f>
        <v>17.899999999999999</v>
      </c>
    </row>
    <row r="764" spans="1:9" x14ac:dyDescent="0.25">
      <c r="A764" s="2">
        <f ca="1">RANK(I764,$I$722:$I$861,0)</f>
        <v>42</v>
      </c>
      <c r="B764" s="29" t="s">
        <v>141</v>
      </c>
      <c r="C764" s="18">
        <v>44416</v>
      </c>
      <c r="D764" s="1" t="s">
        <v>69</v>
      </c>
      <c r="E764" s="1" t="s">
        <v>17</v>
      </c>
      <c r="F764" s="1">
        <v>16</v>
      </c>
      <c r="G764" s="1">
        <v>7</v>
      </c>
      <c r="H764" s="1">
        <f>SUM(F764:G764)</f>
        <v>23</v>
      </c>
      <c r="I764" s="5">
        <f ca="1">H764-(ROUNDDOWN((($G$1-C764)/365),1))</f>
        <v>17.899999999999999</v>
      </c>
    </row>
    <row r="765" spans="1:9" x14ac:dyDescent="0.25">
      <c r="A765" s="2">
        <f ca="1">RANK(I765,$I$722:$I$861,0)</f>
        <v>42</v>
      </c>
      <c r="B765" s="1" t="s">
        <v>64</v>
      </c>
      <c r="C765" s="18">
        <v>44409</v>
      </c>
      <c r="D765" s="1" t="s">
        <v>69</v>
      </c>
      <c r="E765" s="1" t="s">
        <v>17</v>
      </c>
      <c r="F765" s="1">
        <v>15</v>
      </c>
      <c r="G765" s="1">
        <v>8</v>
      </c>
      <c r="H765" s="1">
        <f>SUM(F765:G765)</f>
        <v>23</v>
      </c>
      <c r="I765" s="5">
        <f ca="1">H765-(ROUNDDOWN((($G$1-C765)/365),1))</f>
        <v>17.899999999999999</v>
      </c>
    </row>
    <row r="766" spans="1:9" x14ac:dyDescent="0.25">
      <c r="A766" s="2">
        <f ca="1">RANK(I766,$I$722:$I$861,0)</f>
        <v>45</v>
      </c>
      <c r="B766" s="1" t="s">
        <v>218</v>
      </c>
      <c r="C766" s="18">
        <v>44731</v>
      </c>
      <c r="D766" s="1" t="s">
        <v>72</v>
      </c>
      <c r="E766" s="1" t="s">
        <v>17</v>
      </c>
      <c r="F766" s="1">
        <v>15</v>
      </c>
      <c r="G766" s="1">
        <v>7</v>
      </c>
      <c r="H766" s="1">
        <f>SUM(F766:G766)</f>
        <v>22</v>
      </c>
      <c r="I766" s="5">
        <f ca="1">H766-(ROUNDDOWN((($G$1-C766)/365),1))</f>
        <v>17.8</v>
      </c>
    </row>
    <row r="767" spans="1:9" x14ac:dyDescent="0.25">
      <c r="A767" s="2">
        <f ca="1">RANK(I767,$I$722:$I$861,0)</f>
        <v>46</v>
      </c>
      <c r="B767" s="29" t="s">
        <v>217</v>
      </c>
      <c r="C767" s="18">
        <v>44724</v>
      </c>
      <c r="D767" s="1" t="s">
        <v>131</v>
      </c>
      <c r="E767" s="1" t="s">
        <v>17</v>
      </c>
      <c r="F767" s="1">
        <v>15</v>
      </c>
      <c r="G767" s="1">
        <v>7</v>
      </c>
      <c r="H767" s="1">
        <f>SUM(F767:G767)</f>
        <v>22</v>
      </c>
      <c r="I767" s="5">
        <f ca="1">H767-(ROUNDDOWN((($G$1-C767)/365),1))</f>
        <v>17.7</v>
      </c>
    </row>
    <row r="768" spans="1:9" x14ac:dyDescent="0.25">
      <c r="A768" s="2">
        <f ca="1">RANK(I768,$I$722:$I$861,0)</f>
        <v>46</v>
      </c>
      <c r="B768" s="1" t="s">
        <v>106</v>
      </c>
      <c r="C768" s="18">
        <v>44703</v>
      </c>
      <c r="D768" s="1" t="s">
        <v>69</v>
      </c>
      <c r="E768" s="1" t="s">
        <v>17</v>
      </c>
      <c r="F768" s="1">
        <v>15</v>
      </c>
      <c r="G768" s="1">
        <v>7</v>
      </c>
      <c r="H768" s="1">
        <f>SUM(F768:G768)</f>
        <v>22</v>
      </c>
      <c r="I768" s="5">
        <f ca="1">H768-(ROUNDDOWN((($G$1-C768)/365),1))</f>
        <v>17.7</v>
      </c>
    </row>
    <row r="769" spans="1:9" x14ac:dyDescent="0.25">
      <c r="A769" s="2">
        <f ca="1">RANK(I769,$I$722:$I$861,0)</f>
        <v>48</v>
      </c>
      <c r="B769" s="29" t="s">
        <v>117</v>
      </c>
      <c r="C769" s="18">
        <v>44304</v>
      </c>
      <c r="D769" s="1" t="s">
        <v>72</v>
      </c>
      <c r="E769" s="1" t="s">
        <v>17</v>
      </c>
      <c r="F769" s="1">
        <v>16</v>
      </c>
      <c r="G769" s="1">
        <v>7</v>
      </c>
      <c r="H769" s="1">
        <f>SUM(F769:G769)</f>
        <v>23</v>
      </c>
      <c r="I769" s="5">
        <f ca="1">H769-(ROUNDDOWN((($G$1-C769)/365),1))</f>
        <v>17.600000000000001</v>
      </c>
    </row>
    <row r="770" spans="1:9" x14ac:dyDescent="0.25">
      <c r="A770" s="2">
        <f ca="1">RANK(I770,$I$722:$I$861,0)</f>
        <v>48</v>
      </c>
      <c r="B770" s="1" t="s">
        <v>503</v>
      </c>
      <c r="C770" s="18">
        <v>46124</v>
      </c>
      <c r="D770" s="1" t="s">
        <v>378</v>
      </c>
      <c r="E770" s="1" t="s">
        <v>17</v>
      </c>
      <c r="F770" s="1">
        <v>13</v>
      </c>
      <c r="G770" s="1">
        <v>5</v>
      </c>
      <c r="H770" s="1">
        <f>SUM(F770:G770)</f>
        <v>18</v>
      </c>
      <c r="I770" s="5">
        <f ca="1">H770-(ROUNDDOWN((($G$1-C770)/365),1))</f>
        <v>17.600000000000001</v>
      </c>
    </row>
    <row r="771" spans="1:9" x14ac:dyDescent="0.25">
      <c r="A771" s="2">
        <f ca="1">RANK(I771,$I$722:$I$861,0)</f>
        <v>50</v>
      </c>
      <c r="B771" s="1" t="s">
        <v>91</v>
      </c>
      <c r="C771" s="18">
        <v>45011</v>
      </c>
      <c r="D771" s="1" t="s">
        <v>73</v>
      </c>
      <c r="E771" s="1" t="s">
        <v>17</v>
      </c>
      <c r="F771" s="1">
        <v>14</v>
      </c>
      <c r="G771" s="1">
        <v>7</v>
      </c>
      <c r="H771" s="1">
        <f>SUM(F771:G771)</f>
        <v>21</v>
      </c>
      <c r="I771" s="5">
        <f ca="1">H771-(ROUNDDOWN((($G$1-C771)/365),1))</f>
        <v>17.5</v>
      </c>
    </row>
    <row r="772" spans="1:9" x14ac:dyDescent="0.25">
      <c r="A772" s="2">
        <f ca="1">RANK(I772,$I$722:$I$861,0)</f>
        <v>50</v>
      </c>
      <c r="B772" s="29" t="s">
        <v>354</v>
      </c>
      <c r="C772" s="18">
        <v>44269</v>
      </c>
      <c r="D772" s="1" t="s">
        <v>67</v>
      </c>
      <c r="E772" s="1" t="s">
        <v>17</v>
      </c>
      <c r="F772" s="1">
        <v>18</v>
      </c>
      <c r="G772" s="1">
        <v>5</v>
      </c>
      <c r="H772" s="1">
        <f>SUM(F772:G772)</f>
        <v>23</v>
      </c>
      <c r="I772" s="5">
        <f ca="1">H772-(ROUNDDOWN((($G$1-C772)/365),1))</f>
        <v>17.5</v>
      </c>
    </row>
    <row r="773" spans="1:9" x14ac:dyDescent="0.25">
      <c r="A773" s="2">
        <f ca="1">RANK(I773,$I$722:$I$861,0)</f>
        <v>52</v>
      </c>
      <c r="B773" s="1" t="s">
        <v>491</v>
      </c>
      <c r="C773" s="18">
        <v>46061</v>
      </c>
      <c r="D773" s="1" t="s">
        <v>71</v>
      </c>
      <c r="E773" s="1" t="s">
        <v>17</v>
      </c>
      <c r="F773" s="1">
        <v>13</v>
      </c>
      <c r="G773" s="1">
        <v>5</v>
      </c>
      <c r="H773" s="1">
        <f>SUM(F773:G773)</f>
        <v>18</v>
      </c>
      <c r="I773" s="5">
        <f ca="1">H773-(ROUNDDOWN((($G$1-C773)/365),1))</f>
        <v>17.399999999999999</v>
      </c>
    </row>
    <row r="774" spans="1:9" x14ac:dyDescent="0.25">
      <c r="A774" s="2">
        <f ca="1">RANK(I774,$I$722:$I$861,0)</f>
        <v>53</v>
      </c>
      <c r="B774" s="1" t="s">
        <v>254</v>
      </c>
      <c r="C774" s="18">
        <v>44885</v>
      </c>
      <c r="D774" s="1" t="s">
        <v>74</v>
      </c>
      <c r="E774" s="1" t="s">
        <v>17</v>
      </c>
      <c r="F774" s="1">
        <v>15</v>
      </c>
      <c r="G774" s="1">
        <v>6</v>
      </c>
      <c r="H774" s="1">
        <f>SUM(F774:G774)</f>
        <v>21</v>
      </c>
      <c r="I774" s="5">
        <f ca="1">H774-(ROUNDDOWN((($G$1-C774)/365),1))</f>
        <v>17.2</v>
      </c>
    </row>
    <row r="775" spans="1:9" x14ac:dyDescent="0.25">
      <c r="A775" s="2">
        <f ca="1">RANK(I775,$I$722:$I$861,0)</f>
        <v>54</v>
      </c>
      <c r="B775" s="29" t="s">
        <v>159</v>
      </c>
      <c r="C775" s="18">
        <v>44458</v>
      </c>
      <c r="D775" s="1" t="s">
        <v>154</v>
      </c>
      <c r="E775" s="1" t="s">
        <v>17</v>
      </c>
      <c r="F775" s="1">
        <v>15</v>
      </c>
      <c r="G775" s="1">
        <v>7</v>
      </c>
      <c r="H775" s="1">
        <f>SUM(F775:G775)</f>
        <v>22</v>
      </c>
      <c r="I775" s="5">
        <f ca="1">H775-(ROUNDDOWN((($G$1-C775)/365),1))</f>
        <v>17</v>
      </c>
    </row>
    <row r="776" spans="1:9" x14ac:dyDescent="0.25">
      <c r="A776" s="2">
        <f ca="1">RANK(I776,$I$722:$I$861,0)</f>
        <v>55</v>
      </c>
      <c r="B776" s="1" t="s">
        <v>153</v>
      </c>
      <c r="C776" s="18">
        <v>44437</v>
      </c>
      <c r="D776" s="1" t="s">
        <v>74</v>
      </c>
      <c r="E776" s="1" t="s">
        <v>17</v>
      </c>
      <c r="F776" s="1">
        <v>15</v>
      </c>
      <c r="G776" s="1">
        <v>7</v>
      </c>
      <c r="H776" s="1">
        <f>SUM(F776:G776)</f>
        <v>22</v>
      </c>
      <c r="I776" s="5">
        <f ca="1">H776-(ROUNDDOWN((($G$1-C776)/365),1))</f>
        <v>16.899999999999999</v>
      </c>
    </row>
    <row r="777" spans="1:9" x14ac:dyDescent="0.25">
      <c r="A777" s="2">
        <f ca="1">RANK(I777,$I$722:$I$861,0)</f>
        <v>56</v>
      </c>
      <c r="B777" s="1" t="s">
        <v>517</v>
      </c>
      <c r="C777" s="18">
        <v>46201</v>
      </c>
      <c r="D777" s="1" t="s">
        <v>266</v>
      </c>
      <c r="E777" s="1" t="s">
        <v>17</v>
      </c>
      <c r="F777" s="1">
        <v>11</v>
      </c>
      <c r="G777" s="1">
        <v>6</v>
      </c>
      <c r="H777" s="1">
        <f>SUM(F777:G777)</f>
        <v>17</v>
      </c>
      <c r="I777" s="5">
        <f ca="1">H777-(ROUNDDOWN((($G$1-C777)/365),1))</f>
        <v>16.8</v>
      </c>
    </row>
    <row r="778" spans="1:9" x14ac:dyDescent="0.25">
      <c r="A778" s="2">
        <f ca="1">RANK(I778,$I$722:$I$861,0)</f>
        <v>56</v>
      </c>
      <c r="B778" s="1" t="s">
        <v>439</v>
      </c>
      <c r="C778" s="18">
        <v>45830</v>
      </c>
      <c r="D778" s="1" t="s">
        <v>69</v>
      </c>
      <c r="E778" s="1" t="s">
        <v>17</v>
      </c>
      <c r="F778" s="1">
        <v>12</v>
      </c>
      <c r="G778" s="1">
        <v>6</v>
      </c>
      <c r="H778" s="1">
        <f>SUM(F778:G778)</f>
        <v>18</v>
      </c>
      <c r="I778" s="5">
        <f ca="1">H778-(ROUNDDOWN((($G$1-C778)/365),1))</f>
        <v>16.8</v>
      </c>
    </row>
    <row r="779" spans="1:9" x14ac:dyDescent="0.25">
      <c r="A779" s="2">
        <f ca="1">RANK(I779,$I$722:$I$861,0)</f>
        <v>58</v>
      </c>
      <c r="B779" s="1" t="s">
        <v>434</v>
      </c>
      <c r="C779" s="18">
        <v>45802</v>
      </c>
      <c r="D779" s="1" t="s">
        <v>149</v>
      </c>
      <c r="E779" s="1" t="s">
        <v>17</v>
      </c>
      <c r="F779" s="1">
        <v>12</v>
      </c>
      <c r="G779" s="1">
        <v>6</v>
      </c>
      <c r="H779" s="1">
        <f>SUM(F779:G779)</f>
        <v>18</v>
      </c>
      <c r="I779" s="5">
        <f ca="1">H779-(ROUNDDOWN((($G$1-C779)/365),1))</f>
        <v>16.7</v>
      </c>
    </row>
    <row r="780" spans="1:9" x14ac:dyDescent="0.25">
      <c r="A780" s="2">
        <f ca="1">RANK(I780,$I$722:$I$861,0)</f>
        <v>58</v>
      </c>
      <c r="B780" s="1" t="s">
        <v>281</v>
      </c>
      <c r="C780" s="18">
        <v>45067</v>
      </c>
      <c r="D780" s="1" t="s">
        <v>69</v>
      </c>
      <c r="E780" s="1" t="s">
        <v>17</v>
      </c>
      <c r="F780" s="1">
        <v>14</v>
      </c>
      <c r="G780" s="1">
        <v>6</v>
      </c>
      <c r="H780" s="1">
        <f>SUM(F780:G780)</f>
        <v>20</v>
      </c>
      <c r="I780" s="5">
        <f ca="1">H780-(ROUNDDOWN((($G$1-C780)/365),1))</f>
        <v>16.7</v>
      </c>
    </row>
    <row r="781" spans="1:9" x14ac:dyDescent="0.25">
      <c r="A781" s="2">
        <f ca="1">RANK(I781,$I$722:$I$861,0)</f>
        <v>60</v>
      </c>
      <c r="B781" s="29" t="s">
        <v>276</v>
      </c>
      <c r="C781" s="18">
        <v>45032</v>
      </c>
      <c r="D781" s="1" t="s">
        <v>71</v>
      </c>
      <c r="E781" s="1" t="s">
        <v>17</v>
      </c>
      <c r="F781" s="1">
        <v>14</v>
      </c>
      <c r="G781" s="1">
        <v>6</v>
      </c>
      <c r="H781" s="1">
        <f>SUM(F781:G781)</f>
        <v>20</v>
      </c>
      <c r="I781" s="5">
        <f ca="1">H781-(ROUNDDOWN((($G$1-C781)/365),1))</f>
        <v>16.600000000000001</v>
      </c>
    </row>
    <row r="782" spans="1:9" x14ac:dyDescent="0.25">
      <c r="A782" s="2">
        <f ca="1">RANK(I782,$I$722:$I$861,0)</f>
        <v>61</v>
      </c>
      <c r="B782" s="1" t="s">
        <v>337</v>
      </c>
      <c r="C782" s="18">
        <v>45368</v>
      </c>
      <c r="D782" s="1" t="s">
        <v>184</v>
      </c>
      <c r="E782" s="1" t="s">
        <v>17</v>
      </c>
      <c r="F782" s="1">
        <v>14</v>
      </c>
      <c r="G782" s="1">
        <v>5</v>
      </c>
      <c r="H782" s="1">
        <f>SUM(F782:G782)</f>
        <v>19</v>
      </c>
      <c r="I782" s="5">
        <f ca="1">H782-(ROUNDDOWN((($G$1-C782)/365),1))</f>
        <v>16.5</v>
      </c>
    </row>
    <row r="783" spans="1:9" x14ac:dyDescent="0.25">
      <c r="A783" s="2">
        <f ca="1">RANK(I783,$I$722:$I$861,0)</f>
        <v>62</v>
      </c>
      <c r="B783" s="1" t="s">
        <v>329</v>
      </c>
      <c r="C783" s="18">
        <v>45319</v>
      </c>
      <c r="D783" s="1" t="s">
        <v>66</v>
      </c>
      <c r="E783" s="1" t="s">
        <v>17</v>
      </c>
      <c r="F783" s="1">
        <v>13</v>
      </c>
      <c r="G783" s="1">
        <v>6</v>
      </c>
      <c r="H783" s="1">
        <f>SUM(F783:G783)</f>
        <v>19</v>
      </c>
      <c r="I783" s="5">
        <f ca="1">H783-(ROUNDDOWN((($G$1-C783)/365),1))</f>
        <v>16.399999999999999</v>
      </c>
    </row>
    <row r="784" spans="1:9" x14ac:dyDescent="0.25">
      <c r="A784" s="2">
        <f ca="1">RANK(I784,$I$722:$I$861,0)</f>
        <v>62</v>
      </c>
      <c r="B784" s="29" t="s">
        <v>407</v>
      </c>
      <c r="C784" s="18">
        <v>45683</v>
      </c>
      <c r="D784" s="1" t="s">
        <v>71</v>
      </c>
      <c r="E784" s="1" t="s">
        <v>17</v>
      </c>
      <c r="F784" s="1">
        <v>14</v>
      </c>
      <c r="G784" s="1">
        <v>4</v>
      </c>
      <c r="H784" s="1">
        <f>SUM(F784:G784)</f>
        <v>18</v>
      </c>
      <c r="I784" s="5">
        <f ca="1">H784-(ROUNDDOWN((($G$1-C784)/365),1))</f>
        <v>16.399999999999999</v>
      </c>
    </row>
    <row r="785" spans="1:9" x14ac:dyDescent="0.25">
      <c r="A785" s="2">
        <f ca="1">RANK(I785,$I$722:$I$861,0)</f>
        <v>64</v>
      </c>
      <c r="B785" s="29" t="s">
        <v>484</v>
      </c>
      <c r="C785" s="18">
        <v>46040</v>
      </c>
      <c r="D785" s="1" t="s">
        <v>378</v>
      </c>
      <c r="E785" s="1" t="s">
        <v>17</v>
      </c>
      <c r="F785" s="1">
        <v>12</v>
      </c>
      <c r="G785" s="1">
        <v>5</v>
      </c>
      <c r="H785" s="1">
        <f>SUM(F785:G785)</f>
        <v>17</v>
      </c>
      <c r="I785" s="5">
        <f ca="1">H785-(ROUNDDOWN((($G$1-C785)/365),1))</f>
        <v>16.3</v>
      </c>
    </row>
    <row r="786" spans="1:9" x14ac:dyDescent="0.25">
      <c r="A786" s="2">
        <f ca="1">RANK(I786,$I$722:$I$861,0)</f>
        <v>64</v>
      </c>
      <c r="B786" s="1" t="s">
        <v>83</v>
      </c>
      <c r="C786" s="18">
        <v>44577</v>
      </c>
      <c r="D786" s="1" t="s">
        <v>68</v>
      </c>
      <c r="E786" s="1" t="s">
        <v>17</v>
      </c>
      <c r="F786" s="1">
        <v>14</v>
      </c>
      <c r="G786" s="1">
        <v>7</v>
      </c>
      <c r="H786" s="1">
        <f>SUM(F786:G786)</f>
        <v>21</v>
      </c>
      <c r="I786" s="5">
        <f ca="1">H786-(ROUNDDOWN((($G$1-C786)/365),1))</f>
        <v>16.3</v>
      </c>
    </row>
    <row r="787" spans="1:9" x14ac:dyDescent="0.25">
      <c r="A787" s="2">
        <f ca="1">RANK(I787,$I$722:$I$861,0)</f>
        <v>64</v>
      </c>
      <c r="B787" s="1" t="s">
        <v>401</v>
      </c>
      <c r="C787" s="18">
        <v>45662</v>
      </c>
      <c r="D787" s="1" t="s">
        <v>68</v>
      </c>
      <c r="E787" s="1" t="s">
        <v>17</v>
      </c>
      <c r="F787" s="1">
        <v>10</v>
      </c>
      <c r="G787" s="1">
        <v>8</v>
      </c>
      <c r="H787" s="1">
        <f>SUM(F787:G787)</f>
        <v>18</v>
      </c>
      <c r="I787" s="5">
        <f ca="1">H787-(ROUNDDOWN((($G$1-C787)/365),1))</f>
        <v>16.3</v>
      </c>
    </row>
    <row r="788" spans="1:9" x14ac:dyDescent="0.25">
      <c r="A788" s="2">
        <f ca="1">RANK(I788,$I$722:$I$861,0)</f>
        <v>67</v>
      </c>
      <c r="B788" s="1" t="s">
        <v>473</v>
      </c>
      <c r="C788" s="18">
        <v>45991</v>
      </c>
      <c r="D788" s="1" t="s">
        <v>71</v>
      </c>
      <c r="E788" s="1" t="s">
        <v>17</v>
      </c>
      <c r="F788" s="1">
        <v>14</v>
      </c>
      <c r="G788" s="1">
        <v>3</v>
      </c>
      <c r="H788" s="1">
        <f>SUM(F788:G788)</f>
        <v>17</v>
      </c>
      <c r="I788" s="5">
        <f ca="1">H788-(ROUNDDOWN((($G$1-C788)/365),1))</f>
        <v>16.2</v>
      </c>
    </row>
    <row r="789" spans="1:9" x14ac:dyDescent="0.25">
      <c r="A789" s="2">
        <f ca="1">RANK(I789,$I$722:$I$861,0)</f>
        <v>67</v>
      </c>
      <c r="B789" s="29" t="s">
        <v>180</v>
      </c>
      <c r="C789" s="18">
        <v>44528</v>
      </c>
      <c r="D789" s="1" t="s">
        <v>71</v>
      </c>
      <c r="E789" s="1" t="s">
        <v>17</v>
      </c>
      <c r="F789" s="1">
        <v>15</v>
      </c>
      <c r="G789" s="1">
        <v>6</v>
      </c>
      <c r="H789" s="1">
        <f>SUM(F789:G789)</f>
        <v>21</v>
      </c>
      <c r="I789" s="5">
        <f ca="1">H789-(ROUNDDOWN((($G$1-C789)/365),1))</f>
        <v>16.2</v>
      </c>
    </row>
    <row r="790" spans="1:9" x14ac:dyDescent="0.25">
      <c r="A790" s="2">
        <f ca="1">RANK(I790,$I$722:$I$861,0)</f>
        <v>69</v>
      </c>
      <c r="B790" s="1" t="s">
        <v>310</v>
      </c>
      <c r="C790" s="18">
        <v>45235</v>
      </c>
      <c r="D790" s="1" t="s">
        <v>184</v>
      </c>
      <c r="E790" s="1" t="s">
        <v>17</v>
      </c>
      <c r="F790" s="1">
        <v>13</v>
      </c>
      <c r="G790" s="1">
        <v>6</v>
      </c>
      <c r="H790" s="1">
        <f>SUM(F790:G790)</f>
        <v>19</v>
      </c>
      <c r="I790" s="5">
        <f ca="1">H790-(ROUNDDOWN((($G$1-C790)/365),1))</f>
        <v>16.100000000000001</v>
      </c>
    </row>
    <row r="791" spans="1:9" x14ac:dyDescent="0.25">
      <c r="A791" s="2">
        <f ca="1">RANK(I791,$I$722:$I$861,0)</f>
        <v>70</v>
      </c>
      <c r="B791" s="1" t="s">
        <v>301</v>
      </c>
      <c r="C791" s="18">
        <v>45193</v>
      </c>
      <c r="D791" s="1" t="s">
        <v>266</v>
      </c>
      <c r="E791" s="1" t="s">
        <v>17</v>
      </c>
      <c r="F791" s="1">
        <v>13</v>
      </c>
      <c r="G791" s="1">
        <v>6</v>
      </c>
      <c r="H791" s="1">
        <f>SUM(F791:G791)</f>
        <v>19</v>
      </c>
      <c r="I791" s="5">
        <f ca="1">H791-(ROUNDDOWN((($G$1-C791)/365),1))</f>
        <v>16</v>
      </c>
    </row>
    <row r="792" spans="1:9" x14ac:dyDescent="0.25">
      <c r="A792" s="2">
        <f ca="1">RANK(I792,$I$722:$I$861,0)</f>
        <v>71</v>
      </c>
      <c r="B792" s="1" t="s">
        <v>362</v>
      </c>
      <c r="C792" s="18">
        <v>45515</v>
      </c>
      <c r="D792" s="1" t="s">
        <v>266</v>
      </c>
      <c r="E792" s="1" t="s">
        <v>17</v>
      </c>
      <c r="F792" s="1">
        <v>15</v>
      </c>
      <c r="G792" s="1">
        <v>3</v>
      </c>
      <c r="H792" s="1">
        <f>SUM(F792:G792)</f>
        <v>18</v>
      </c>
      <c r="I792" s="5">
        <f ca="1">H792-(ROUNDDOWN((($G$1-C792)/365),1))</f>
        <v>15.9</v>
      </c>
    </row>
    <row r="793" spans="1:9" x14ac:dyDescent="0.25">
      <c r="A793" s="2">
        <f ca="1">RANK(I793,$I$722:$I$861,0)</f>
        <v>71</v>
      </c>
      <c r="B793" s="29" t="s">
        <v>31</v>
      </c>
      <c r="C793" s="18">
        <v>44409</v>
      </c>
      <c r="D793" s="1" t="s">
        <v>72</v>
      </c>
      <c r="E793" s="1" t="s">
        <v>17</v>
      </c>
      <c r="F793" s="1">
        <v>13</v>
      </c>
      <c r="G793" s="1">
        <v>8</v>
      </c>
      <c r="H793" s="1">
        <f>SUM(F793:G793)</f>
        <v>21</v>
      </c>
      <c r="I793" s="5">
        <f ca="1">H793-(ROUNDDOWN((($G$1-C793)/365),1))</f>
        <v>15.9</v>
      </c>
    </row>
    <row r="794" spans="1:9" x14ac:dyDescent="0.25">
      <c r="A794" s="2">
        <f ca="1">RANK(I794,$I$722:$I$861,0)</f>
        <v>73</v>
      </c>
      <c r="B794" s="29" t="s">
        <v>511</v>
      </c>
      <c r="C794" s="18">
        <v>46145</v>
      </c>
      <c r="D794" s="1" t="s">
        <v>378</v>
      </c>
      <c r="E794" s="1" t="s">
        <v>17</v>
      </c>
      <c r="F794" s="1">
        <v>12</v>
      </c>
      <c r="G794" s="1">
        <v>4</v>
      </c>
      <c r="H794" s="1">
        <f>SUM(F794:G794)</f>
        <v>16</v>
      </c>
      <c r="I794" s="5">
        <f ca="1">H794-(ROUNDDOWN((($G$1-C794)/365),1))</f>
        <v>15.6</v>
      </c>
    </row>
    <row r="795" spans="1:9" x14ac:dyDescent="0.25">
      <c r="A795" s="2">
        <f ca="1">RANK(I795,$I$722:$I$861,0)</f>
        <v>73</v>
      </c>
      <c r="B795" s="1" t="s">
        <v>341</v>
      </c>
      <c r="C795" s="18">
        <v>45389</v>
      </c>
      <c r="D795" s="1" t="s">
        <v>149</v>
      </c>
      <c r="E795" s="1" t="s">
        <v>17</v>
      </c>
      <c r="F795" s="1">
        <v>12</v>
      </c>
      <c r="G795" s="1">
        <v>6</v>
      </c>
      <c r="H795" s="1">
        <f>SUM(F795:G795)</f>
        <v>18</v>
      </c>
      <c r="I795" s="5">
        <f ca="1">H795-(ROUNDDOWN((($G$1-C795)/365),1))</f>
        <v>15.6</v>
      </c>
    </row>
    <row r="796" spans="1:9" x14ac:dyDescent="0.25">
      <c r="A796" s="2">
        <f ca="1">RANK(I796,$I$722:$I$861,0)</f>
        <v>75</v>
      </c>
      <c r="B796" s="29" t="s">
        <v>136</v>
      </c>
      <c r="C796" s="18">
        <v>45011</v>
      </c>
      <c r="D796" s="1" t="s">
        <v>72</v>
      </c>
      <c r="E796" s="1" t="s">
        <v>17</v>
      </c>
      <c r="F796" s="1">
        <v>11</v>
      </c>
      <c r="G796" s="1">
        <v>8</v>
      </c>
      <c r="H796" s="1">
        <f>SUM(F796:G796)</f>
        <v>19</v>
      </c>
      <c r="I796" s="5">
        <f ca="1">H796-(ROUNDDOWN((($G$1-C796)/365),1))</f>
        <v>15.5</v>
      </c>
    </row>
    <row r="797" spans="1:9" x14ac:dyDescent="0.25">
      <c r="A797" s="2">
        <f ca="1">RANK(I797,$I$722:$I$861,0)</f>
        <v>75</v>
      </c>
      <c r="B797" s="1" t="s">
        <v>202</v>
      </c>
      <c r="C797" s="18">
        <v>44640</v>
      </c>
      <c r="D797" s="1" t="s">
        <v>71</v>
      </c>
      <c r="E797" s="1" t="s">
        <v>17</v>
      </c>
      <c r="F797" s="1">
        <v>15</v>
      </c>
      <c r="G797" s="1">
        <v>5</v>
      </c>
      <c r="H797" s="1">
        <f>SUM(F797:G797)</f>
        <v>20</v>
      </c>
      <c r="I797" s="5">
        <f ca="1">H797-(ROUNDDOWN((($G$1-C797)/365),1))</f>
        <v>15.5</v>
      </c>
    </row>
    <row r="798" spans="1:9" x14ac:dyDescent="0.25">
      <c r="A798" s="2">
        <f ca="1">RANK(I798,$I$722:$I$861,0)</f>
        <v>75</v>
      </c>
      <c r="B798" s="1" t="s">
        <v>417</v>
      </c>
      <c r="C798" s="18">
        <v>45732</v>
      </c>
      <c r="D798" s="1" t="s">
        <v>308</v>
      </c>
      <c r="E798" s="1" t="s">
        <v>17</v>
      </c>
      <c r="F798" s="1">
        <v>11</v>
      </c>
      <c r="G798" s="1">
        <v>6</v>
      </c>
      <c r="H798" s="1">
        <f>SUM(F798:G798)</f>
        <v>17</v>
      </c>
      <c r="I798" s="5">
        <f ca="1">H798-(ROUNDDOWN((($G$1-C798)/365),1))</f>
        <v>15.5</v>
      </c>
    </row>
    <row r="799" spans="1:9" x14ac:dyDescent="0.25">
      <c r="A799" s="2">
        <f ca="1">RANK(I799,$I$722:$I$861,0)</f>
        <v>75</v>
      </c>
      <c r="B799" s="1" t="s">
        <v>500</v>
      </c>
      <c r="C799" s="18">
        <v>46103</v>
      </c>
      <c r="D799" s="1" t="s">
        <v>74</v>
      </c>
      <c r="E799" s="1" t="s">
        <v>17</v>
      </c>
      <c r="F799" s="1">
        <v>11</v>
      </c>
      <c r="G799" s="1">
        <v>5</v>
      </c>
      <c r="H799" s="1">
        <f>SUM(F799:G799)</f>
        <v>16</v>
      </c>
      <c r="I799" s="5">
        <f ca="1">H799-(ROUNDDOWN((($G$1-C799)/365),1))</f>
        <v>15.5</v>
      </c>
    </row>
    <row r="800" spans="1:9" x14ac:dyDescent="0.25">
      <c r="A800" s="2">
        <f ca="1">RANK(I800,$I$722:$I$861,0)</f>
        <v>75</v>
      </c>
      <c r="B800" s="29" t="s">
        <v>495</v>
      </c>
      <c r="C800" s="18">
        <v>46082</v>
      </c>
      <c r="D800" s="1" t="s">
        <v>266</v>
      </c>
      <c r="E800" s="1" t="s">
        <v>17</v>
      </c>
      <c r="F800" s="1">
        <v>10</v>
      </c>
      <c r="G800" s="1">
        <v>6</v>
      </c>
      <c r="H800" s="1">
        <f>SUM(F800:G800)</f>
        <v>16</v>
      </c>
      <c r="I800" s="5">
        <f ca="1">H800-(ROUNDDOWN((($G$1-C800)/365),1))</f>
        <v>15.5</v>
      </c>
    </row>
    <row r="801" spans="1:9" x14ac:dyDescent="0.25">
      <c r="A801" s="2">
        <f ca="1">RANK(I801,$I$722:$I$861,0)</f>
        <v>80</v>
      </c>
      <c r="B801" s="1" t="s">
        <v>256</v>
      </c>
      <c r="C801" s="18">
        <v>44906</v>
      </c>
      <c r="D801" s="1" t="s">
        <v>71</v>
      </c>
      <c r="E801" s="1" t="s">
        <v>17</v>
      </c>
      <c r="F801" s="1">
        <v>13</v>
      </c>
      <c r="G801" s="1">
        <v>6</v>
      </c>
      <c r="H801" s="1">
        <f>SUM(F801:G801)</f>
        <v>19</v>
      </c>
      <c r="I801" s="5">
        <f ca="1">H801-(ROUNDDOWN((($G$1-C801)/365),1))</f>
        <v>15.2</v>
      </c>
    </row>
    <row r="802" spans="1:9" x14ac:dyDescent="0.25">
      <c r="A802" s="2">
        <f ca="1">RANK(I802,$I$722:$I$861,0)</f>
        <v>81</v>
      </c>
      <c r="B802" s="1" t="s">
        <v>250</v>
      </c>
      <c r="C802" s="18">
        <v>44871</v>
      </c>
      <c r="D802" s="1" t="s">
        <v>236</v>
      </c>
      <c r="E802" s="1" t="s">
        <v>17</v>
      </c>
      <c r="F802" s="1">
        <v>13</v>
      </c>
      <c r="G802" s="1">
        <v>6</v>
      </c>
      <c r="H802" s="1">
        <f>SUM(F802:G802)</f>
        <v>19</v>
      </c>
      <c r="I802" s="5">
        <f ca="1">H802-(ROUNDDOWN((($G$1-C802)/365),1))</f>
        <v>15.1</v>
      </c>
    </row>
    <row r="803" spans="1:9" x14ac:dyDescent="0.25">
      <c r="A803" s="2">
        <f ca="1">RANK(I803,$I$722:$I$861,0)</f>
        <v>81</v>
      </c>
      <c r="B803" s="1" t="s">
        <v>251</v>
      </c>
      <c r="C803" s="18">
        <v>44871</v>
      </c>
      <c r="D803" s="1" t="s">
        <v>236</v>
      </c>
      <c r="E803" s="1" t="s">
        <v>17</v>
      </c>
      <c r="F803" s="1">
        <v>14</v>
      </c>
      <c r="G803" s="1">
        <v>5</v>
      </c>
      <c r="H803" s="1">
        <f>SUM(F803:G803)</f>
        <v>19</v>
      </c>
      <c r="I803" s="5">
        <f ca="1">H803-(ROUNDDOWN((($G$1-C803)/365),1))</f>
        <v>15.1</v>
      </c>
    </row>
    <row r="804" spans="1:9" x14ac:dyDescent="0.25">
      <c r="A804" s="2">
        <f ca="1">RANK(I804,$I$722:$I$861,0)</f>
        <v>81</v>
      </c>
      <c r="B804" s="29" t="s">
        <v>172</v>
      </c>
      <c r="C804" s="18">
        <v>44500</v>
      </c>
      <c r="D804" s="1" t="s">
        <v>68</v>
      </c>
      <c r="E804" s="1" t="s">
        <v>17</v>
      </c>
      <c r="F804" s="1">
        <v>14</v>
      </c>
      <c r="G804" s="1">
        <v>6</v>
      </c>
      <c r="H804" s="1">
        <f>SUM(F804:G804)</f>
        <v>20</v>
      </c>
      <c r="I804" s="5">
        <f ca="1">H804-(ROUNDDOWN((($G$1-C804)/365),1))</f>
        <v>15.1</v>
      </c>
    </row>
    <row r="805" spans="1:9" x14ac:dyDescent="0.25">
      <c r="A805" s="2">
        <f ca="1">RANK(I805,$I$722:$I$861,0)</f>
        <v>81</v>
      </c>
      <c r="B805" s="29" t="s">
        <v>463</v>
      </c>
      <c r="C805" s="18">
        <v>45941</v>
      </c>
      <c r="D805" s="1" t="s">
        <v>71</v>
      </c>
      <c r="E805" s="1" t="s">
        <v>17</v>
      </c>
      <c r="F805" s="1">
        <v>13</v>
      </c>
      <c r="G805" s="1">
        <v>3</v>
      </c>
      <c r="H805" s="1">
        <f>SUM(F805:G805)</f>
        <v>16</v>
      </c>
      <c r="I805" s="5">
        <f ca="1">H805-(ROUNDDOWN((($G$1-C805)/365),1))</f>
        <v>15.1</v>
      </c>
    </row>
    <row r="806" spans="1:9" x14ac:dyDescent="0.25">
      <c r="A806" s="2">
        <f ca="1">RANK(I806,$I$722:$I$861,0)</f>
        <v>85</v>
      </c>
      <c r="B806" s="1" t="s">
        <v>458</v>
      </c>
      <c r="C806" s="18">
        <v>45921</v>
      </c>
      <c r="D806" s="1" t="s">
        <v>266</v>
      </c>
      <c r="E806" s="1" t="s">
        <v>17</v>
      </c>
      <c r="F806" s="1">
        <v>11</v>
      </c>
      <c r="G806" s="1">
        <v>5</v>
      </c>
      <c r="H806" s="1">
        <f>SUM(F806:G806)</f>
        <v>16</v>
      </c>
      <c r="I806" s="5">
        <f ca="1">H806-(ROUNDDOWN((($G$1-C806)/365),1))</f>
        <v>15</v>
      </c>
    </row>
    <row r="807" spans="1:9" x14ac:dyDescent="0.25">
      <c r="A807" s="2">
        <f ca="1">RANK(I807,$I$722:$I$861,0)</f>
        <v>86</v>
      </c>
      <c r="B807" s="1" t="s">
        <v>146</v>
      </c>
      <c r="C807" s="18">
        <v>44423</v>
      </c>
      <c r="D807" s="1" t="s">
        <v>71</v>
      </c>
      <c r="E807" s="1" t="s">
        <v>17</v>
      </c>
      <c r="F807" s="1">
        <v>14</v>
      </c>
      <c r="G807" s="1">
        <v>6</v>
      </c>
      <c r="H807" s="1">
        <f>SUM(F807:G807)</f>
        <v>20</v>
      </c>
      <c r="I807" s="5">
        <f ca="1">H807-(ROUNDDOWN((($G$1-C807)/365),1))</f>
        <v>14.9</v>
      </c>
    </row>
    <row r="808" spans="1:9" x14ac:dyDescent="0.25">
      <c r="A808" s="2">
        <f ca="1">RANK(I808,$I$722:$I$861,0)</f>
        <v>86</v>
      </c>
      <c r="B808" s="1" t="s">
        <v>151</v>
      </c>
      <c r="C808" s="18">
        <v>44417</v>
      </c>
      <c r="D808" s="1" t="s">
        <v>72</v>
      </c>
      <c r="E808" s="1" t="s">
        <v>17</v>
      </c>
      <c r="F808" s="1">
        <v>14</v>
      </c>
      <c r="G808" s="1">
        <v>6</v>
      </c>
      <c r="H808" s="1">
        <f>SUM(F808:G808)</f>
        <v>20</v>
      </c>
      <c r="I808" s="5">
        <f ca="1">H808-(ROUNDDOWN((($G$1-C808)/365),1))</f>
        <v>14.9</v>
      </c>
    </row>
    <row r="809" spans="1:9" x14ac:dyDescent="0.25">
      <c r="A809" s="2">
        <f ca="1">RANK(I809,$I$722:$I$861,0)</f>
        <v>86</v>
      </c>
      <c r="B809" s="1" t="s">
        <v>140</v>
      </c>
      <c r="C809" s="18">
        <v>44409</v>
      </c>
      <c r="D809" s="1" t="s">
        <v>69</v>
      </c>
      <c r="E809" s="1" t="s">
        <v>17</v>
      </c>
      <c r="F809" s="1">
        <v>13</v>
      </c>
      <c r="G809" s="1">
        <v>7</v>
      </c>
      <c r="H809" s="1">
        <f>SUM(F809:G809)</f>
        <v>20</v>
      </c>
      <c r="I809" s="5">
        <f ca="1">H809-(ROUNDDOWN((($G$1-C809)/365),1))</f>
        <v>14.9</v>
      </c>
    </row>
    <row r="810" spans="1:9" x14ac:dyDescent="0.25">
      <c r="A810" s="2">
        <f ca="1">RANK(I810,$I$722:$I$861,0)</f>
        <v>86</v>
      </c>
      <c r="B810" s="1" t="s">
        <v>37</v>
      </c>
      <c r="C810" s="18">
        <v>44409</v>
      </c>
      <c r="D810" s="1" t="s">
        <v>70</v>
      </c>
      <c r="E810" s="1" t="s">
        <v>17</v>
      </c>
      <c r="F810" s="1">
        <v>13</v>
      </c>
      <c r="G810" s="1">
        <v>7</v>
      </c>
      <c r="H810" s="1">
        <f>SUM(F810:G810)</f>
        <v>20</v>
      </c>
      <c r="I810" s="5">
        <f ca="1">H810-(ROUNDDOWN((($G$1-C810)/365),1))</f>
        <v>14.9</v>
      </c>
    </row>
    <row r="811" spans="1:9" x14ac:dyDescent="0.25">
      <c r="A811" s="2">
        <f ca="1">RANK(I811,$I$722:$I$861,0)</f>
        <v>90</v>
      </c>
      <c r="B811" s="1" t="s">
        <v>435</v>
      </c>
      <c r="C811" s="18">
        <v>45802</v>
      </c>
      <c r="D811" s="1" t="s">
        <v>307</v>
      </c>
      <c r="E811" s="1" t="s">
        <v>17</v>
      </c>
      <c r="F811" s="1">
        <v>10</v>
      </c>
      <c r="G811" s="1">
        <v>6</v>
      </c>
      <c r="H811" s="1">
        <f>SUM(F811:G811)</f>
        <v>16</v>
      </c>
      <c r="I811" s="5">
        <f ca="1">H811-(ROUNDDOWN((($G$1-C811)/365),1))</f>
        <v>14.7</v>
      </c>
    </row>
    <row r="812" spans="1:9" x14ac:dyDescent="0.25">
      <c r="A812" s="2">
        <f ca="1">RANK(I812,$I$722:$I$861,0)</f>
        <v>91</v>
      </c>
      <c r="B812" s="1" t="s">
        <v>124</v>
      </c>
      <c r="C812" s="18">
        <v>44325</v>
      </c>
      <c r="D812" s="1" t="s">
        <v>72</v>
      </c>
      <c r="E812" s="1" t="s">
        <v>17</v>
      </c>
      <c r="F812" s="1">
        <v>14</v>
      </c>
      <c r="G812" s="1">
        <v>6</v>
      </c>
      <c r="H812" s="1">
        <f>SUM(F812:G812)</f>
        <v>20</v>
      </c>
      <c r="I812" s="5">
        <f ca="1">H812-(ROUNDDOWN((($G$1-C812)/365),1))</f>
        <v>14.6</v>
      </c>
    </row>
    <row r="813" spans="1:9" x14ac:dyDescent="0.25">
      <c r="A813" s="2">
        <f ca="1">RANK(I813,$I$722:$I$861,0)</f>
        <v>91</v>
      </c>
      <c r="B813" s="1" t="s">
        <v>115</v>
      </c>
      <c r="C813" s="18">
        <v>44297</v>
      </c>
      <c r="D813" s="1" t="s">
        <v>71</v>
      </c>
      <c r="E813" s="1" t="s">
        <v>17</v>
      </c>
      <c r="F813" s="1">
        <v>14</v>
      </c>
      <c r="G813" s="1">
        <v>6</v>
      </c>
      <c r="H813" s="1">
        <f>SUM(F813:G813)</f>
        <v>20</v>
      </c>
      <c r="I813" s="5">
        <f ca="1">H813-(ROUNDDOWN((($G$1-C813)/365),1))</f>
        <v>14.6</v>
      </c>
    </row>
    <row r="814" spans="1:9" x14ac:dyDescent="0.25">
      <c r="A814" s="2">
        <f ca="1">RANK(I814,$I$722:$I$861,0)</f>
        <v>93</v>
      </c>
      <c r="B814" s="1" t="s">
        <v>404</v>
      </c>
      <c r="C814" s="18">
        <v>45676</v>
      </c>
      <c r="D814" s="1" t="s">
        <v>149</v>
      </c>
      <c r="E814" s="1" t="s">
        <v>17</v>
      </c>
      <c r="F814" s="1">
        <v>11</v>
      </c>
      <c r="G814" s="1">
        <v>5</v>
      </c>
      <c r="H814" s="1">
        <f>SUM(F814:G814)</f>
        <v>16</v>
      </c>
      <c r="I814" s="5">
        <f ca="1">H814-(ROUNDDOWN((($G$1-C814)/365),1))</f>
        <v>14.3</v>
      </c>
    </row>
    <row r="815" spans="1:9" x14ac:dyDescent="0.25">
      <c r="A815" s="2">
        <f ca="1">RANK(I815,$I$722:$I$861,0)</f>
        <v>93</v>
      </c>
      <c r="B815" s="29" t="s">
        <v>324</v>
      </c>
      <c r="C815" s="18">
        <v>45298</v>
      </c>
      <c r="D815" s="1" t="s">
        <v>67</v>
      </c>
      <c r="E815" s="1" t="s">
        <v>17</v>
      </c>
      <c r="F815" s="1">
        <v>12</v>
      </c>
      <c r="G815" s="1">
        <v>5</v>
      </c>
      <c r="H815" s="1">
        <f>SUM(F815:G815)</f>
        <v>17</v>
      </c>
      <c r="I815" s="5">
        <f ca="1">H815-(ROUNDDOWN((($G$1-C815)/365),1))</f>
        <v>14.3</v>
      </c>
    </row>
    <row r="816" spans="1:9" x14ac:dyDescent="0.25">
      <c r="A816" s="2">
        <f ca="1">RANK(I816,$I$722:$I$861,0)</f>
        <v>95</v>
      </c>
      <c r="B816" s="1" t="s">
        <v>391</v>
      </c>
      <c r="C816" s="18">
        <v>45627</v>
      </c>
      <c r="D816" s="1" t="s">
        <v>74</v>
      </c>
      <c r="E816" s="1" t="s">
        <v>17</v>
      </c>
      <c r="F816" s="1">
        <v>12</v>
      </c>
      <c r="G816" s="1">
        <v>4</v>
      </c>
      <c r="H816" s="1">
        <f>SUM(F816:G816)</f>
        <v>16</v>
      </c>
      <c r="I816" s="5">
        <f ca="1">H816-(ROUNDDOWN((($G$1-C816)/365),1))</f>
        <v>14.2</v>
      </c>
    </row>
    <row r="817" spans="1:9" x14ac:dyDescent="0.25">
      <c r="A817" s="2">
        <f ca="1">RANK(I817,$I$722:$I$861,0)</f>
        <v>95</v>
      </c>
      <c r="B817" s="1" t="s">
        <v>179</v>
      </c>
      <c r="C817" s="18">
        <v>44521</v>
      </c>
      <c r="D817" s="1" t="s">
        <v>74</v>
      </c>
      <c r="E817" s="1" t="s">
        <v>17</v>
      </c>
      <c r="F817" s="1">
        <v>14</v>
      </c>
      <c r="G817" s="1">
        <v>5</v>
      </c>
      <c r="H817" s="1">
        <f>SUM(F817:G817)</f>
        <v>19</v>
      </c>
      <c r="I817" s="5">
        <f ca="1">H817-(ROUNDDOWN((($G$1-C817)/365),1))</f>
        <v>14.2</v>
      </c>
    </row>
    <row r="818" spans="1:9" x14ac:dyDescent="0.25">
      <c r="A818" s="2">
        <f ca="1">RANK(I818,$I$722:$I$861,0)</f>
        <v>97</v>
      </c>
      <c r="B818" s="29" t="s">
        <v>383</v>
      </c>
      <c r="C818" s="18">
        <v>45585</v>
      </c>
      <c r="D818" s="1" t="s">
        <v>66</v>
      </c>
      <c r="E818" s="1" t="s">
        <v>17</v>
      </c>
      <c r="F818" s="1">
        <v>12</v>
      </c>
      <c r="G818" s="1">
        <v>4</v>
      </c>
      <c r="H818" s="1">
        <f>SUM(F818:G818)</f>
        <v>16</v>
      </c>
      <c r="I818" s="5">
        <f ca="1">H818-(ROUNDDOWN((($G$1-C818)/365),1))</f>
        <v>14.1</v>
      </c>
    </row>
    <row r="819" spans="1:9" x14ac:dyDescent="0.25">
      <c r="A819" s="2">
        <f ca="1">RANK(I819,$I$722:$I$861,0)</f>
        <v>98</v>
      </c>
      <c r="B819" s="1" t="s">
        <v>440</v>
      </c>
      <c r="C819" s="18">
        <v>45830</v>
      </c>
      <c r="D819" s="1" t="s">
        <v>72</v>
      </c>
      <c r="E819" s="1" t="s">
        <v>17</v>
      </c>
      <c r="F819" s="1">
        <v>10</v>
      </c>
      <c r="G819" s="1">
        <v>5</v>
      </c>
      <c r="H819" s="1">
        <f>SUM(F819:G819)</f>
        <v>15</v>
      </c>
      <c r="I819" s="5">
        <f ca="1">H819-(ROUNDDOWN((($G$1-C819)/365),1))</f>
        <v>13.8</v>
      </c>
    </row>
    <row r="820" spans="1:9" x14ac:dyDescent="0.25">
      <c r="A820" s="2">
        <f ca="1">RANK(I820,$I$722:$I$861,0)</f>
        <v>98</v>
      </c>
      <c r="B820" s="1" t="s">
        <v>219</v>
      </c>
      <c r="C820" s="18">
        <v>44731</v>
      </c>
      <c r="D820" s="1" t="s">
        <v>69</v>
      </c>
      <c r="E820" s="1" t="s">
        <v>17</v>
      </c>
      <c r="F820" s="1">
        <v>13</v>
      </c>
      <c r="G820" s="1">
        <v>5</v>
      </c>
      <c r="H820" s="1">
        <f>SUM(F820:G820)</f>
        <v>18</v>
      </c>
      <c r="I820" s="5">
        <f ca="1">H820-(ROUNDDOWN((($G$1-C820)/365),1))</f>
        <v>13.8</v>
      </c>
    </row>
    <row r="821" spans="1:9" x14ac:dyDescent="0.25">
      <c r="A821" s="2">
        <f ca="1">RANK(I821,$I$722:$I$861,0)</f>
        <v>100</v>
      </c>
      <c r="B821" s="1" t="s">
        <v>216</v>
      </c>
      <c r="C821" s="18">
        <v>44717</v>
      </c>
      <c r="D821" s="1" t="s">
        <v>184</v>
      </c>
      <c r="E821" s="1" t="s">
        <v>17</v>
      </c>
      <c r="F821" s="1">
        <v>12</v>
      </c>
      <c r="G821" s="1">
        <v>6</v>
      </c>
      <c r="H821" s="1">
        <f>SUM(F821:G821)</f>
        <v>18</v>
      </c>
      <c r="I821" s="5">
        <f ca="1">H821-(ROUNDDOWN((($G$1-C821)/365),1))</f>
        <v>13.7</v>
      </c>
    </row>
    <row r="822" spans="1:9" x14ac:dyDescent="0.25">
      <c r="A822" s="2">
        <f ca="1">RANK(I822,$I$722:$I$861,0)</f>
        <v>100</v>
      </c>
      <c r="B822" s="1" t="s">
        <v>212</v>
      </c>
      <c r="C822" s="18">
        <v>44703</v>
      </c>
      <c r="D822" s="1" t="s">
        <v>69</v>
      </c>
      <c r="E822" s="1" t="s">
        <v>17</v>
      </c>
      <c r="F822" s="1">
        <v>13</v>
      </c>
      <c r="G822" s="1">
        <v>5</v>
      </c>
      <c r="H822" s="1">
        <f>SUM(F822:G822)</f>
        <v>18</v>
      </c>
      <c r="I822" s="5">
        <f ca="1">H822-(ROUNDDOWN((($G$1-C822)/365),1))</f>
        <v>13.7</v>
      </c>
    </row>
    <row r="823" spans="1:9" x14ac:dyDescent="0.25">
      <c r="A823" s="2">
        <f ca="1">RANK(I823,$I$722:$I$861,0)</f>
        <v>102</v>
      </c>
      <c r="B823" s="1" t="s">
        <v>427</v>
      </c>
      <c r="C823" s="18">
        <v>45781</v>
      </c>
      <c r="D823" s="1" t="s">
        <v>74</v>
      </c>
      <c r="E823" s="1" t="s">
        <v>17</v>
      </c>
      <c r="F823" s="1">
        <v>10</v>
      </c>
      <c r="G823" s="1">
        <v>5</v>
      </c>
      <c r="H823" s="1">
        <f>SUM(F823:G823)</f>
        <v>15</v>
      </c>
      <c r="I823" s="5">
        <f ca="1">H823-(ROUNDDOWN((($G$1-C823)/365),1))</f>
        <v>13.6</v>
      </c>
    </row>
    <row r="824" spans="1:9" x14ac:dyDescent="0.25">
      <c r="A824" s="2">
        <f ca="1">RANK(I824,$I$722:$I$861,0)</f>
        <v>102</v>
      </c>
      <c r="B824" s="1" t="s">
        <v>120</v>
      </c>
      <c r="C824" s="18">
        <v>44311</v>
      </c>
      <c r="D824" s="1" t="s">
        <v>69</v>
      </c>
      <c r="E824" s="1" t="s">
        <v>17</v>
      </c>
      <c r="F824" s="1">
        <v>13</v>
      </c>
      <c r="G824" s="1">
        <v>6</v>
      </c>
      <c r="H824" s="1">
        <f>SUM(F824:G824)</f>
        <v>19</v>
      </c>
      <c r="I824" s="5">
        <f ca="1">H824-(ROUNDDOWN((($G$1-C824)/365),1))</f>
        <v>13.6</v>
      </c>
    </row>
    <row r="825" spans="1:9" x14ac:dyDescent="0.25">
      <c r="A825" s="2">
        <f ca="1">RANK(I825,$I$722:$I$861,0)</f>
        <v>104</v>
      </c>
      <c r="B825" s="1" t="s">
        <v>111</v>
      </c>
      <c r="C825" s="18">
        <v>44276</v>
      </c>
      <c r="D825" s="1" t="s">
        <v>74</v>
      </c>
      <c r="E825" s="1" t="s">
        <v>17</v>
      </c>
      <c r="F825" s="1">
        <v>13</v>
      </c>
      <c r="G825" s="1">
        <v>6</v>
      </c>
      <c r="H825" s="1">
        <f>SUM(F825:G825)</f>
        <v>19</v>
      </c>
      <c r="I825" s="5">
        <f ca="1">H825-(ROUNDDOWN((($G$1-C825)/365),1))</f>
        <v>13.5</v>
      </c>
    </row>
    <row r="826" spans="1:9" x14ac:dyDescent="0.25">
      <c r="A826" s="2">
        <f ca="1">RANK(I826,$I$722:$I$861,0)</f>
        <v>104</v>
      </c>
      <c r="B826" s="1" t="s">
        <v>110</v>
      </c>
      <c r="C826" s="18">
        <v>44276</v>
      </c>
      <c r="D826" s="1" t="s">
        <v>74</v>
      </c>
      <c r="E826" s="1" t="s">
        <v>17</v>
      </c>
      <c r="F826" s="1">
        <v>13</v>
      </c>
      <c r="G826" s="1">
        <v>6</v>
      </c>
      <c r="H826" s="1">
        <f>SUM(F826:G826)</f>
        <v>19</v>
      </c>
      <c r="I826" s="5">
        <f ca="1">H826-(ROUNDDOWN((($G$1-C826)/365),1))</f>
        <v>13.5</v>
      </c>
    </row>
    <row r="827" spans="1:9" x14ac:dyDescent="0.25">
      <c r="A827" s="2">
        <f ca="1">RANK(I827,$I$722:$I$861,0)</f>
        <v>106</v>
      </c>
      <c r="B827" s="1" t="s">
        <v>267</v>
      </c>
      <c r="C827" s="18">
        <v>44962</v>
      </c>
      <c r="D827" s="1" t="s">
        <v>266</v>
      </c>
      <c r="E827" s="1" t="s">
        <v>17</v>
      </c>
      <c r="F827" s="1">
        <v>12</v>
      </c>
      <c r="G827" s="1">
        <v>5</v>
      </c>
      <c r="H827" s="1">
        <f>SUM(F827:G827)</f>
        <v>17</v>
      </c>
      <c r="I827" s="5">
        <f ca="1">H827-(ROUNDDOWN((($G$1-C827)/365),1))</f>
        <v>13.4</v>
      </c>
    </row>
    <row r="828" spans="1:9" x14ac:dyDescent="0.25">
      <c r="A828" s="2">
        <f ca="1">RANK(I828,$I$722:$I$861,0)</f>
        <v>107</v>
      </c>
      <c r="B828" s="1" t="s">
        <v>322</v>
      </c>
      <c r="C828" s="18">
        <v>45291</v>
      </c>
      <c r="D828" s="1" t="s">
        <v>71</v>
      </c>
      <c r="E828" s="1" t="s">
        <v>17</v>
      </c>
      <c r="F828" s="1">
        <v>11</v>
      </c>
      <c r="G828" s="1">
        <v>5</v>
      </c>
      <c r="H828" s="1">
        <f>SUM(F828:G828)</f>
        <v>16</v>
      </c>
      <c r="I828" s="5">
        <f ca="1">H828-(ROUNDDOWN((($G$1-C828)/365),1))</f>
        <v>13.3</v>
      </c>
    </row>
    <row r="829" spans="1:9" x14ac:dyDescent="0.25">
      <c r="A829" s="2">
        <f ca="1">RANK(I829,$I$722:$I$861,0)</f>
        <v>108</v>
      </c>
      <c r="B829" s="1" t="s">
        <v>393</v>
      </c>
      <c r="C829" s="18">
        <v>45641</v>
      </c>
      <c r="D829" s="1" t="s">
        <v>236</v>
      </c>
      <c r="E829" s="1" t="s">
        <v>17</v>
      </c>
      <c r="F829" s="1">
        <v>12</v>
      </c>
      <c r="G829" s="1">
        <v>3</v>
      </c>
      <c r="H829" s="1">
        <f>SUM(F829:G829)</f>
        <v>15</v>
      </c>
      <c r="I829" s="5">
        <f ca="1">H829-(ROUNDDOWN((($G$1-C829)/365),1))</f>
        <v>13.2</v>
      </c>
    </row>
    <row r="830" spans="1:9" x14ac:dyDescent="0.25">
      <c r="A830" s="2">
        <f ca="1">RANK(I830,$I$722:$I$861,0)</f>
        <v>108</v>
      </c>
      <c r="B830" s="29" t="s">
        <v>475</v>
      </c>
      <c r="C830" s="18">
        <v>45998</v>
      </c>
      <c r="D830" s="1" t="s">
        <v>75</v>
      </c>
      <c r="E830" s="1" t="s">
        <v>17</v>
      </c>
      <c r="F830" s="1">
        <v>10</v>
      </c>
      <c r="G830" s="1">
        <v>4</v>
      </c>
      <c r="H830" s="1">
        <f>SUM(F830:G830)</f>
        <v>14</v>
      </c>
      <c r="I830" s="5">
        <f ca="1">H830-(ROUNDDOWN((($G$1-C830)/365),1))</f>
        <v>13.2</v>
      </c>
    </row>
    <row r="831" spans="1:9" x14ac:dyDescent="0.25">
      <c r="A831" s="2">
        <f ca="1">RANK(I831,$I$722:$I$861,0)</f>
        <v>110</v>
      </c>
      <c r="B831" s="1" t="s">
        <v>195</v>
      </c>
      <c r="C831" s="18">
        <v>45220</v>
      </c>
      <c r="D831" s="1" t="s">
        <v>308</v>
      </c>
      <c r="E831" s="1" t="s">
        <v>17</v>
      </c>
      <c r="F831" s="1">
        <v>12</v>
      </c>
      <c r="G831" s="1">
        <v>4</v>
      </c>
      <c r="H831" s="1">
        <f>SUM(F831:G831)</f>
        <v>16</v>
      </c>
      <c r="I831" s="5">
        <f ca="1">H831-(ROUNDDOWN((($G$1-C831)/365),1))</f>
        <v>13.1</v>
      </c>
    </row>
    <row r="832" spans="1:9" x14ac:dyDescent="0.25">
      <c r="A832" s="2">
        <f ca="1">RANK(I832,$I$722:$I$861,0)</f>
        <v>111</v>
      </c>
      <c r="B832" s="1" t="s">
        <v>143</v>
      </c>
      <c r="C832" s="18">
        <v>44423</v>
      </c>
      <c r="D832" s="1" t="s">
        <v>68</v>
      </c>
      <c r="E832" s="1" t="s">
        <v>17</v>
      </c>
      <c r="F832" s="1">
        <v>13</v>
      </c>
      <c r="G832" s="1">
        <v>5</v>
      </c>
      <c r="H832" s="1">
        <f>SUM(F832:G832)</f>
        <v>18</v>
      </c>
      <c r="I832" s="5">
        <f ca="1">H832-(ROUNDDOWN((($G$1-C832)/365),1))</f>
        <v>12.9</v>
      </c>
    </row>
    <row r="833" spans="1:9" x14ac:dyDescent="0.25">
      <c r="A833" s="2">
        <f ca="1">RANK(I833,$I$722:$I$861,0)</f>
        <v>112</v>
      </c>
      <c r="B833" s="19" t="s">
        <v>142</v>
      </c>
      <c r="C833" s="20">
        <v>44353</v>
      </c>
      <c r="D833" s="1" t="s">
        <v>72</v>
      </c>
      <c r="E833" s="1" t="s">
        <v>17</v>
      </c>
      <c r="F833" s="1">
        <v>13</v>
      </c>
      <c r="G833" s="1">
        <v>5</v>
      </c>
      <c r="H833" s="1">
        <f>SUM(F833:G833)</f>
        <v>18</v>
      </c>
      <c r="I833" s="5">
        <f ca="1">H833-(ROUNDDOWN((($G$1-C833)/365),1))</f>
        <v>12.7</v>
      </c>
    </row>
    <row r="834" spans="1:9" x14ac:dyDescent="0.25">
      <c r="A834" s="2">
        <f ca="1">RANK(I834,$I$722:$I$861,0)</f>
        <v>112</v>
      </c>
      <c r="B834" s="1" t="s">
        <v>102</v>
      </c>
      <c r="C834" s="18">
        <v>44703</v>
      </c>
      <c r="D834" s="1" t="s">
        <v>69</v>
      </c>
      <c r="E834" s="1" t="s">
        <v>17</v>
      </c>
      <c r="F834" s="1">
        <v>11</v>
      </c>
      <c r="G834" s="1">
        <v>6</v>
      </c>
      <c r="H834" s="1">
        <f>SUM(F834:G834)</f>
        <v>17</v>
      </c>
      <c r="I834" s="5">
        <f ca="1">H834-(ROUNDDOWN((($G$1-C834)/365),1))</f>
        <v>12.7</v>
      </c>
    </row>
    <row r="835" spans="1:9" x14ac:dyDescent="0.25">
      <c r="A835" s="2">
        <f ca="1">RANK(I835,$I$722:$I$861,0)</f>
        <v>114</v>
      </c>
      <c r="B835" s="1" t="s">
        <v>209</v>
      </c>
      <c r="C835" s="18">
        <v>44668</v>
      </c>
      <c r="D835" s="1" t="s">
        <v>184</v>
      </c>
      <c r="E835" s="1" t="s">
        <v>17</v>
      </c>
      <c r="F835" s="1">
        <v>11</v>
      </c>
      <c r="G835" s="1">
        <v>6</v>
      </c>
      <c r="H835" s="1">
        <f>SUM(F835:G835)</f>
        <v>17</v>
      </c>
      <c r="I835" s="5">
        <f ca="1">H835-(ROUNDDOWN((($G$1-C835)/365),1))</f>
        <v>12.6</v>
      </c>
    </row>
    <row r="836" spans="1:9" x14ac:dyDescent="0.25">
      <c r="A836" s="2">
        <f ca="1">RANK(I836,$I$722:$I$861,0)</f>
        <v>115</v>
      </c>
      <c r="B836" s="1" t="s">
        <v>57</v>
      </c>
      <c r="C836" s="18">
        <v>45011</v>
      </c>
      <c r="D836" s="1" t="s">
        <v>68</v>
      </c>
      <c r="E836" s="1" t="s">
        <v>17</v>
      </c>
      <c r="F836" s="1">
        <v>10</v>
      </c>
      <c r="G836" s="1">
        <v>6</v>
      </c>
      <c r="H836" s="1">
        <f>SUM(F836:G836)</f>
        <v>16</v>
      </c>
      <c r="I836" s="5">
        <f ca="1">H836-(ROUNDDOWN((($G$1-C836)/365),1))</f>
        <v>12.5</v>
      </c>
    </row>
    <row r="837" spans="1:9" x14ac:dyDescent="0.25">
      <c r="A837" s="2">
        <f ca="1">RANK(I837,$I$722:$I$861,0)</f>
        <v>115</v>
      </c>
      <c r="B837" s="29" t="s">
        <v>197</v>
      </c>
      <c r="C837" s="18">
        <v>44621</v>
      </c>
      <c r="D837" s="1" t="s">
        <v>71</v>
      </c>
      <c r="E837" s="1" t="s">
        <v>17</v>
      </c>
      <c r="F837" s="1">
        <v>13</v>
      </c>
      <c r="G837" s="1">
        <v>4</v>
      </c>
      <c r="H837" s="1">
        <f>SUM(F837:G837)</f>
        <v>17</v>
      </c>
      <c r="I837" s="5">
        <f ca="1">H837-(ROUNDDOWN((($G$1-C837)/365),1))</f>
        <v>12.5</v>
      </c>
    </row>
    <row r="838" spans="1:9" x14ac:dyDescent="0.25">
      <c r="A838" s="2">
        <f ca="1">RANK(I838,$I$722:$I$861,0)</f>
        <v>117</v>
      </c>
      <c r="B838" s="1" t="s">
        <v>326</v>
      </c>
      <c r="C838" s="18">
        <v>45305</v>
      </c>
      <c r="D838" s="1" t="s">
        <v>308</v>
      </c>
      <c r="E838" s="1" t="s">
        <v>17</v>
      </c>
      <c r="F838" s="1">
        <v>10</v>
      </c>
      <c r="G838" s="1">
        <v>5</v>
      </c>
      <c r="H838" s="1">
        <f>SUM(F838:G838)</f>
        <v>15</v>
      </c>
      <c r="I838" s="5">
        <f ca="1">H838-(ROUNDDOWN((($G$1-C838)/365),1))</f>
        <v>12.3</v>
      </c>
    </row>
    <row r="839" spans="1:9" x14ac:dyDescent="0.25">
      <c r="A839" s="2">
        <f ca="1">RANK(I839,$I$722:$I$861,0)</f>
        <v>118</v>
      </c>
      <c r="B839" s="29" t="s">
        <v>60</v>
      </c>
      <c r="C839" s="18">
        <v>44156</v>
      </c>
      <c r="D839" s="1" t="s">
        <v>71</v>
      </c>
      <c r="E839" s="1" t="s">
        <v>17</v>
      </c>
      <c r="F839" s="1">
        <v>11</v>
      </c>
      <c r="G839" s="1">
        <v>7</v>
      </c>
      <c r="H839" s="1">
        <f>SUM(F839:G839)</f>
        <v>18</v>
      </c>
      <c r="I839" s="5">
        <f ca="1">H839-(ROUNDDOWN((($G$1-C839)/365),1))</f>
        <v>12.2</v>
      </c>
    </row>
    <row r="840" spans="1:9" x14ac:dyDescent="0.25">
      <c r="A840" s="2">
        <f ca="1">RANK(I840,$I$722:$I$861,0)</f>
        <v>119</v>
      </c>
      <c r="B840" s="1" t="s">
        <v>246</v>
      </c>
      <c r="C840" s="18">
        <v>44843</v>
      </c>
      <c r="D840" s="1" t="s">
        <v>67</v>
      </c>
      <c r="E840" s="1" t="s">
        <v>17</v>
      </c>
      <c r="F840" s="1">
        <v>10</v>
      </c>
      <c r="G840" s="1">
        <v>6</v>
      </c>
      <c r="H840" s="1">
        <f>SUM(F840:G840)</f>
        <v>16</v>
      </c>
      <c r="I840" s="5">
        <f ca="1">H840-(ROUNDDOWN((($G$1-C840)/365),1))</f>
        <v>12.1</v>
      </c>
    </row>
    <row r="841" spans="1:9" x14ac:dyDescent="0.25">
      <c r="A841" s="2">
        <f ca="1">RANK(I841,$I$722:$I$861,0)</f>
        <v>120</v>
      </c>
      <c r="B841" s="1" t="s">
        <v>161</v>
      </c>
      <c r="C841" s="18">
        <v>44465</v>
      </c>
      <c r="D841" s="1" t="s">
        <v>68</v>
      </c>
      <c r="E841" s="1" t="s">
        <v>17</v>
      </c>
      <c r="F841" s="1">
        <v>12</v>
      </c>
      <c r="G841" s="1">
        <v>5</v>
      </c>
      <c r="H841" s="1">
        <f>SUM(F841:G841)</f>
        <v>17</v>
      </c>
      <c r="I841" s="5">
        <f ca="1">H841-(ROUNDDOWN((($G$1-C841)/365),1))</f>
        <v>12</v>
      </c>
    </row>
    <row r="842" spans="1:9" x14ac:dyDescent="0.25">
      <c r="A842" s="2">
        <f ca="1">RANK(I842,$I$722:$I$861,0)</f>
        <v>120</v>
      </c>
      <c r="B842" s="1" t="s">
        <v>156</v>
      </c>
      <c r="C842" s="18">
        <v>44451</v>
      </c>
      <c r="D842" s="1" t="s">
        <v>72</v>
      </c>
      <c r="E842" s="1" t="s">
        <v>17</v>
      </c>
      <c r="F842" s="1">
        <v>11</v>
      </c>
      <c r="G842" s="1">
        <v>6</v>
      </c>
      <c r="H842" s="1">
        <f>SUM(F842:G842)</f>
        <v>17</v>
      </c>
      <c r="I842" s="5">
        <f ca="1">H842-(ROUNDDOWN((($G$1-C842)/365),1))</f>
        <v>12</v>
      </c>
    </row>
    <row r="843" spans="1:9" x14ac:dyDescent="0.25">
      <c r="A843" s="2">
        <f ca="1">RANK(I843,$I$722:$I$861,0)</f>
        <v>120</v>
      </c>
      <c r="B843" s="1" t="s">
        <v>367</v>
      </c>
      <c r="C843" s="18">
        <v>45543</v>
      </c>
      <c r="D843" s="1" t="s">
        <v>368</v>
      </c>
      <c r="E843" s="1" t="s">
        <v>17</v>
      </c>
      <c r="F843" s="1">
        <v>10</v>
      </c>
      <c r="G843" s="1">
        <v>4</v>
      </c>
      <c r="H843" s="1">
        <f>SUM(F843:G843)</f>
        <v>14</v>
      </c>
      <c r="I843" s="5">
        <f ca="1">H843-(ROUNDDOWN((($G$1-C843)/365),1))</f>
        <v>12</v>
      </c>
    </row>
    <row r="844" spans="1:9" x14ac:dyDescent="0.25">
      <c r="A844" s="2">
        <f ca="1">RANK(I844,$I$722:$I$861,0)</f>
        <v>123</v>
      </c>
      <c r="B844" s="1" t="s">
        <v>147</v>
      </c>
      <c r="C844" s="18">
        <v>44423</v>
      </c>
      <c r="D844" s="1" t="s">
        <v>72</v>
      </c>
      <c r="E844" s="1" t="s">
        <v>17</v>
      </c>
      <c r="F844" s="1">
        <v>12</v>
      </c>
      <c r="G844" s="1">
        <v>5</v>
      </c>
      <c r="H844" s="1">
        <f>SUM(F844:G844)</f>
        <v>17</v>
      </c>
      <c r="I844" s="5">
        <f ca="1">H844-(ROUNDDOWN((($G$1-C844)/365),1))</f>
        <v>11.9</v>
      </c>
    </row>
    <row r="845" spans="1:9" x14ac:dyDescent="0.25">
      <c r="A845" s="2">
        <f ca="1">RANK(I845,$I$722:$I$861,0)</f>
        <v>123</v>
      </c>
      <c r="B845" s="1" t="s">
        <v>18</v>
      </c>
      <c r="C845" s="18">
        <v>44409</v>
      </c>
      <c r="D845" s="1" t="s">
        <v>69</v>
      </c>
      <c r="E845" s="1" t="s">
        <v>17</v>
      </c>
      <c r="F845" s="1">
        <v>12</v>
      </c>
      <c r="G845" s="1">
        <v>5</v>
      </c>
      <c r="H845" s="1">
        <f>SUM(F845:G845)</f>
        <v>17</v>
      </c>
      <c r="I845" s="5">
        <f ca="1">H845-(ROUNDDOWN((($G$1-C845)/365),1))</f>
        <v>11.9</v>
      </c>
    </row>
    <row r="846" spans="1:9" x14ac:dyDescent="0.25">
      <c r="A846" s="2">
        <f ca="1">RANK(I846,$I$722:$I$861,0)</f>
        <v>125</v>
      </c>
      <c r="B846" s="1" t="s">
        <v>221</v>
      </c>
      <c r="C846" s="18">
        <v>44745</v>
      </c>
      <c r="D846" s="1" t="s">
        <v>71</v>
      </c>
      <c r="E846" s="1" t="s">
        <v>17</v>
      </c>
      <c r="F846" s="1">
        <v>10</v>
      </c>
      <c r="G846" s="1">
        <v>6</v>
      </c>
      <c r="H846" s="1">
        <f>SUM(F846:G846)</f>
        <v>16</v>
      </c>
      <c r="I846" s="5">
        <f ca="1">H846-(ROUNDDOWN((($G$1-C846)/365),1))</f>
        <v>11.8</v>
      </c>
    </row>
    <row r="847" spans="1:9" x14ac:dyDescent="0.25">
      <c r="A847" s="2">
        <f ca="1">RANK(I847,$I$722:$I$861,0)</f>
        <v>125</v>
      </c>
      <c r="B847" s="29" t="s">
        <v>521</v>
      </c>
      <c r="C847" s="18">
        <v>46222</v>
      </c>
      <c r="D847" s="1" t="s">
        <v>67</v>
      </c>
      <c r="E847" s="1" t="s">
        <v>17</v>
      </c>
      <c r="F847" s="1">
        <v>8</v>
      </c>
      <c r="G847" s="1">
        <v>4</v>
      </c>
      <c r="H847" s="1">
        <f>SUM(F847:G847)</f>
        <v>12</v>
      </c>
      <c r="I847" s="5">
        <f ca="1">H847-(ROUNDDOWN((($G$1-C847)/365),1))</f>
        <v>11.8</v>
      </c>
    </row>
    <row r="848" spans="1:9" x14ac:dyDescent="0.25">
      <c r="A848" s="2">
        <f ca="1">RANK(I848,$I$722:$I$861,0)</f>
        <v>127</v>
      </c>
      <c r="B848" s="1" t="s">
        <v>123</v>
      </c>
      <c r="C848" s="18">
        <v>45011</v>
      </c>
      <c r="D848" s="1" t="s">
        <v>69</v>
      </c>
      <c r="E848" s="1" t="s">
        <v>17</v>
      </c>
      <c r="F848" s="1">
        <v>7</v>
      </c>
      <c r="G848" s="1">
        <v>8</v>
      </c>
      <c r="H848" s="1">
        <f>SUM(F848:G848)</f>
        <v>15</v>
      </c>
      <c r="I848" s="5">
        <f ca="1">H848-(ROUNDDOWN((($G$1-C848)/365),1))</f>
        <v>11.5</v>
      </c>
    </row>
    <row r="849" spans="1:18" x14ac:dyDescent="0.25">
      <c r="A849" s="2">
        <f ca="1">RANK(I849,$I$722:$I$861,0)</f>
        <v>127</v>
      </c>
      <c r="B849" s="1" t="s">
        <v>199</v>
      </c>
      <c r="C849" s="18">
        <v>44626</v>
      </c>
      <c r="D849" s="1" t="s">
        <v>69</v>
      </c>
      <c r="E849" s="1" t="s">
        <v>17</v>
      </c>
      <c r="F849" s="1">
        <v>11</v>
      </c>
      <c r="G849" s="1">
        <v>5</v>
      </c>
      <c r="H849" s="1">
        <f>SUM(F849:G849)</f>
        <v>16</v>
      </c>
      <c r="I849" s="5">
        <f ca="1">H849-(ROUNDDOWN((($G$1-C849)/365),1))</f>
        <v>11.5</v>
      </c>
    </row>
    <row r="850" spans="1:18" x14ac:dyDescent="0.25">
      <c r="A850" s="2">
        <f ca="1">RANK(I850,$I$722:$I$861,0)</f>
        <v>129</v>
      </c>
      <c r="B850" s="1" t="s">
        <v>323</v>
      </c>
      <c r="C850" s="18">
        <v>45291</v>
      </c>
      <c r="D850" s="1" t="s">
        <v>266</v>
      </c>
      <c r="E850" s="1" t="s">
        <v>17</v>
      </c>
      <c r="F850" s="1">
        <v>10</v>
      </c>
      <c r="G850" s="1">
        <v>4</v>
      </c>
      <c r="H850" s="1">
        <f>SUM(F850:G850)</f>
        <v>14</v>
      </c>
      <c r="I850" s="5">
        <f ca="1">H850-(ROUNDDOWN((($G$1-C850)/365),1))</f>
        <v>11.3</v>
      </c>
    </row>
    <row r="851" spans="1:18" x14ac:dyDescent="0.25">
      <c r="A851" s="2">
        <f ca="1">RANK(I851,$I$722:$I$861,0)</f>
        <v>130</v>
      </c>
      <c r="B851" s="1" t="s">
        <v>207</v>
      </c>
      <c r="C851" s="18">
        <v>45220</v>
      </c>
      <c r="D851" s="1" t="s">
        <v>308</v>
      </c>
      <c r="E851" s="1" t="s">
        <v>17</v>
      </c>
      <c r="F851" s="1">
        <v>9</v>
      </c>
      <c r="G851" s="1">
        <v>5</v>
      </c>
      <c r="H851" s="1">
        <f>SUM(F851:G851)</f>
        <v>14</v>
      </c>
      <c r="I851" s="5">
        <f ca="1">H851-(ROUNDDOWN((($G$1-C851)/365),1))</f>
        <v>11.1</v>
      </c>
    </row>
    <row r="852" spans="1:18" x14ac:dyDescent="0.25">
      <c r="A852" s="2">
        <f ca="1">RANK(I852,$I$722:$I$861,0)</f>
        <v>131</v>
      </c>
      <c r="B852" s="1" t="s">
        <v>53</v>
      </c>
      <c r="C852" s="18">
        <v>44451</v>
      </c>
      <c r="D852" s="1" t="s">
        <v>69</v>
      </c>
      <c r="E852" s="1" t="s">
        <v>17</v>
      </c>
      <c r="F852" s="1">
        <v>11</v>
      </c>
      <c r="G852" s="1">
        <v>5</v>
      </c>
      <c r="H852" s="1">
        <f>SUM(F852:G852)</f>
        <v>16</v>
      </c>
      <c r="I852" s="5">
        <f ca="1">H852-(ROUNDDOWN((($G$1-C852)/365),1))</f>
        <v>11</v>
      </c>
    </row>
    <row r="853" spans="1:18" x14ac:dyDescent="0.25">
      <c r="A853" s="2">
        <f ca="1">RANK(I853,$I$722:$I$861,0)</f>
        <v>132</v>
      </c>
      <c r="B853" s="1" t="s">
        <v>418</v>
      </c>
      <c r="C853" s="18">
        <v>45732</v>
      </c>
      <c r="D853" s="1" t="s">
        <v>72</v>
      </c>
      <c r="E853" s="1" t="s">
        <v>17</v>
      </c>
      <c r="F853" s="1">
        <v>8</v>
      </c>
      <c r="G853" s="1">
        <v>4</v>
      </c>
      <c r="H853" s="1">
        <f>SUM(F853:G853)</f>
        <v>12</v>
      </c>
      <c r="I853" s="5">
        <f ca="1">H853-(ROUNDDOWN((($G$1-C853)/365),1))</f>
        <v>10.5</v>
      </c>
    </row>
    <row r="854" spans="1:18" x14ac:dyDescent="0.25">
      <c r="A854" s="2">
        <f ca="1">RANK(I854,$I$722:$I$861,0)</f>
        <v>133</v>
      </c>
      <c r="B854" s="29" t="s">
        <v>92</v>
      </c>
      <c r="C854" s="18">
        <v>44213</v>
      </c>
      <c r="D854" s="1" t="s">
        <v>68</v>
      </c>
      <c r="E854" s="1" t="s">
        <v>17</v>
      </c>
      <c r="F854" s="1">
        <v>11</v>
      </c>
      <c r="G854" s="1">
        <v>5</v>
      </c>
      <c r="H854" s="1">
        <f>SUM(F854:G854)</f>
        <v>16</v>
      </c>
      <c r="I854" s="5">
        <f ca="1">H854-(ROUNDDOWN((($G$1-C854)/365),1))</f>
        <v>10.3</v>
      </c>
    </row>
    <row r="855" spans="1:18" x14ac:dyDescent="0.25">
      <c r="A855" s="2">
        <f ca="1">RANK(I855,$I$722:$I$861,0)</f>
        <v>134</v>
      </c>
      <c r="B855" s="29" t="s">
        <v>16</v>
      </c>
      <c r="C855" s="18">
        <v>44409</v>
      </c>
      <c r="D855" s="1" t="s">
        <v>69</v>
      </c>
      <c r="E855" s="1" t="s">
        <v>17</v>
      </c>
      <c r="F855" s="1">
        <v>9</v>
      </c>
      <c r="G855" s="1">
        <v>6</v>
      </c>
      <c r="H855" s="1">
        <f>SUM(F855:G855)</f>
        <v>15</v>
      </c>
      <c r="I855" s="5">
        <f ca="1">H855-(ROUNDDOWN((($G$1-C855)/365),1))</f>
        <v>9.9</v>
      </c>
    </row>
    <row r="856" spans="1:18" x14ac:dyDescent="0.25">
      <c r="A856" s="2">
        <f ca="1">RANK(I856,$I$722:$I$861,0)</f>
        <v>135</v>
      </c>
      <c r="B856" s="1" t="s">
        <v>127</v>
      </c>
      <c r="C856" s="18">
        <v>44344</v>
      </c>
      <c r="D856" s="1" t="s">
        <v>69</v>
      </c>
      <c r="E856" s="1" t="s">
        <v>17</v>
      </c>
      <c r="F856" s="1">
        <v>10</v>
      </c>
      <c r="G856" s="1">
        <v>5</v>
      </c>
      <c r="H856" s="1">
        <f>SUM(F856:G856)</f>
        <v>15</v>
      </c>
      <c r="I856" s="5">
        <f ca="1">H856-(ROUNDDOWN((($G$1-C856)/365),1))</f>
        <v>9.6999999999999993</v>
      </c>
    </row>
    <row r="857" spans="1:18" x14ac:dyDescent="0.25">
      <c r="A857" s="2">
        <f ca="1">RANK(I857,$I$722:$I$861,0)</f>
        <v>136</v>
      </c>
      <c r="B857" s="1" t="s">
        <v>26</v>
      </c>
      <c r="C857" s="18">
        <v>44409</v>
      </c>
      <c r="D857" s="1" t="s">
        <v>69</v>
      </c>
      <c r="E857" s="1" t="s">
        <v>17</v>
      </c>
      <c r="F857" s="1">
        <v>10</v>
      </c>
      <c r="G857" s="1">
        <v>4</v>
      </c>
      <c r="H857" s="1">
        <f>SUM(F857:G857)</f>
        <v>14</v>
      </c>
      <c r="I857" s="5">
        <f ca="1">H857-(ROUNDDOWN((($G$1-C857)/365),1))</f>
        <v>8.9</v>
      </c>
    </row>
    <row r="858" spans="1:18" x14ac:dyDescent="0.25">
      <c r="A858" s="2">
        <f ca="1">RANK(I858,$I$722:$I$861,0)</f>
        <v>137</v>
      </c>
      <c r="B858" s="1" t="s">
        <v>114</v>
      </c>
      <c r="C858" s="18">
        <v>44703</v>
      </c>
      <c r="D858" s="1" t="s">
        <v>72</v>
      </c>
      <c r="E858" s="1" t="s">
        <v>17</v>
      </c>
      <c r="F858" s="1">
        <v>8</v>
      </c>
      <c r="G858" s="1">
        <v>5</v>
      </c>
      <c r="H858" s="1">
        <f>SUM(F858:G858)</f>
        <v>13</v>
      </c>
      <c r="I858" s="5">
        <f ca="1">H858-(ROUNDDOWN((($G$1-C858)/365),1))</f>
        <v>8.6999999999999993</v>
      </c>
    </row>
    <row r="859" spans="1:18" x14ac:dyDescent="0.25">
      <c r="A859" s="2">
        <f ca="1">RANK(I859,$I$722:$I$861,0)</f>
        <v>138</v>
      </c>
      <c r="B859" s="1" t="s">
        <v>241</v>
      </c>
      <c r="C859" s="18">
        <v>44843</v>
      </c>
      <c r="D859" s="1" t="s">
        <v>73</v>
      </c>
      <c r="E859" s="1" t="s">
        <v>17</v>
      </c>
      <c r="F859" s="1">
        <v>7</v>
      </c>
      <c r="G859" s="1">
        <v>4</v>
      </c>
      <c r="H859" s="1">
        <f>SUM(F859:G859)</f>
        <v>11</v>
      </c>
      <c r="I859" s="5">
        <f ca="1">H859-(ROUNDDOWN((($G$1-C859)/365),1))</f>
        <v>7.1</v>
      </c>
    </row>
    <row r="860" spans="1:18" x14ac:dyDescent="0.25">
      <c r="A860" s="2">
        <f ca="1">RANK(I860,$I$722:$I$861,0)</f>
        <v>139</v>
      </c>
      <c r="B860" s="1" t="s">
        <v>61</v>
      </c>
      <c r="C860" s="18">
        <v>44577</v>
      </c>
      <c r="D860" s="1" t="s">
        <v>75</v>
      </c>
      <c r="E860" s="1" t="s">
        <v>17</v>
      </c>
      <c r="F860" s="1">
        <v>7</v>
      </c>
      <c r="G860" s="1">
        <v>4</v>
      </c>
      <c r="H860" s="1">
        <f>SUM(F860:G860)</f>
        <v>11</v>
      </c>
      <c r="I860" s="5">
        <f ca="1">H860-(ROUNDDOWN((($G$1-C860)/365),1))</f>
        <v>6.3</v>
      </c>
    </row>
    <row r="861" spans="1:18" x14ac:dyDescent="0.25">
      <c r="A861" s="2"/>
      <c r="I861" s="3"/>
    </row>
    <row r="862" spans="1:18" x14ac:dyDescent="0.25">
      <c r="A862" s="2" t="s">
        <v>27</v>
      </c>
      <c r="B862" s="1" t="s">
        <v>28</v>
      </c>
      <c r="D862" s="1" t="s">
        <v>29</v>
      </c>
      <c r="E862" s="1" t="s">
        <v>29</v>
      </c>
      <c r="F862" s="4">
        <f t="shared" ref="F862:I862" si="15">AVERAGE(F722:F861)</f>
        <v>12.935251798561151</v>
      </c>
      <c r="G862" s="4">
        <f t="shared" si="15"/>
        <v>5.8776978417266186</v>
      </c>
      <c r="H862" s="4">
        <f t="shared" si="15"/>
        <v>18.812949640287769</v>
      </c>
      <c r="I862" s="5">
        <f t="shared" ca="1" si="15"/>
        <v>15.781294964028779</v>
      </c>
    </row>
    <row r="863" spans="1:18" x14ac:dyDescent="0.25">
      <c r="A863" s="39" t="s">
        <v>14</v>
      </c>
      <c r="B863" s="40"/>
      <c r="C863" s="40"/>
      <c r="D863" s="40"/>
      <c r="E863" s="40"/>
      <c r="F863" s="40"/>
      <c r="G863" s="40"/>
      <c r="H863" s="40"/>
      <c r="I863" s="41"/>
    </row>
    <row r="864" spans="1:18" s="14" customFormat="1" ht="30" x14ac:dyDescent="0.25">
      <c r="A864" s="10" t="s">
        <v>1</v>
      </c>
      <c r="B864" s="11" t="s">
        <v>0</v>
      </c>
      <c r="C864" s="11" t="s">
        <v>359</v>
      </c>
      <c r="D864" s="11" t="s">
        <v>65</v>
      </c>
      <c r="E864" s="11" t="s">
        <v>2</v>
      </c>
      <c r="F864" s="11" t="s">
        <v>6</v>
      </c>
      <c r="G864" s="11" t="s">
        <v>7</v>
      </c>
      <c r="H864" s="21" t="s">
        <v>361</v>
      </c>
      <c r="I864" s="22" t="s">
        <v>360</v>
      </c>
      <c r="J864" s="11"/>
      <c r="L864" s="1"/>
      <c r="M864" s="1"/>
      <c r="N864" s="1"/>
      <c r="O864" s="1"/>
      <c r="P864" s="1"/>
      <c r="Q864" s="4"/>
      <c r="R864"/>
    </row>
    <row r="865" spans="1:18" x14ac:dyDescent="0.25">
      <c r="A865" s="2">
        <f t="shared" ref="A865:A892" ca="1" si="16">RANK(I865,$I$865:$I$893,0)</f>
        <v>1</v>
      </c>
      <c r="B865" s="1" t="s">
        <v>313</v>
      </c>
      <c r="C865" s="18">
        <v>45249</v>
      </c>
      <c r="D865" s="1" t="s">
        <v>74</v>
      </c>
      <c r="E865" s="1" t="s">
        <v>33</v>
      </c>
      <c r="F865" s="1">
        <v>16</v>
      </c>
      <c r="G865" s="1">
        <v>7</v>
      </c>
      <c r="H865" s="1">
        <f t="shared" ref="H865:H892" si="17">SUM(F865:G865)</f>
        <v>23</v>
      </c>
      <c r="I865" s="5">
        <f t="shared" ref="I865:I892" ca="1" si="18">H865-(ROUNDDOWN((($G$1-C865)/365),1))</f>
        <v>20.2</v>
      </c>
    </row>
    <row r="866" spans="1:18" x14ac:dyDescent="0.25">
      <c r="A866" s="2">
        <f t="shared" ca="1" si="16"/>
        <v>1</v>
      </c>
      <c r="B866" s="29" t="s">
        <v>252</v>
      </c>
      <c r="C866" s="18">
        <v>44878</v>
      </c>
      <c r="D866" s="1" t="s">
        <v>69</v>
      </c>
      <c r="E866" s="1" t="s">
        <v>33</v>
      </c>
      <c r="F866" s="1">
        <v>15</v>
      </c>
      <c r="G866" s="1">
        <v>9</v>
      </c>
      <c r="H866" s="1">
        <f t="shared" si="17"/>
        <v>24</v>
      </c>
      <c r="I866" s="5">
        <f t="shared" ca="1" si="18"/>
        <v>20.2</v>
      </c>
    </row>
    <row r="867" spans="1:18" x14ac:dyDescent="0.25">
      <c r="A867" s="2">
        <f t="shared" ca="1" si="16"/>
        <v>3</v>
      </c>
      <c r="B867" s="29" t="s">
        <v>280</v>
      </c>
      <c r="C867" s="18">
        <v>45220</v>
      </c>
      <c r="D867" s="1" t="s">
        <v>307</v>
      </c>
      <c r="E867" s="1" t="s">
        <v>33</v>
      </c>
      <c r="F867" s="1">
        <v>15</v>
      </c>
      <c r="G867" s="1">
        <v>8</v>
      </c>
      <c r="H867" s="1">
        <f t="shared" si="17"/>
        <v>23</v>
      </c>
      <c r="I867" s="5">
        <f t="shared" ca="1" si="18"/>
        <v>20.100000000000001</v>
      </c>
    </row>
    <row r="868" spans="1:18" x14ac:dyDescent="0.25">
      <c r="A868" s="2">
        <f t="shared" ca="1" si="16"/>
        <v>3</v>
      </c>
      <c r="B868" s="1" t="s">
        <v>381</v>
      </c>
      <c r="C868" s="18">
        <v>45578</v>
      </c>
      <c r="D868" s="1" t="s">
        <v>154</v>
      </c>
      <c r="E868" s="1" t="s">
        <v>33</v>
      </c>
      <c r="F868" s="1">
        <v>15</v>
      </c>
      <c r="G868" s="1">
        <v>7</v>
      </c>
      <c r="H868" s="1">
        <f t="shared" si="17"/>
        <v>22</v>
      </c>
      <c r="I868" s="5">
        <f t="shared" ca="1" si="18"/>
        <v>20.100000000000001</v>
      </c>
    </row>
    <row r="869" spans="1:18" x14ac:dyDescent="0.25">
      <c r="A869" s="2">
        <f t="shared" ca="1" si="16"/>
        <v>5</v>
      </c>
      <c r="B869" s="1" t="s">
        <v>516</v>
      </c>
      <c r="C869" s="18">
        <v>46201</v>
      </c>
      <c r="D869" s="1" t="s">
        <v>497</v>
      </c>
      <c r="E869" s="1" t="s">
        <v>33</v>
      </c>
      <c r="F869" s="1">
        <v>14</v>
      </c>
      <c r="G869" s="1">
        <v>6</v>
      </c>
      <c r="H869" s="1">
        <f t="shared" si="17"/>
        <v>20</v>
      </c>
      <c r="I869" s="5">
        <f t="shared" ca="1" si="18"/>
        <v>19.8</v>
      </c>
    </row>
    <row r="870" spans="1:18" x14ac:dyDescent="0.25">
      <c r="A870" s="2">
        <f t="shared" ca="1" si="16"/>
        <v>6</v>
      </c>
      <c r="B870" s="29" t="s">
        <v>496</v>
      </c>
      <c r="C870" s="18">
        <v>46096</v>
      </c>
      <c r="D870" s="1" t="s">
        <v>497</v>
      </c>
      <c r="E870" s="1" t="s">
        <v>33</v>
      </c>
      <c r="F870" s="1">
        <v>15</v>
      </c>
      <c r="G870" s="1">
        <v>5</v>
      </c>
      <c r="H870" s="1">
        <f t="shared" si="17"/>
        <v>20</v>
      </c>
      <c r="I870" s="5">
        <f t="shared" ca="1" si="18"/>
        <v>19.5</v>
      </c>
    </row>
    <row r="871" spans="1:18" x14ac:dyDescent="0.25">
      <c r="A871" s="2">
        <f t="shared" ca="1" si="16"/>
        <v>7</v>
      </c>
      <c r="B871" s="1" t="s">
        <v>371</v>
      </c>
      <c r="C871" s="18">
        <v>45543</v>
      </c>
      <c r="D871" s="1" t="s">
        <v>66</v>
      </c>
      <c r="E871" s="1" t="s">
        <v>33</v>
      </c>
      <c r="F871" s="1">
        <v>15</v>
      </c>
      <c r="G871" s="1">
        <v>6</v>
      </c>
      <c r="H871" s="1">
        <f t="shared" si="17"/>
        <v>21</v>
      </c>
      <c r="I871" s="5">
        <f t="shared" ca="1" si="18"/>
        <v>19</v>
      </c>
    </row>
    <row r="872" spans="1:18" x14ac:dyDescent="0.25">
      <c r="A872" s="2">
        <f t="shared" ca="1" si="16"/>
        <v>9</v>
      </c>
      <c r="B872" s="29" t="s">
        <v>425</v>
      </c>
      <c r="C872" s="18">
        <v>45764</v>
      </c>
      <c r="D872" s="1" t="s">
        <v>67</v>
      </c>
      <c r="E872" s="1" t="s">
        <v>33</v>
      </c>
      <c r="F872" s="1">
        <v>13</v>
      </c>
      <c r="G872" s="1">
        <v>7</v>
      </c>
      <c r="H872" s="1">
        <f t="shared" si="17"/>
        <v>20</v>
      </c>
      <c r="I872" s="5">
        <f t="shared" ca="1" si="18"/>
        <v>18.600000000000001</v>
      </c>
    </row>
    <row r="873" spans="1:18" x14ac:dyDescent="0.25">
      <c r="A873" s="2">
        <f t="shared" ca="1" si="16"/>
        <v>8</v>
      </c>
      <c r="B873" s="29" t="s">
        <v>513</v>
      </c>
      <c r="C873" s="18">
        <v>46159</v>
      </c>
      <c r="D873" s="1" t="s">
        <v>483</v>
      </c>
      <c r="E873" s="1" t="s">
        <v>33</v>
      </c>
      <c r="F873" s="1">
        <v>14</v>
      </c>
      <c r="G873" s="1">
        <v>5</v>
      </c>
      <c r="H873" s="1">
        <f t="shared" si="17"/>
        <v>19</v>
      </c>
      <c r="I873" s="5">
        <f t="shared" ca="1" si="18"/>
        <v>18.7</v>
      </c>
      <c r="L873" s="14"/>
      <c r="M873" s="14"/>
      <c r="N873" s="14"/>
      <c r="O873" s="14"/>
      <c r="P873" s="14"/>
      <c r="Q873" s="14"/>
      <c r="R873" s="14"/>
    </row>
    <row r="874" spans="1:18" x14ac:dyDescent="0.25">
      <c r="A874" s="2">
        <f t="shared" ca="1" si="16"/>
        <v>10</v>
      </c>
      <c r="B874" s="1" t="s">
        <v>88</v>
      </c>
      <c r="C874" s="18">
        <v>44577</v>
      </c>
      <c r="D874" s="1" t="s">
        <v>66</v>
      </c>
      <c r="E874" s="1" t="s">
        <v>33</v>
      </c>
      <c r="F874" s="1">
        <v>15</v>
      </c>
      <c r="G874" s="1">
        <v>8</v>
      </c>
      <c r="H874" s="1">
        <f t="shared" si="17"/>
        <v>23</v>
      </c>
      <c r="I874" s="5">
        <f t="shared" ca="1" si="18"/>
        <v>18.3</v>
      </c>
    </row>
    <row r="875" spans="1:18" x14ac:dyDescent="0.25">
      <c r="A875" s="2">
        <f t="shared" ca="1" si="16"/>
        <v>11</v>
      </c>
      <c r="B875" s="1" t="s">
        <v>237</v>
      </c>
      <c r="C875" s="18">
        <v>44815</v>
      </c>
      <c r="D875" s="1" t="s">
        <v>236</v>
      </c>
      <c r="E875" s="1" t="s">
        <v>33</v>
      </c>
      <c r="F875" s="1">
        <v>15</v>
      </c>
      <c r="G875" s="1">
        <v>7</v>
      </c>
      <c r="H875" s="1">
        <f t="shared" si="17"/>
        <v>22</v>
      </c>
      <c r="I875" s="5">
        <f t="shared" ca="1" si="18"/>
        <v>18</v>
      </c>
    </row>
    <row r="876" spans="1:18" x14ac:dyDescent="0.25">
      <c r="A876" s="2">
        <f t="shared" ca="1" si="16"/>
        <v>12</v>
      </c>
      <c r="B876" s="1" t="s">
        <v>228</v>
      </c>
      <c r="C876" s="18">
        <v>44773</v>
      </c>
      <c r="D876" s="1" t="s">
        <v>68</v>
      </c>
      <c r="E876" s="1" t="s">
        <v>33</v>
      </c>
      <c r="F876" s="1">
        <v>15</v>
      </c>
      <c r="G876" s="1">
        <v>7</v>
      </c>
      <c r="H876" s="1">
        <f t="shared" si="17"/>
        <v>22</v>
      </c>
      <c r="I876" s="5">
        <f t="shared" ca="1" si="18"/>
        <v>17.899999999999999</v>
      </c>
    </row>
    <row r="877" spans="1:18" x14ac:dyDescent="0.25">
      <c r="A877" s="2">
        <f t="shared" ca="1" si="16"/>
        <v>13</v>
      </c>
      <c r="B877" s="1" t="s">
        <v>303</v>
      </c>
      <c r="C877" s="18">
        <v>45207</v>
      </c>
      <c r="D877" s="1" t="s">
        <v>149</v>
      </c>
      <c r="E877" s="1" t="s">
        <v>33</v>
      </c>
      <c r="F877" s="1">
        <v>14</v>
      </c>
      <c r="G877" s="1">
        <v>6</v>
      </c>
      <c r="H877" s="1">
        <f t="shared" si="17"/>
        <v>20</v>
      </c>
      <c r="I877" s="5">
        <f t="shared" ca="1" si="18"/>
        <v>17.100000000000001</v>
      </c>
    </row>
    <row r="878" spans="1:18" x14ac:dyDescent="0.25">
      <c r="A878" s="2">
        <f t="shared" ca="1" si="16"/>
        <v>14</v>
      </c>
      <c r="B878" s="29" t="s">
        <v>238</v>
      </c>
      <c r="C878" s="18">
        <v>44822</v>
      </c>
      <c r="D878" s="1" t="s">
        <v>71</v>
      </c>
      <c r="E878" s="1" t="s">
        <v>33</v>
      </c>
      <c r="F878" s="1">
        <v>15</v>
      </c>
      <c r="G878" s="1">
        <v>6</v>
      </c>
      <c r="H878" s="1">
        <f t="shared" si="17"/>
        <v>21</v>
      </c>
      <c r="I878" s="5">
        <f t="shared" ca="1" si="18"/>
        <v>17</v>
      </c>
    </row>
    <row r="879" spans="1:18" x14ac:dyDescent="0.25">
      <c r="A879" s="2">
        <f t="shared" ca="1" si="16"/>
        <v>15</v>
      </c>
      <c r="B879" s="1" t="s">
        <v>453</v>
      </c>
      <c r="C879" s="18">
        <v>45886</v>
      </c>
      <c r="D879" s="1" t="s">
        <v>309</v>
      </c>
      <c r="E879" s="1" t="s">
        <v>33</v>
      </c>
      <c r="F879" s="1">
        <v>11</v>
      </c>
      <c r="G879" s="1">
        <v>6</v>
      </c>
      <c r="H879" s="1">
        <f t="shared" si="17"/>
        <v>17</v>
      </c>
      <c r="I879" s="5">
        <f t="shared" ca="1" si="18"/>
        <v>15.9</v>
      </c>
    </row>
    <row r="880" spans="1:18" x14ac:dyDescent="0.25">
      <c r="A880" s="2">
        <f t="shared" ca="1" si="16"/>
        <v>16</v>
      </c>
      <c r="B880" s="1" t="s">
        <v>290</v>
      </c>
      <c r="C880" s="18">
        <v>45102</v>
      </c>
      <c r="D880" s="1" t="s">
        <v>68</v>
      </c>
      <c r="E880" s="1" t="s">
        <v>33</v>
      </c>
      <c r="F880" s="1">
        <v>12</v>
      </c>
      <c r="G880" s="1">
        <v>7</v>
      </c>
      <c r="H880" s="1">
        <f t="shared" si="17"/>
        <v>19</v>
      </c>
      <c r="I880" s="5">
        <f t="shared" ca="1" si="18"/>
        <v>15.8</v>
      </c>
    </row>
    <row r="881" spans="1:18" x14ac:dyDescent="0.25">
      <c r="A881" s="2">
        <f t="shared" ca="1" si="16"/>
        <v>17</v>
      </c>
      <c r="B881" s="1" t="s">
        <v>278</v>
      </c>
      <c r="C881" s="18">
        <v>45039</v>
      </c>
      <c r="D881" s="1" t="s">
        <v>73</v>
      </c>
      <c r="E881" s="1" t="s">
        <v>33</v>
      </c>
      <c r="F881" s="1">
        <v>11</v>
      </c>
      <c r="G881" s="1">
        <v>8</v>
      </c>
      <c r="H881" s="1">
        <f t="shared" si="17"/>
        <v>19</v>
      </c>
      <c r="I881" s="5">
        <f t="shared" ca="1" si="18"/>
        <v>15.6</v>
      </c>
    </row>
    <row r="882" spans="1:18" x14ac:dyDescent="0.25">
      <c r="A882" s="2">
        <f t="shared" ca="1" si="16"/>
        <v>18</v>
      </c>
      <c r="B882" s="1" t="s">
        <v>287</v>
      </c>
      <c r="C882" s="18">
        <v>45081</v>
      </c>
      <c r="D882" s="1" t="s">
        <v>236</v>
      </c>
      <c r="E882" s="1" t="s">
        <v>33</v>
      </c>
      <c r="F882" s="1">
        <v>12</v>
      </c>
      <c r="G882" s="1">
        <v>6</v>
      </c>
      <c r="H882" s="1">
        <f t="shared" si="17"/>
        <v>18</v>
      </c>
      <c r="I882" s="5">
        <f t="shared" ca="1" si="18"/>
        <v>14.7</v>
      </c>
    </row>
    <row r="883" spans="1:18" x14ac:dyDescent="0.25">
      <c r="A883" s="2">
        <f t="shared" ca="1" si="16"/>
        <v>19</v>
      </c>
      <c r="B883" s="1" t="s">
        <v>386</v>
      </c>
      <c r="C883" s="18">
        <v>45613</v>
      </c>
      <c r="D883" s="1" t="s">
        <v>307</v>
      </c>
      <c r="E883" s="1" t="s">
        <v>33</v>
      </c>
      <c r="F883" s="1">
        <v>11</v>
      </c>
      <c r="G883" s="1">
        <v>5</v>
      </c>
      <c r="H883" s="1">
        <f t="shared" si="17"/>
        <v>16</v>
      </c>
      <c r="I883" s="5">
        <f t="shared" ca="1" si="18"/>
        <v>14.2</v>
      </c>
    </row>
    <row r="884" spans="1:18" x14ac:dyDescent="0.25">
      <c r="A884" s="2">
        <f t="shared" ca="1" si="16"/>
        <v>20</v>
      </c>
      <c r="B884" s="1" t="s">
        <v>499</v>
      </c>
      <c r="C884" s="18">
        <v>46103</v>
      </c>
      <c r="D884" s="1" t="s">
        <v>74</v>
      </c>
      <c r="E884" s="1" t="s">
        <v>33</v>
      </c>
      <c r="F884" s="1">
        <v>10</v>
      </c>
      <c r="G884" s="1">
        <v>4</v>
      </c>
      <c r="H884" s="1">
        <f t="shared" si="17"/>
        <v>14</v>
      </c>
      <c r="I884" s="5">
        <f t="shared" ca="1" si="18"/>
        <v>13.5</v>
      </c>
    </row>
    <row r="885" spans="1:18" x14ac:dyDescent="0.25">
      <c r="A885" s="2">
        <f t="shared" ca="1" si="16"/>
        <v>21</v>
      </c>
      <c r="B885" s="1" t="s">
        <v>408</v>
      </c>
      <c r="C885" s="18">
        <v>45690</v>
      </c>
      <c r="D885" s="1" t="s">
        <v>309</v>
      </c>
      <c r="E885" s="1" t="s">
        <v>33</v>
      </c>
      <c r="F885" s="1">
        <v>10</v>
      </c>
      <c r="G885" s="1">
        <v>5</v>
      </c>
      <c r="H885" s="1">
        <f t="shared" si="17"/>
        <v>15</v>
      </c>
      <c r="I885" s="5">
        <f t="shared" ca="1" si="18"/>
        <v>13.4</v>
      </c>
    </row>
    <row r="886" spans="1:18" x14ac:dyDescent="0.25">
      <c r="A886" s="2">
        <f t="shared" ca="1" si="16"/>
        <v>22</v>
      </c>
      <c r="B886" s="1" t="s">
        <v>47</v>
      </c>
      <c r="C886" s="18">
        <v>44423</v>
      </c>
      <c r="D886" s="1" t="s">
        <v>69</v>
      </c>
      <c r="E886" s="1" t="s">
        <v>33</v>
      </c>
      <c r="F886" s="1">
        <v>11</v>
      </c>
      <c r="G886" s="1">
        <v>7</v>
      </c>
      <c r="H886" s="1">
        <f t="shared" si="17"/>
        <v>18</v>
      </c>
      <c r="I886" s="5">
        <f t="shared" ca="1" si="18"/>
        <v>12.9</v>
      </c>
    </row>
    <row r="887" spans="1:18" x14ac:dyDescent="0.25">
      <c r="A887" s="2">
        <f t="shared" ca="1" si="16"/>
        <v>23</v>
      </c>
      <c r="B887" s="1" t="s">
        <v>402</v>
      </c>
      <c r="C887" s="18">
        <v>45662</v>
      </c>
      <c r="D887" s="1" t="s">
        <v>74</v>
      </c>
      <c r="E887" s="1" t="s">
        <v>33</v>
      </c>
      <c r="F887" s="1">
        <v>9</v>
      </c>
      <c r="G887" s="1">
        <v>5</v>
      </c>
      <c r="H887" s="1">
        <f t="shared" si="17"/>
        <v>14</v>
      </c>
      <c r="I887" s="5">
        <f t="shared" ca="1" si="18"/>
        <v>12.3</v>
      </c>
    </row>
    <row r="888" spans="1:18" x14ac:dyDescent="0.25">
      <c r="A888" s="2">
        <f t="shared" ca="1" si="16"/>
        <v>24</v>
      </c>
      <c r="B888" s="1" t="s">
        <v>32</v>
      </c>
      <c r="C888" s="18">
        <v>44423</v>
      </c>
      <c r="D888" s="1" t="s">
        <v>68</v>
      </c>
      <c r="E888" s="1" t="s">
        <v>33</v>
      </c>
      <c r="F888" s="1">
        <v>13</v>
      </c>
      <c r="G888" s="1">
        <v>4</v>
      </c>
      <c r="H888" s="1">
        <f t="shared" si="17"/>
        <v>17</v>
      </c>
      <c r="I888" s="5">
        <f t="shared" ca="1" si="18"/>
        <v>11.9</v>
      </c>
    </row>
    <row r="889" spans="1:18" x14ac:dyDescent="0.25">
      <c r="A889" s="2">
        <f t="shared" ca="1" si="16"/>
        <v>25</v>
      </c>
      <c r="B889" s="1" t="s">
        <v>350</v>
      </c>
      <c r="C889" s="18">
        <v>45459</v>
      </c>
      <c r="D889" s="1" t="s">
        <v>66</v>
      </c>
      <c r="E889" s="1" t="s">
        <v>33</v>
      </c>
      <c r="F889" s="1">
        <v>9</v>
      </c>
      <c r="G889" s="1">
        <v>5</v>
      </c>
      <c r="H889" s="1">
        <f t="shared" si="17"/>
        <v>14</v>
      </c>
      <c r="I889" s="5">
        <f t="shared" ca="1" si="18"/>
        <v>11.7</v>
      </c>
    </row>
    <row r="890" spans="1:18" x14ac:dyDescent="0.25">
      <c r="A890" s="2">
        <f t="shared" ca="1" si="16"/>
        <v>26</v>
      </c>
      <c r="B890" s="1" t="s">
        <v>201</v>
      </c>
      <c r="C890" s="18">
        <v>44640</v>
      </c>
      <c r="D890" s="1" t="s">
        <v>66</v>
      </c>
      <c r="E890" s="1" t="s">
        <v>33</v>
      </c>
      <c r="F890" s="1">
        <v>10</v>
      </c>
      <c r="G890" s="1">
        <v>5</v>
      </c>
      <c r="H890" s="1">
        <f t="shared" si="17"/>
        <v>15</v>
      </c>
      <c r="I890" s="5">
        <f t="shared" ca="1" si="18"/>
        <v>10.5</v>
      </c>
    </row>
    <row r="891" spans="1:18" x14ac:dyDescent="0.25">
      <c r="A891" s="2">
        <f t="shared" ca="1" si="16"/>
        <v>27</v>
      </c>
      <c r="B891" s="1" t="s">
        <v>43</v>
      </c>
      <c r="C891" s="18">
        <v>44423</v>
      </c>
      <c r="D891" s="1" t="s">
        <v>71</v>
      </c>
      <c r="E891" s="1" t="s">
        <v>33</v>
      </c>
      <c r="F891" s="1">
        <v>9</v>
      </c>
      <c r="G891" s="1">
        <v>6</v>
      </c>
      <c r="H891" s="1">
        <f t="shared" si="17"/>
        <v>15</v>
      </c>
      <c r="I891" s="5">
        <f t="shared" ca="1" si="18"/>
        <v>9.9</v>
      </c>
    </row>
    <row r="892" spans="1:18" x14ac:dyDescent="0.25">
      <c r="A892" s="2">
        <f t="shared" ca="1" si="16"/>
        <v>28</v>
      </c>
      <c r="B892" s="1" t="s">
        <v>431</v>
      </c>
      <c r="C892" s="18">
        <v>45781</v>
      </c>
      <c r="D892" s="1" t="s">
        <v>71</v>
      </c>
      <c r="E892" s="1" t="s">
        <v>33</v>
      </c>
      <c r="F892" s="1">
        <v>8</v>
      </c>
      <c r="G892" s="1">
        <v>3</v>
      </c>
      <c r="H892" s="1">
        <f t="shared" si="17"/>
        <v>11</v>
      </c>
      <c r="I892" s="5">
        <f t="shared" ca="1" si="18"/>
        <v>9.6</v>
      </c>
    </row>
    <row r="893" spans="1:18" x14ac:dyDescent="0.25">
      <c r="A893" s="2"/>
      <c r="I893" s="3"/>
    </row>
    <row r="894" spans="1:18" x14ac:dyDescent="0.25">
      <c r="A894" s="2" t="s">
        <v>27</v>
      </c>
      <c r="B894" s="1" t="s">
        <v>28</v>
      </c>
      <c r="D894" s="1" t="s">
        <v>29</v>
      </c>
      <c r="E894" s="1" t="s">
        <v>29</v>
      </c>
      <c r="F894" s="4">
        <f t="shared" ref="F894:G894" si="19">AVERAGE(F865:F893)</f>
        <v>12.571428571428571</v>
      </c>
      <c r="G894" s="4">
        <f t="shared" si="19"/>
        <v>6.0714285714285712</v>
      </c>
      <c r="H894" s="4">
        <f>AVERAGE(H865:H893)</f>
        <v>18.642857142857142</v>
      </c>
      <c r="I894" s="5">
        <f ca="1">AVERAGE(I865:I893)</f>
        <v>15.94285714285714</v>
      </c>
    </row>
    <row r="895" spans="1:18" x14ac:dyDescent="0.25">
      <c r="A895" s="39" t="s">
        <v>15</v>
      </c>
      <c r="B895" s="40"/>
      <c r="C895" s="40"/>
      <c r="D895" s="40"/>
      <c r="E895" s="40"/>
      <c r="F895" s="40"/>
      <c r="G895" s="40"/>
      <c r="H895" s="40"/>
      <c r="I895" s="41"/>
    </row>
    <row r="896" spans="1:18" s="14" customFormat="1" ht="30" x14ac:dyDescent="0.25">
      <c r="A896" s="10" t="s">
        <v>1</v>
      </c>
      <c r="B896" s="11" t="s">
        <v>0</v>
      </c>
      <c r="C896" s="11" t="s">
        <v>359</v>
      </c>
      <c r="D896" s="11" t="s">
        <v>65</v>
      </c>
      <c r="E896" s="11" t="s">
        <v>2</v>
      </c>
      <c r="F896" s="11" t="s">
        <v>6</v>
      </c>
      <c r="G896" s="11" t="s">
        <v>7</v>
      </c>
      <c r="H896" s="21" t="s">
        <v>361</v>
      </c>
      <c r="I896" s="22" t="s">
        <v>360</v>
      </c>
      <c r="J896" s="11"/>
      <c r="L896" s="1"/>
      <c r="M896" s="1"/>
      <c r="N896" s="1"/>
      <c r="O896" s="1"/>
      <c r="P896" s="1"/>
      <c r="Q896" s="4"/>
      <c r="R896"/>
    </row>
    <row r="897" spans="1:18" x14ac:dyDescent="0.25">
      <c r="A897" s="2">
        <f t="shared" ref="A897:A919" ca="1" si="20">RANK(I897,$I$897:$I$920,0)</f>
        <v>1</v>
      </c>
      <c r="B897" s="1" t="s">
        <v>445</v>
      </c>
      <c r="C897" s="18">
        <v>45844</v>
      </c>
      <c r="D897" s="1" t="s">
        <v>66</v>
      </c>
      <c r="E897" s="1" t="s">
        <v>20</v>
      </c>
      <c r="F897" s="1">
        <v>17</v>
      </c>
      <c r="G897" s="1">
        <v>6</v>
      </c>
      <c r="H897" s="1">
        <f t="shared" ref="H897:H919" si="21">SUM(F897:G897)</f>
        <v>23</v>
      </c>
      <c r="I897" s="5">
        <f t="shared" ref="I897:I919" ca="1" si="22">H897-(ROUNDDOWN((($G$1-C897)/365),1))</f>
        <v>21.8</v>
      </c>
    </row>
    <row r="898" spans="1:18" x14ac:dyDescent="0.25">
      <c r="A898" s="2">
        <f t="shared" ca="1" si="20"/>
        <v>2</v>
      </c>
      <c r="B898" s="29" t="s">
        <v>477</v>
      </c>
      <c r="C898" s="18">
        <v>46011</v>
      </c>
      <c r="D898" s="1" t="s">
        <v>378</v>
      </c>
      <c r="E898" s="1" t="s">
        <v>20</v>
      </c>
      <c r="F898" s="1">
        <v>15</v>
      </c>
      <c r="G898" s="1">
        <v>7</v>
      </c>
      <c r="H898" s="1">
        <f t="shared" si="21"/>
        <v>22</v>
      </c>
      <c r="I898" s="5">
        <f t="shared" ca="1" si="22"/>
        <v>21.3</v>
      </c>
    </row>
    <row r="899" spans="1:18" x14ac:dyDescent="0.25">
      <c r="A899" s="2">
        <f t="shared" ca="1" si="20"/>
        <v>3</v>
      </c>
      <c r="B899" s="29" t="s">
        <v>358</v>
      </c>
      <c r="C899" s="18">
        <v>45508</v>
      </c>
      <c r="D899" s="1" t="s">
        <v>74</v>
      </c>
      <c r="E899" s="1" t="s">
        <v>20</v>
      </c>
      <c r="F899" s="1">
        <v>17</v>
      </c>
      <c r="G899" s="1">
        <v>6</v>
      </c>
      <c r="H899" s="1">
        <f t="shared" si="21"/>
        <v>23</v>
      </c>
      <c r="I899" s="5">
        <f t="shared" ca="1" si="22"/>
        <v>20.9</v>
      </c>
    </row>
    <row r="900" spans="1:18" x14ac:dyDescent="0.25">
      <c r="A900" s="2">
        <f t="shared" ca="1" si="20"/>
        <v>4</v>
      </c>
      <c r="B900" s="1" t="s">
        <v>512</v>
      </c>
      <c r="C900" s="18">
        <v>46152</v>
      </c>
      <c r="D900" s="1" t="s">
        <v>483</v>
      </c>
      <c r="E900" s="1" t="s">
        <v>20</v>
      </c>
      <c r="F900" s="1">
        <v>14</v>
      </c>
      <c r="G900" s="1">
        <v>7</v>
      </c>
      <c r="H900" s="1">
        <f t="shared" si="21"/>
        <v>21</v>
      </c>
      <c r="I900" s="5">
        <f t="shared" ca="1" si="22"/>
        <v>20.6</v>
      </c>
    </row>
    <row r="901" spans="1:18" x14ac:dyDescent="0.25">
      <c r="A901" s="2">
        <f t="shared" ca="1" si="20"/>
        <v>5</v>
      </c>
      <c r="B901" s="29" t="s">
        <v>412</v>
      </c>
      <c r="C901" s="18">
        <v>45711</v>
      </c>
      <c r="D901" s="1" t="s">
        <v>236</v>
      </c>
      <c r="E901" s="1" t="s">
        <v>20</v>
      </c>
      <c r="F901" s="1">
        <v>15</v>
      </c>
      <c r="G901" s="1">
        <v>6</v>
      </c>
      <c r="H901" s="1">
        <f t="shared" si="21"/>
        <v>21</v>
      </c>
      <c r="I901" s="5">
        <f t="shared" ca="1" si="22"/>
        <v>19.399999999999999</v>
      </c>
    </row>
    <row r="902" spans="1:18" x14ac:dyDescent="0.25">
      <c r="A902" s="2">
        <f t="shared" ca="1" si="20"/>
        <v>6</v>
      </c>
      <c r="B902" s="1" t="s">
        <v>370</v>
      </c>
      <c r="C902" s="18">
        <v>45543</v>
      </c>
      <c r="D902" s="1" t="s">
        <v>66</v>
      </c>
      <c r="E902" s="1" t="s">
        <v>20</v>
      </c>
      <c r="F902" s="1">
        <v>15</v>
      </c>
      <c r="G902" s="1">
        <v>6</v>
      </c>
      <c r="H902" s="1">
        <f t="shared" si="21"/>
        <v>21</v>
      </c>
      <c r="I902" s="5">
        <f t="shared" ca="1" si="22"/>
        <v>19</v>
      </c>
    </row>
    <row r="903" spans="1:18" x14ac:dyDescent="0.25">
      <c r="A903" s="2">
        <f t="shared" ca="1" si="20"/>
        <v>6</v>
      </c>
      <c r="B903" s="1" t="s">
        <v>530</v>
      </c>
      <c r="C903" s="18">
        <v>46271</v>
      </c>
      <c r="D903" s="1" t="s">
        <v>236</v>
      </c>
      <c r="E903" s="1" t="s">
        <v>20</v>
      </c>
      <c r="F903" s="1">
        <v>14</v>
      </c>
      <c r="G903" s="1">
        <v>5</v>
      </c>
      <c r="H903" s="1">
        <f t="shared" si="21"/>
        <v>19</v>
      </c>
      <c r="I903" s="5">
        <f t="shared" ca="1" si="22"/>
        <v>19</v>
      </c>
    </row>
    <row r="904" spans="1:18" x14ac:dyDescent="0.25">
      <c r="A904" s="2">
        <f t="shared" ca="1" si="20"/>
        <v>8</v>
      </c>
      <c r="B904" s="29" t="s">
        <v>19</v>
      </c>
      <c r="C904" s="18">
        <v>44409</v>
      </c>
      <c r="D904" s="1" t="s">
        <v>66</v>
      </c>
      <c r="E904" s="1" t="s">
        <v>20</v>
      </c>
      <c r="F904" s="1">
        <v>15</v>
      </c>
      <c r="G904" s="1">
        <v>9</v>
      </c>
      <c r="H904" s="1">
        <f t="shared" si="21"/>
        <v>24</v>
      </c>
      <c r="I904" s="5">
        <f t="shared" ca="1" si="22"/>
        <v>18.899999999999999</v>
      </c>
    </row>
    <row r="905" spans="1:18" x14ac:dyDescent="0.25">
      <c r="A905" s="2">
        <f t="shared" ca="1" si="20"/>
        <v>9</v>
      </c>
      <c r="B905" s="29" t="s">
        <v>461</v>
      </c>
      <c r="C905" s="18">
        <v>45925</v>
      </c>
      <c r="D905" s="1" t="s">
        <v>67</v>
      </c>
      <c r="E905" s="1" t="s">
        <v>20</v>
      </c>
      <c r="F905" s="1">
        <v>13</v>
      </c>
      <c r="G905" s="1">
        <v>6</v>
      </c>
      <c r="H905" s="1">
        <f t="shared" si="21"/>
        <v>19</v>
      </c>
      <c r="I905" s="5">
        <f t="shared" ca="1" si="22"/>
        <v>18</v>
      </c>
      <c r="L905" s="14"/>
      <c r="M905" s="14"/>
      <c r="N905" s="14"/>
      <c r="O905" s="14"/>
      <c r="P905" s="14"/>
      <c r="Q905" s="14"/>
      <c r="R905" s="14"/>
    </row>
    <row r="906" spans="1:18" x14ac:dyDescent="0.25">
      <c r="A906" s="2">
        <f t="shared" ca="1" si="20"/>
        <v>9</v>
      </c>
      <c r="B906" s="1" t="s">
        <v>532</v>
      </c>
      <c r="C906" s="18">
        <v>46285</v>
      </c>
      <c r="D906" s="1" t="s">
        <v>483</v>
      </c>
      <c r="E906" s="1" t="s">
        <v>20</v>
      </c>
      <c r="F906" s="1">
        <v>12</v>
      </c>
      <c r="G906" s="1">
        <v>6</v>
      </c>
      <c r="H906" s="1">
        <f t="shared" si="21"/>
        <v>18</v>
      </c>
      <c r="I906" s="5">
        <f t="shared" ca="1" si="22"/>
        <v>18</v>
      </c>
    </row>
    <row r="907" spans="1:18" x14ac:dyDescent="0.25">
      <c r="A907" s="2">
        <f t="shared" ca="1" si="20"/>
        <v>11</v>
      </c>
      <c r="B907" s="1" t="s">
        <v>227</v>
      </c>
      <c r="C907" s="18">
        <v>44773</v>
      </c>
      <c r="D907" s="1" t="s">
        <v>68</v>
      </c>
      <c r="E907" s="1" t="s">
        <v>20</v>
      </c>
      <c r="F907" s="1">
        <v>15</v>
      </c>
      <c r="G907" s="1">
        <v>7</v>
      </c>
      <c r="H907" s="1">
        <f t="shared" si="21"/>
        <v>22</v>
      </c>
      <c r="I907" s="5">
        <f t="shared" ca="1" si="22"/>
        <v>17.899999999999999</v>
      </c>
    </row>
    <row r="908" spans="1:18" x14ac:dyDescent="0.25">
      <c r="A908" s="2">
        <f t="shared" ca="1" si="20"/>
        <v>12</v>
      </c>
      <c r="B908" s="1" t="s">
        <v>325</v>
      </c>
      <c r="C908" s="18">
        <v>45305</v>
      </c>
      <c r="D908" s="1" t="s">
        <v>307</v>
      </c>
      <c r="E908" s="1" t="s">
        <v>20</v>
      </c>
      <c r="F908" s="1">
        <v>12</v>
      </c>
      <c r="G908" s="1">
        <v>7</v>
      </c>
      <c r="H908" s="1">
        <f t="shared" si="21"/>
        <v>19</v>
      </c>
      <c r="I908" s="5">
        <f t="shared" ca="1" si="22"/>
        <v>16.3</v>
      </c>
    </row>
    <row r="909" spans="1:18" x14ac:dyDescent="0.25">
      <c r="A909" s="2">
        <f t="shared" ca="1" si="20"/>
        <v>13</v>
      </c>
      <c r="B909" s="29" t="s">
        <v>316</v>
      </c>
      <c r="C909" s="18">
        <v>45256</v>
      </c>
      <c r="D909" s="1" t="s">
        <v>307</v>
      </c>
      <c r="E909" s="1" t="s">
        <v>20</v>
      </c>
      <c r="F909" s="1">
        <v>14</v>
      </c>
      <c r="G909" s="1">
        <v>5</v>
      </c>
      <c r="H909" s="1">
        <f t="shared" si="21"/>
        <v>19</v>
      </c>
      <c r="I909" s="5">
        <f t="shared" ca="1" si="22"/>
        <v>16.2</v>
      </c>
    </row>
    <row r="910" spans="1:18" x14ac:dyDescent="0.25">
      <c r="A910" s="2">
        <f t="shared" ca="1" si="20"/>
        <v>14</v>
      </c>
      <c r="B910" s="1" t="s">
        <v>373</v>
      </c>
      <c r="C910" s="18">
        <v>45557</v>
      </c>
      <c r="D910" s="1" t="s">
        <v>73</v>
      </c>
      <c r="E910" s="1" t="s">
        <v>20</v>
      </c>
      <c r="F910" s="1">
        <v>12</v>
      </c>
      <c r="G910" s="1">
        <v>6</v>
      </c>
      <c r="H910" s="1">
        <f t="shared" si="21"/>
        <v>18</v>
      </c>
      <c r="I910" s="5">
        <f t="shared" ca="1" si="22"/>
        <v>16</v>
      </c>
    </row>
    <row r="911" spans="1:18" x14ac:dyDescent="0.25">
      <c r="A911" s="2">
        <f t="shared" ca="1" si="20"/>
        <v>14</v>
      </c>
      <c r="B911" s="1" t="s">
        <v>299</v>
      </c>
      <c r="C911" s="18">
        <v>45172</v>
      </c>
      <c r="D911" s="1" t="s">
        <v>68</v>
      </c>
      <c r="E911" s="1" t="s">
        <v>20</v>
      </c>
      <c r="F911" s="1">
        <v>13</v>
      </c>
      <c r="G911" s="1">
        <v>6</v>
      </c>
      <c r="H911" s="1">
        <f t="shared" si="21"/>
        <v>19</v>
      </c>
      <c r="I911" s="5">
        <f t="shared" ca="1" si="22"/>
        <v>16</v>
      </c>
    </row>
    <row r="912" spans="1:18" x14ac:dyDescent="0.25">
      <c r="A912" s="2">
        <f t="shared" ca="1" si="20"/>
        <v>16</v>
      </c>
      <c r="B912" s="1" t="s">
        <v>289</v>
      </c>
      <c r="C912" s="18">
        <v>45102</v>
      </c>
      <c r="D912" s="1" t="s">
        <v>68</v>
      </c>
      <c r="E912" s="1" t="s">
        <v>20</v>
      </c>
      <c r="F912" s="1">
        <v>12</v>
      </c>
      <c r="G912" s="1">
        <v>7</v>
      </c>
      <c r="H912" s="1">
        <f t="shared" si="21"/>
        <v>19</v>
      </c>
      <c r="I912" s="5">
        <f t="shared" ca="1" si="22"/>
        <v>15.8</v>
      </c>
    </row>
    <row r="913" spans="1:18" x14ac:dyDescent="0.25">
      <c r="A913" s="2">
        <f t="shared" ca="1" si="20"/>
        <v>17</v>
      </c>
      <c r="B913" s="1" t="s">
        <v>311</v>
      </c>
      <c r="C913" s="18">
        <v>45235</v>
      </c>
      <c r="D913" s="1" t="s">
        <v>307</v>
      </c>
      <c r="E913" s="1" t="s">
        <v>20</v>
      </c>
      <c r="F913" s="1">
        <v>10</v>
      </c>
      <c r="G913" s="1">
        <v>7</v>
      </c>
      <c r="H913" s="1">
        <f t="shared" si="21"/>
        <v>17</v>
      </c>
      <c r="I913" s="5">
        <f t="shared" ca="1" si="22"/>
        <v>14.1</v>
      </c>
    </row>
    <row r="914" spans="1:18" x14ac:dyDescent="0.25">
      <c r="A914" s="2">
        <f t="shared" ca="1" si="20"/>
        <v>18</v>
      </c>
      <c r="B914" s="1" t="s">
        <v>235</v>
      </c>
      <c r="C914" s="18">
        <v>44815</v>
      </c>
      <c r="D914" s="1" t="s">
        <v>236</v>
      </c>
      <c r="E914" s="1" t="s">
        <v>20</v>
      </c>
      <c r="F914" s="1">
        <v>13</v>
      </c>
      <c r="G914" s="1">
        <v>5</v>
      </c>
      <c r="H914" s="1">
        <f t="shared" si="21"/>
        <v>18</v>
      </c>
      <c r="I914" s="5">
        <f t="shared" ca="1" si="22"/>
        <v>14</v>
      </c>
    </row>
    <row r="915" spans="1:18" x14ac:dyDescent="0.25">
      <c r="A915" s="2">
        <f t="shared" ca="1" si="20"/>
        <v>19</v>
      </c>
      <c r="B915" s="1" t="s">
        <v>30</v>
      </c>
      <c r="C915" s="18">
        <v>44423</v>
      </c>
      <c r="D915" s="1" t="s">
        <v>68</v>
      </c>
      <c r="E915" s="1" t="s">
        <v>20</v>
      </c>
      <c r="F915" s="1">
        <v>13</v>
      </c>
      <c r="G915" s="1">
        <v>5</v>
      </c>
      <c r="H915" s="1">
        <f t="shared" si="21"/>
        <v>18</v>
      </c>
      <c r="I915" s="5">
        <f t="shared" ca="1" si="22"/>
        <v>12.9</v>
      </c>
    </row>
    <row r="916" spans="1:18" x14ac:dyDescent="0.25">
      <c r="A916" s="2">
        <f t="shared" ca="1" si="20"/>
        <v>20</v>
      </c>
      <c r="B916" s="1" t="s">
        <v>48</v>
      </c>
      <c r="C916" s="18">
        <v>44451</v>
      </c>
      <c r="D916" s="1" t="s">
        <v>71</v>
      </c>
      <c r="E916" s="1" t="s">
        <v>20</v>
      </c>
      <c r="F916" s="1">
        <v>11</v>
      </c>
      <c r="G916" s="1">
        <v>6</v>
      </c>
      <c r="H916" s="1">
        <f t="shared" si="21"/>
        <v>17</v>
      </c>
      <c r="I916" s="5">
        <f t="shared" ca="1" si="22"/>
        <v>12</v>
      </c>
    </row>
    <row r="917" spans="1:18" x14ac:dyDescent="0.25">
      <c r="A917" s="2">
        <f t="shared" ca="1" si="20"/>
        <v>21</v>
      </c>
      <c r="B917" s="1" t="s">
        <v>498</v>
      </c>
      <c r="C917" s="18">
        <v>46103</v>
      </c>
      <c r="D917" s="1" t="s">
        <v>74</v>
      </c>
      <c r="E917" s="1" t="s">
        <v>20</v>
      </c>
      <c r="F917" s="1">
        <v>8</v>
      </c>
      <c r="G917" s="1">
        <v>4</v>
      </c>
      <c r="H917" s="1">
        <f t="shared" si="21"/>
        <v>12</v>
      </c>
      <c r="I917" s="5">
        <f t="shared" ca="1" si="22"/>
        <v>11.5</v>
      </c>
    </row>
    <row r="918" spans="1:18" x14ac:dyDescent="0.25">
      <c r="A918" s="2">
        <f t="shared" ca="1" si="20"/>
        <v>22</v>
      </c>
      <c r="B918" s="1" t="s">
        <v>388</v>
      </c>
      <c r="C918" s="18">
        <v>45613</v>
      </c>
      <c r="D918" s="1" t="s">
        <v>66</v>
      </c>
      <c r="E918" s="1" t="s">
        <v>20</v>
      </c>
      <c r="F918" s="1">
        <v>9</v>
      </c>
      <c r="G918" s="1">
        <v>4</v>
      </c>
      <c r="H918" s="1">
        <f t="shared" si="21"/>
        <v>13</v>
      </c>
      <c r="I918" s="5">
        <f t="shared" ca="1" si="22"/>
        <v>11.2</v>
      </c>
    </row>
    <row r="919" spans="1:18" x14ac:dyDescent="0.25">
      <c r="A919" s="2">
        <f t="shared" ca="1" si="20"/>
        <v>23</v>
      </c>
      <c r="B919" s="29" t="s">
        <v>515</v>
      </c>
      <c r="C919" s="18">
        <v>46194</v>
      </c>
      <c r="D919" s="1" t="s">
        <v>71</v>
      </c>
      <c r="E919" s="1" t="s">
        <v>20</v>
      </c>
      <c r="F919" s="1">
        <v>9</v>
      </c>
      <c r="G919" s="1">
        <v>2</v>
      </c>
      <c r="H919" s="1">
        <f t="shared" si="21"/>
        <v>11</v>
      </c>
      <c r="I919" s="5">
        <f t="shared" ca="1" si="22"/>
        <v>10.8</v>
      </c>
    </row>
    <row r="920" spans="1:18" x14ac:dyDescent="0.25">
      <c r="A920" s="2"/>
      <c r="I920" s="3"/>
    </row>
    <row r="921" spans="1:18" x14ac:dyDescent="0.25">
      <c r="A921" s="2" t="s">
        <v>27</v>
      </c>
      <c r="B921" s="1" t="s">
        <v>28</v>
      </c>
      <c r="D921" s="1" t="s">
        <v>29</v>
      </c>
      <c r="E921" s="1" t="s">
        <v>29</v>
      </c>
      <c r="F921" s="4">
        <f t="shared" ref="F921:I921" si="23">AVERAGE(F897:F920)</f>
        <v>12.956521739130435</v>
      </c>
      <c r="G921" s="4">
        <f t="shared" si="23"/>
        <v>5.8695652173913047</v>
      </c>
      <c r="H921" s="4">
        <f t="shared" si="23"/>
        <v>18.826086956521738</v>
      </c>
      <c r="I921" s="5">
        <f t="shared" ca="1" si="23"/>
        <v>16.591304347826089</v>
      </c>
    </row>
    <row r="922" spans="1:18" x14ac:dyDescent="0.25">
      <c r="A922" s="39" t="s">
        <v>38</v>
      </c>
      <c r="B922" s="40"/>
      <c r="C922" s="40"/>
      <c r="D922" s="40"/>
      <c r="E922" s="40"/>
      <c r="F922" s="40"/>
      <c r="G922" s="40"/>
      <c r="H922" s="40"/>
      <c r="I922" s="41"/>
      <c r="K922"/>
    </row>
    <row r="923" spans="1:18" s="14" customFormat="1" ht="30" x14ac:dyDescent="0.25">
      <c r="A923" s="10" t="s">
        <v>1</v>
      </c>
      <c r="B923" s="11" t="s">
        <v>0</v>
      </c>
      <c r="C923" s="11" t="s">
        <v>359</v>
      </c>
      <c r="D923" s="11" t="s">
        <v>65</v>
      </c>
      <c r="E923" s="11" t="s">
        <v>2</v>
      </c>
      <c r="F923" s="11" t="s">
        <v>6</v>
      </c>
      <c r="G923" s="11" t="s">
        <v>7</v>
      </c>
      <c r="H923" s="21" t="s">
        <v>361</v>
      </c>
      <c r="I923" s="22" t="s">
        <v>360</v>
      </c>
      <c r="J923" s="11"/>
      <c r="L923" s="1"/>
      <c r="M923" s="1"/>
      <c r="N923" s="1"/>
      <c r="O923" s="1"/>
      <c r="P923" s="1"/>
      <c r="Q923" s="4"/>
      <c r="R923"/>
    </row>
    <row r="924" spans="1:18" x14ac:dyDescent="0.25">
      <c r="A924" s="2">
        <f t="shared" ref="A924:A963" ca="1" si="24">RANK(I924,$I$924:$I$964,0)</f>
        <v>1</v>
      </c>
      <c r="B924" s="29" t="s">
        <v>330</v>
      </c>
      <c r="C924" s="18">
        <v>45326</v>
      </c>
      <c r="D924" s="1" t="s">
        <v>71</v>
      </c>
      <c r="E924" s="1" t="s">
        <v>40</v>
      </c>
      <c r="F924" s="1">
        <v>15</v>
      </c>
      <c r="G924" s="1">
        <v>9</v>
      </c>
      <c r="H924" s="1">
        <f t="shared" ref="H924:H963" si="25">SUM(F924:G924)</f>
        <v>24</v>
      </c>
      <c r="I924" s="5">
        <f t="shared" ref="I924:I963" ca="1" si="26">H924-(ROUNDDOWN((($G$1-C924)/365),1))</f>
        <v>21.4</v>
      </c>
      <c r="K924"/>
    </row>
    <row r="925" spans="1:18" x14ac:dyDescent="0.25">
      <c r="A925" s="2">
        <f t="shared" ca="1" si="24"/>
        <v>2</v>
      </c>
      <c r="B925" s="29" t="s">
        <v>270</v>
      </c>
      <c r="C925" s="18">
        <v>44938</v>
      </c>
      <c r="D925" s="1" t="s">
        <v>68</v>
      </c>
      <c r="E925" s="1" t="s">
        <v>40</v>
      </c>
      <c r="F925" s="1">
        <v>15</v>
      </c>
      <c r="G925" s="1">
        <v>10</v>
      </c>
      <c r="H925" s="1">
        <f t="shared" si="25"/>
        <v>25</v>
      </c>
      <c r="I925" s="5">
        <f t="shared" ca="1" si="26"/>
        <v>21.3</v>
      </c>
      <c r="K925"/>
    </row>
    <row r="926" spans="1:18" x14ac:dyDescent="0.25">
      <c r="A926" s="2">
        <f t="shared" ca="1" si="24"/>
        <v>3</v>
      </c>
      <c r="B926" s="1" t="s">
        <v>374</v>
      </c>
      <c r="C926" s="18">
        <v>45557</v>
      </c>
      <c r="D926" s="1" t="s">
        <v>266</v>
      </c>
      <c r="E926" s="1" t="s">
        <v>40</v>
      </c>
      <c r="F926" s="1">
        <v>15</v>
      </c>
      <c r="G926" s="1">
        <v>8</v>
      </c>
      <c r="H926" s="1">
        <f t="shared" si="25"/>
        <v>23</v>
      </c>
      <c r="I926" s="5">
        <f t="shared" ca="1" si="26"/>
        <v>21</v>
      </c>
      <c r="K926"/>
    </row>
    <row r="927" spans="1:18" x14ac:dyDescent="0.25">
      <c r="A927" s="2">
        <f t="shared" ca="1" si="24"/>
        <v>4</v>
      </c>
      <c r="B927" s="29" t="s">
        <v>233</v>
      </c>
      <c r="C927" s="18">
        <v>44811</v>
      </c>
      <c r="D927" s="1" t="s">
        <v>72</v>
      </c>
      <c r="E927" s="1" t="s">
        <v>40</v>
      </c>
      <c r="F927" s="1">
        <v>15</v>
      </c>
      <c r="G927" s="1">
        <v>9</v>
      </c>
      <c r="H927" s="1">
        <f t="shared" si="25"/>
        <v>24</v>
      </c>
      <c r="I927" s="5">
        <f t="shared" ca="1" si="26"/>
        <v>20</v>
      </c>
      <c r="K927"/>
    </row>
    <row r="928" spans="1:18" x14ac:dyDescent="0.25">
      <c r="A928" s="2">
        <f t="shared" ca="1" si="24"/>
        <v>5</v>
      </c>
      <c r="B928" s="29" t="s">
        <v>223</v>
      </c>
      <c r="C928" s="18">
        <v>44752</v>
      </c>
      <c r="D928" s="1" t="s">
        <v>71</v>
      </c>
      <c r="E928" s="1" t="s">
        <v>40</v>
      </c>
      <c r="F928" s="1">
        <v>15</v>
      </c>
      <c r="G928" s="1">
        <v>9</v>
      </c>
      <c r="H928" s="1">
        <f t="shared" si="25"/>
        <v>24</v>
      </c>
      <c r="I928" s="5">
        <f t="shared" ca="1" si="26"/>
        <v>19.8</v>
      </c>
      <c r="K928"/>
    </row>
    <row r="929" spans="1:18" x14ac:dyDescent="0.25">
      <c r="A929" s="2">
        <f t="shared" ca="1" si="24"/>
        <v>6</v>
      </c>
      <c r="B929" s="1" t="s">
        <v>490</v>
      </c>
      <c r="C929" s="18">
        <v>46061</v>
      </c>
      <c r="D929" s="1" t="s">
        <v>71</v>
      </c>
      <c r="E929" s="1" t="s">
        <v>40</v>
      </c>
      <c r="F929" s="1">
        <v>13</v>
      </c>
      <c r="G929" s="1">
        <v>6</v>
      </c>
      <c r="H929" s="1">
        <f t="shared" si="25"/>
        <v>19</v>
      </c>
      <c r="I929" s="5">
        <f t="shared" ca="1" si="26"/>
        <v>18.399999999999999</v>
      </c>
      <c r="K929"/>
    </row>
    <row r="930" spans="1:18" x14ac:dyDescent="0.25">
      <c r="A930" s="2">
        <f t="shared" ca="1" si="24"/>
        <v>7</v>
      </c>
      <c r="B930" s="1" t="s">
        <v>42</v>
      </c>
      <c r="C930" s="18">
        <v>44409</v>
      </c>
      <c r="D930" s="1" t="s">
        <v>68</v>
      </c>
      <c r="E930" s="1" t="s">
        <v>40</v>
      </c>
      <c r="F930" s="1">
        <v>16</v>
      </c>
      <c r="G930" s="1">
        <v>7</v>
      </c>
      <c r="H930" s="1">
        <f t="shared" si="25"/>
        <v>23</v>
      </c>
      <c r="I930" s="5">
        <f t="shared" ca="1" si="26"/>
        <v>17.899999999999999</v>
      </c>
      <c r="K930"/>
    </row>
    <row r="931" spans="1:18" x14ac:dyDescent="0.25">
      <c r="A931" s="2">
        <f t="shared" ca="1" si="24"/>
        <v>7</v>
      </c>
      <c r="B931" s="1" t="s">
        <v>41</v>
      </c>
      <c r="C931" s="18">
        <v>44409</v>
      </c>
      <c r="D931" s="1" t="s">
        <v>68</v>
      </c>
      <c r="E931" s="1" t="s">
        <v>40</v>
      </c>
      <c r="F931" s="1">
        <v>16</v>
      </c>
      <c r="G931" s="1">
        <v>7</v>
      </c>
      <c r="H931" s="1">
        <f t="shared" si="25"/>
        <v>23</v>
      </c>
      <c r="I931" s="5">
        <f t="shared" ca="1" si="26"/>
        <v>17.899999999999999</v>
      </c>
      <c r="K931"/>
      <c r="L931"/>
      <c r="M931"/>
      <c r="N931"/>
      <c r="O931"/>
      <c r="P931"/>
      <c r="Q931"/>
    </row>
    <row r="932" spans="1:18" x14ac:dyDescent="0.25">
      <c r="A932" s="2">
        <f t="shared" ca="1" si="24"/>
        <v>9</v>
      </c>
      <c r="B932" s="1" t="s">
        <v>273</v>
      </c>
      <c r="C932" s="18">
        <v>45025</v>
      </c>
      <c r="D932" s="1" t="s">
        <v>68</v>
      </c>
      <c r="E932" s="1" t="s">
        <v>40</v>
      </c>
      <c r="F932" s="1">
        <v>14</v>
      </c>
      <c r="G932" s="1">
        <v>7</v>
      </c>
      <c r="H932" s="1">
        <f t="shared" si="25"/>
        <v>21</v>
      </c>
      <c r="I932" s="5">
        <f t="shared" ca="1" si="26"/>
        <v>17.600000000000001</v>
      </c>
      <c r="K932"/>
      <c r="L932" s="14"/>
      <c r="M932" s="14"/>
      <c r="N932" s="14"/>
      <c r="O932" s="14"/>
      <c r="P932" s="14"/>
      <c r="Q932" s="14"/>
      <c r="R932" s="14"/>
    </row>
    <row r="933" spans="1:18" x14ac:dyDescent="0.25">
      <c r="A933" s="2">
        <f t="shared" ca="1" si="24"/>
        <v>10</v>
      </c>
      <c r="B933" s="29" t="s">
        <v>192</v>
      </c>
      <c r="C933" s="18">
        <v>44598</v>
      </c>
      <c r="D933" s="1" t="s">
        <v>68</v>
      </c>
      <c r="E933" s="1" t="s">
        <v>40</v>
      </c>
      <c r="F933" s="1">
        <v>15</v>
      </c>
      <c r="G933" s="1">
        <v>7</v>
      </c>
      <c r="H933" s="1">
        <f t="shared" si="25"/>
        <v>22</v>
      </c>
      <c r="I933" s="5">
        <f t="shared" ca="1" si="26"/>
        <v>17.399999999999999</v>
      </c>
      <c r="K933"/>
      <c r="L933"/>
      <c r="M933"/>
      <c r="N933"/>
      <c r="O933"/>
      <c r="P933"/>
      <c r="Q933"/>
    </row>
    <row r="934" spans="1:18" x14ac:dyDescent="0.25">
      <c r="A934" s="2">
        <f t="shared" ca="1" si="24"/>
        <v>11</v>
      </c>
      <c r="B934" s="1" t="s">
        <v>187</v>
      </c>
      <c r="C934" s="18">
        <v>44577</v>
      </c>
      <c r="D934" s="1" t="s">
        <v>73</v>
      </c>
      <c r="E934" s="1" t="s">
        <v>40</v>
      </c>
      <c r="F934" s="1">
        <v>15</v>
      </c>
      <c r="G934" s="1">
        <v>7</v>
      </c>
      <c r="H934" s="1">
        <f t="shared" si="25"/>
        <v>22</v>
      </c>
      <c r="I934" s="5">
        <f t="shared" ca="1" si="26"/>
        <v>17.3</v>
      </c>
      <c r="K934"/>
      <c r="L934"/>
      <c r="M934"/>
      <c r="N934"/>
      <c r="O934"/>
      <c r="P934"/>
      <c r="Q934"/>
    </row>
    <row r="935" spans="1:18" x14ac:dyDescent="0.25">
      <c r="A935" s="2">
        <f t="shared" ca="1" si="24"/>
        <v>11</v>
      </c>
      <c r="B935" s="1" t="s">
        <v>399</v>
      </c>
      <c r="C935" s="18">
        <v>45662</v>
      </c>
      <c r="D935" s="1" t="s">
        <v>68</v>
      </c>
      <c r="E935" s="1" t="s">
        <v>40</v>
      </c>
      <c r="F935" s="1">
        <v>13</v>
      </c>
      <c r="G935" s="1">
        <v>6</v>
      </c>
      <c r="H935" s="1">
        <f t="shared" si="25"/>
        <v>19</v>
      </c>
      <c r="I935" s="5">
        <f t="shared" ca="1" si="26"/>
        <v>17.3</v>
      </c>
      <c r="K935"/>
      <c r="L935"/>
      <c r="M935"/>
      <c r="N935"/>
      <c r="O935"/>
      <c r="P935"/>
      <c r="Q935"/>
    </row>
    <row r="936" spans="1:18" x14ac:dyDescent="0.25">
      <c r="A936" s="2">
        <f t="shared" ca="1" si="24"/>
        <v>11</v>
      </c>
      <c r="B936" s="1" t="s">
        <v>400</v>
      </c>
      <c r="C936" s="18">
        <v>45662</v>
      </c>
      <c r="D936" s="1" t="s">
        <v>68</v>
      </c>
      <c r="E936" s="1" t="s">
        <v>40</v>
      </c>
      <c r="F936" s="1">
        <v>13</v>
      </c>
      <c r="G936" s="1">
        <v>6</v>
      </c>
      <c r="H936" s="1">
        <f t="shared" si="25"/>
        <v>19</v>
      </c>
      <c r="I936" s="5">
        <f t="shared" ca="1" si="26"/>
        <v>17.3</v>
      </c>
      <c r="K936"/>
      <c r="L936"/>
      <c r="M936"/>
      <c r="N936"/>
      <c r="O936"/>
      <c r="P936"/>
      <c r="Q936"/>
    </row>
    <row r="937" spans="1:18" x14ac:dyDescent="0.25">
      <c r="A937" s="2">
        <f t="shared" ca="1" si="24"/>
        <v>14</v>
      </c>
      <c r="B937" s="1" t="s">
        <v>355</v>
      </c>
      <c r="C937" s="18">
        <v>45172</v>
      </c>
      <c r="D937" s="1" t="s">
        <v>67</v>
      </c>
      <c r="E937" s="1" t="s">
        <v>40</v>
      </c>
      <c r="F937" s="1">
        <v>15</v>
      </c>
      <c r="G937" s="1">
        <v>5</v>
      </c>
      <c r="H937" s="1">
        <f t="shared" si="25"/>
        <v>20</v>
      </c>
      <c r="I937" s="5">
        <f t="shared" ca="1" si="26"/>
        <v>17</v>
      </c>
      <c r="K937"/>
      <c r="L937"/>
      <c r="M937"/>
      <c r="N937"/>
      <c r="O937"/>
      <c r="P937"/>
      <c r="Q937"/>
    </row>
    <row r="938" spans="1:18" x14ac:dyDescent="0.25">
      <c r="A938" s="2">
        <f t="shared" ca="1" si="24"/>
        <v>15</v>
      </c>
      <c r="B938" s="29" t="s">
        <v>524</v>
      </c>
      <c r="C938" s="18">
        <v>46235</v>
      </c>
      <c r="D938" s="1" t="s">
        <v>73</v>
      </c>
      <c r="E938" s="1" t="s">
        <v>40</v>
      </c>
      <c r="F938" s="1">
        <v>12</v>
      </c>
      <c r="G938" s="1">
        <v>5</v>
      </c>
      <c r="H938" s="1">
        <f t="shared" si="25"/>
        <v>17</v>
      </c>
      <c r="I938" s="5">
        <f t="shared" ca="1" si="26"/>
        <v>16.899999999999999</v>
      </c>
      <c r="K938"/>
      <c r="L938"/>
      <c r="M938"/>
      <c r="N938"/>
      <c r="O938"/>
      <c r="P938"/>
      <c r="Q938"/>
    </row>
    <row r="939" spans="1:18" x14ac:dyDescent="0.25">
      <c r="A939" s="2">
        <f t="shared" ca="1" si="24"/>
        <v>16</v>
      </c>
      <c r="B939" s="1" t="s">
        <v>112</v>
      </c>
      <c r="C939" s="18">
        <v>44703</v>
      </c>
      <c r="D939" s="1" t="s">
        <v>74</v>
      </c>
      <c r="E939" s="1" t="s">
        <v>40</v>
      </c>
      <c r="F939" s="1">
        <v>13</v>
      </c>
      <c r="G939" s="1">
        <v>7</v>
      </c>
      <c r="H939" s="1">
        <f t="shared" si="25"/>
        <v>20</v>
      </c>
      <c r="I939" s="5">
        <f t="shared" ca="1" si="26"/>
        <v>15.7</v>
      </c>
      <c r="K939"/>
      <c r="L939"/>
      <c r="M939"/>
      <c r="N939"/>
      <c r="O939"/>
      <c r="P939"/>
      <c r="Q939"/>
    </row>
    <row r="940" spans="1:18" x14ac:dyDescent="0.25">
      <c r="A940" s="2">
        <f t="shared" ca="1" si="24"/>
        <v>17</v>
      </c>
      <c r="B940" s="1" t="s">
        <v>103</v>
      </c>
      <c r="C940" s="18">
        <v>45011</v>
      </c>
      <c r="D940" s="1" t="s">
        <v>66</v>
      </c>
      <c r="E940" s="1" t="s">
        <v>40</v>
      </c>
      <c r="F940" s="1">
        <v>14</v>
      </c>
      <c r="G940" s="1">
        <v>5</v>
      </c>
      <c r="H940" s="1">
        <f t="shared" si="25"/>
        <v>19</v>
      </c>
      <c r="I940" s="5">
        <f t="shared" ca="1" si="26"/>
        <v>15.5</v>
      </c>
      <c r="K940"/>
      <c r="L940"/>
      <c r="M940"/>
      <c r="N940"/>
      <c r="O940"/>
      <c r="P940"/>
      <c r="Q940"/>
    </row>
    <row r="941" spans="1:18" x14ac:dyDescent="0.25">
      <c r="A941" s="2">
        <f t="shared" ca="1" si="24"/>
        <v>18</v>
      </c>
      <c r="B941" s="29" t="s">
        <v>288</v>
      </c>
      <c r="C941" s="18">
        <v>45088</v>
      </c>
      <c r="D941" s="1" t="s">
        <v>74</v>
      </c>
      <c r="E941" s="1" t="s">
        <v>40</v>
      </c>
      <c r="F941" s="1">
        <v>13</v>
      </c>
      <c r="G941" s="1">
        <v>5</v>
      </c>
      <c r="H941" s="1">
        <f t="shared" si="25"/>
        <v>18</v>
      </c>
      <c r="I941" s="5">
        <f t="shared" ca="1" si="26"/>
        <v>14.7</v>
      </c>
      <c r="K941"/>
      <c r="L941"/>
      <c r="M941"/>
      <c r="N941"/>
      <c r="O941"/>
      <c r="P941"/>
      <c r="Q941"/>
    </row>
    <row r="942" spans="1:18" x14ac:dyDescent="0.25">
      <c r="A942" s="2">
        <f t="shared" ca="1" si="24"/>
        <v>19</v>
      </c>
      <c r="B942" s="1" t="s">
        <v>334</v>
      </c>
      <c r="C942" s="18">
        <v>45347</v>
      </c>
      <c r="D942" s="1" t="s">
        <v>73</v>
      </c>
      <c r="E942" s="1" t="s">
        <v>40</v>
      </c>
      <c r="F942" s="1">
        <v>12</v>
      </c>
      <c r="G942" s="1">
        <v>5</v>
      </c>
      <c r="H942" s="1">
        <f t="shared" si="25"/>
        <v>17</v>
      </c>
      <c r="I942" s="5">
        <f t="shared" ca="1" si="26"/>
        <v>14.4</v>
      </c>
      <c r="K942"/>
      <c r="L942"/>
      <c r="M942"/>
      <c r="N942"/>
      <c r="O942"/>
      <c r="P942"/>
      <c r="Q942"/>
    </row>
    <row r="943" spans="1:18" x14ac:dyDescent="0.25">
      <c r="A943" s="2">
        <f t="shared" ca="1" si="24"/>
        <v>20</v>
      </c>
      <c r="B943" s="1" t="s">
        <v>382</v>
      </c>
      <c r="C943" s="18">
        <v>45648</v>
      </c>
      <c r="D943" s="1" t="s">
        <v>307</v>
      </c>
      <c r="E943" s="1" t="s">
        <v>40</v>
      </c>
      <c r="F943" s="1">
        <v>12</v>
      </c>
      <c r="G943" s="1">
        <v>4</v>
      </c>
      <c r="H943" s="1">
        <f t="shared" si="25"/>
        <v>16</v>
      </c>
      <c r="I943" s="5">
        <f t="shared" ca="1" si="26"/>
        <v>14.3</v>
      </c>
      <c r="K943"/>
      <c r="L943"/>
      <c r="M943"/>
      <c r="N943"/>
      <c r="O943"/>
      <c r="P943"/>
      <c r="Q943"/>
    </row>
    <row r="944" spans="1:18" x14ac:dyDescent="0.25">
      <c r="A944" s="2">
        <f t="shared" ca="1" si="24"/>
        <v>21</v>
      </c>
      <c r="B944" s="29" t="s">
        <v>293</v>
      </c>
      <c r="C944" s="18">
        <v>45220</v>
      </c>
      <c r="D944" s="1" t="s">
        <v>309</v>
      </c>
      <c r="E944" s="1" t="s">
        <v>40</v>
      </c>
      <c r="F944" s="1">
        <v>12</v>
      </c>
      <c r="G944" s="1">
        <v>5</v>
      </c>
      <c r="H944" s="1">
        <f t="shared" si="25"/>
        <v>17</v>
      </c>
      <c r="I944" s="5">
        <f t="shared" ca="1" si="26"/>
        <v>14.1</v>
      </c>
      <c r="K944"/>
      <c r="L944"/>
      <c r="M944"/>
      <c r="N944"/>
      <c r="O944"/>
      <c r="P944"/>
      <c r="Q944"/>
    </row>
    <row r="945" spans="1:17" x14ac:dyDescent="0.25">
      <c r="A945" s="2">
        <f t="shared" ca="1" si="24"/>
        <v>22</v>
      </c>
      <c r="B945" s="1" t="s">
        <v>104</v>
      </c>
      <c r="C945" s="18">
        <v>45011</v>
      </c>
      <c r="D945" s="1" t="s">
        <v>73</v>
      </c>
      <c r="E945" s="1" t="s">
        <v>40</v>
      </c>
      <c r="F945" s="1">
        <v>11</v>
      </c>
      <c r="G945" s="1">
        <v>6</v>
      </c>
      <c r="H945" s="1">
        <f t="shared" si="25"/>
        <v>17</v>
      </c>
      <c r="I945" s="5">
        <f t="shared" ca="1" si="26"/>
        <v>13.5</v>
      </c>
      <c r="K945"/>
      <c r="L945"/>
      <c r="M945"/>
      <c r="N945"/>
      <c r="O945"/>
      <c r="P945"/>
      <c r="Q945"/>
    </row>
    <row r="946" spans="1:17" x14ac:dyDescent="0.25">
      <c r="A946" s="2">
        <f t="shared" ca="1" si="24"/>
        <v>23</v>
      </c>
      <c r="B946" s="1" t="s">
        <v>84</v>
      </c>
      <c r="C946" s="18">
        <v>44577</v>
      </c>
      <c r="D946" s="1" t="s">
        <v>68</v>
      </c>
      <c r="E946" s="1" t="s">
        <v>40</v>
      </c>
      <c r="F946" s="1">
        <v>12</v>
      </c>
      <c r="G946" s="1">
        <v>6</v>
      </c>
      <c r="H946" s="1">
        <f t="shared" si="25"/>
        <v>18</v>
      </c>
      <c r="I946" s="5">
        <f t="shared" ca="1" si="26"/>
        <v>13.3</v>
      </c>
      <c r="K946"/>
      <c r="L946"/>
      <c r="M946"/>
      <c r="N946"/>
      <c r="O946"/>
      <c r="P946"/>
      <c r="Q946"/>
    </row>
    <row r="947" spans="1:17" x14ac:dyDescent="0.25">
      <c r="A947" s="2">
        <f t="shared" ca="1" si="24"/>
        <v>24</v>
      </c>
      <c r="B947" s="1" t="s">
        <v>382</v>
      </c>
      <c r="C947" s="18">
        <v>45578</v>
      </c>
      <c r="D947" s="1" t="s">
        <v>307</v>
      </c>
      <c r="E947" s="1" t="s">
        <v>40</v>
      </c>
      <c r="F947" s="1">
        <v>10</v>
      </c>
      <c r="G947" s="1">
        <v>5</v>
      </c>
      <c r="H947" s="1">
        <f t="shared" si="25"/>
        <v>15</v>
      </c>
      <c r="I947" s="5">
        <f t="shared" ca="1" si="26"/>
        <v>13.1</v>
      </c>
      <c r="K947"/>
      <c r="L947"/>
      <c r="M947"/>
      <c r="N947"/>
      <c r="O947"/>
      <c r="P947"/>
      <c r="Q947"/>
    </row>
    <row r="948" spans="1:17" x14ac:dyDescent="0.25">
      <c r="A948" s="2">
        <f t="shared" ca="1" si="24"/>
        <v>25</v>
      </c>
      <c r="B948" s="1" t="s">
        <v>442</v>
      </c>
      <c r="C948" s="18">
        <v>45844</v>
      </c>
      <c r="D948" s="1" t="s">
        <v>74</v>
      </c>
      <c r="E948" s="1" t="s">
        <v>40</v>
      </c>
      <c r="F948" s="1">
        <v>10</v>
      </c>
      <c r="G948" s="1">
        <v>4</v>
      </c>
      <c r="H948" s="1">
        <f t="shared" si="25"/>
        <v>14</v>
      </c>
      <c r="I948" s="5">
        <f t="shared" ca="1" si="26"/>
        <v>12.8</v>
      </c>
      <c r="K948"/>
      <c r="L948"/>
      <c r="M948"/>
      <c r="N948"/>
      <c r="O948"/>
      <c r="P948"/>
      <c r="Q948"/>
    </row>
    <row r="949" spans="1:17" x14ac:dyDescent="0.25">
      <c r="A949" s="2">
        <f t="shared" ca="1" si="24"/>
        <v>26</v>
      </c>
      <c r="B949" s="1" t="s">
        <v>274</v>
      </c>
      <c r="C949" s="18">
        <v>45025</v>
      </c>
      <c r="D949" s="1" t="s">
        <v>149</v>
      </c>
      <c r="E949" s="1" t="s">
        <v>40</v>
      </c>
      <c r="F949" s="1">
        <v>11</v>
      </c>
      <c r="G949" s="1">
        <v>5</v>
      </c>
      <c r="H949" s="1">
        <f t="shared" si="25"/>
        <v>16</v>
      </c>
      <c r="I949" s="5">
        <f t="shared" ca="1" si="26"/>
        <v>12.6</v>
      </c>
      <c r="K949"/>
      <c r="L949"/>
      <c r="M949"/>
      <c r="N949"/>
      <c r="O949"/>
      <c r="P949"/>
      <c r="Q949"/>
    </row>
    <row r="950" spans="1:17" x14ac:dyDescent="0.25">
      <c r="A950" s="2">
        <f t="shared" ca="1" si="24"/>
        <v>26</v>
      </c>
      <c r="B950" s="1" t="s">
        <v>423</v>
      </c>
      <c r="C950" s="18">
        <v>45753</v>
      </c>
      <c r="D950" s="1" t="s">
        <v>66</v>
      </c>
      <c r="E950" s="1" t="s">
        <v>40</v>
      </c>
      <c r="F950" s="1">
        <v>10</v>
      </c>
      <c r="G950" s="1">
        <v>4</v>
      </c>
      <c r="H950" s="1">
        <f t="shared" si="25"/>
        <v>14</v>
      </c>
      <c r="I950" s="5">
        <f t="shared" ca="1" si="26"/>
        <v>12.6</v>
      </c>
      <c r="K950"/>
      <c r="L950"/>
      <c r="M950"/>
      <c r="N950"/>
      <c r="O950"/>
      <c r="P950"/>
      <c r="Q950"/>
    </row>
    <row r="951" spans="1:17" x14ac:dyDescent="0.25">
      <c r="A951" s="2">
        <f t="shared" ca="1" si="24"/>
        <v>28</v>
      </c>
      <c r="B951" s="1" t="s">
        <v>59</v>
      </c>
      <c r="C951" s="18">
        <v>45011</v>
      </c>
      <c r="D951" s="1" t="s">
        <v>68</v>
      </c>
      <c r="E951" s="1" t="s">
        <v>40</v>
      </c>
      <c r="F951" s="1">
        <v>10</v>
      </c>
      <c r="G951" s="1">
        <v>6</v>
      </c>
      <c r="H951" s="1">
        <f t="shared" si="25"/>
        <v>16</v>
      </c>
      <c r="I951" s="5">
        <f t="shared" ca="1" si="26"/>
        <v>12.5</v>
      </c>
      <c r="K951"/>
      <c r="L951"/>
      <c r="M951"/>
      <c r="N951"/>
      <c r="O951"/>
      <c r="P951"/>
      <c r="Q951"/>
    </row>
    <row r="952" spans="1:17" x14ac:dyDescent="0.25">
      <c r="A952" s="2">
        <f t="shared" ca="1" si="24"/>
        <v>29</v>
      </c>
      <c r="B952" s="1" t="s">
        <v>344</v>
      </c>
      <c r="C952" s="18">
        <v>45417</v>
      </c>
      <c r="D952" s="1" t="s">
        <v>74</v>
      </c>
      <c r="E952" s="1" t="s">
        <v>40</v>
      </c>
      <c r="F952" s="1">
        <v>9</v>
      </c>
      <c r="G952" s="1">
        <v>5</v>
      </c>
      <c r="H952" s="1">
        <f t="shared" si="25"/>
        <v>14</v>
      </c>
      <c r="I952" s="5">
        <f t="shared" ca="1" si="26"/>
        <v>11.6</v>
      </c>
      <c r="K952"/>
      <c r="L952"/>
      <c r="M952"/>
      <c r="N952"/>
      <c r="O952"/>
      <c r="P952"/>
      <c r="Q952"/>
    </row>
    <row r="953" spans="1:17" x14ac:dyDescent="0.25">
      <c r="A953" s="2">
        <f t="shared" ca="1" si="24"/>
        <v>29</v>
      </c>
      <c r="B953" s="1" t="s">
        <v>428</v>
      </c>
      <c r="C953" s="18">
        <v>45781</v>
      </c>
      <c r="D953" s="1" t="s">
        <v>308</v>
      </c>
      <c r="E953" s="1" t="s">
        <v>40</v>
      </c>
      <c r="F953" s="1">
        <v>9</v>
      </c>
      <c r="G953" s="1">
        <v>4</v>
      </c>
      <c r="H953" s="1">
        <f t="shared" si="25"/>
        <v>13</v>
      </c>
      <c r="I953" s="5">
        <f t="shared" ca="1" si="26"/>
        <v>11.6</v>
      </c>
      <c r="K953"/>
      <c r="L953"/>
      <c r="M953"/>
      <c r="N953"/>
      <c r="O953"/>
      <c r="P953"/>
      <c r="Q953"/>
    </row>
    <row r="954" spans="1:17" x14ac:dyDescent="0.25">
      <c r="A954" s="2">
        <f t="shared" ca="1" si="24"/>
        <v>31</v>
      </c>
      <c r="B954" s="1" t="s">
        <v>315</v>
      </c>
      <c r="C954" s="18">
        <v>45249</v>
      </c>
      <c r="D954" s="1" t="s">
        <v>308</v>
      </c>
      <c r="E954" s="1" t="s">
        <v>40</v>
      </c>
      <c r="F954" s="1">
        <v>9</v>
      </c>
      <c r="G954" s="1">
        <v>5</v>
      </c>
      <c r="H954" s="1">
        <f t="shared" si="25"/>
        <v>14</v>
      </c>
      <c r="I954" s="5">
        <f t="shared" ca="1" si="26"/>
        <v>11.2</v>
      </c>
      <c r="K954"/>
      <c r="L954"/>
      <c r="M954"/>
      <c r="N954"/>
      <c r="O954"/>
      <c r="P954"/>
      <c r="Q954"/>
    </row>
    <row r="955" spans="1:17" x14ac:dyDescent="0.25">
      <c r="A955" s="2">
        <f t="shared" ca="1" si="24"/>
        <v>32</v>
      </c>
      <c r="B955" s="1" t="s">
        <v>160</v>
      </c>
      <c r="C955" s="18">
        <v>44465</v>
      </c>
      <c r="D955" s="1" t="s">
        <v>68</v>
      </c>
      <c r="E955" s="1" t="s">
        <v>40</v>
      </c>
      <c r="F955" s="1">
        <v>12</v>
      </c>
      <c r="G955" s="1">
        <v>4</v>
      </c>
      <c r="H955" s="1">
        <f t="shared" si="25"/>
        <v>16</v>
      </c>
      <c r="I955" s="5">
        <f t="shared" ca="1" si="26"/>
        <v>11</v>
      </c>
      <c r="K955"/>
      <c r="L955"/>
      <c r="M955"/>
      <c r="N955"/>
      <c r="O955"/>
      <c r="P955"/>
      <c r="Q955"/>
    </row>
    <row r="956" spans="1:17" x14ac:dyDescent="0.25">
      <c r="A956" s="2">
        <f t="shared" ca="1" si="24"/>
        <v>33</v>
      </c>
      <c r="B956" s="1" t="s">
        <v>395</v>
      </c>
      <c r="C956" s="18">
        <v>45641</v>
      </c>
      <c r="D956" s="1" t="s">
        <v>309</v>
      </c>
      <c r="E956" s="1" t="s">
        <v>40</v>
      </c>
      <c r="F956" s="1">
        <v>8</v>
      </c>
      <c r="G956" s="1">
        <v>4</v>
      </c>
      <c r="H956" s="1">
        <f t="shared" si="25"/>
        <v>12</v>
      </c>
      <c r="I956" s="5">
        <f t="shared" ca="1" si="26"/>
        <v>10.199999999999999</v>
      </c>
      <c r="K956"/>
      <c r="L956"/>
      <c r="M956"/>
      <c r="N956"/>
      <c r="O956"/>
      <c r="P956"/>
      <c r="Q956"/>
    </row>
    <row r="957" spans="1:17" x14ac:dyDescent="0.25">
      <c r="A957" s="2">
        <f t="shared" ca="1" si="24"/>
        <v>34</v>
      </c>
      <c r="B957" s="1" t="s">
        <v>244</v>
      </c>
      <c r="C957" s="18">
        <v>44843</v>
      </c>
      <c r="D957" s="1" t="s">
        <v>66</v>
      </c>
      <c r="E957" s="1" t="s">
        <v>40</v>
      </c>
      <c r="F957" s="1">
        <v>10</v>
      </c>
      <c r="G957" s="1">
        <v>4</v>
      </c>
      <c r="H957" s="1">
        <f t="shared" si="25"/>
        <v>14</v>
      </c>
      <c r="I957" s="5">
        <f t="shared" ca="1" si="26"/>
        <v>10.1</v>
      </c>
      <c r="K957"/>
      <c r="L957"/>
      <c r="M957"/>
      <c r="N957"/>
      <c r="O957"/>
      <c r="P957"/>
      <c r="Q957"/>
    </row>
    <row r="958" spans="1:17" x14ac:dyDescent="0.25">
      <c r="A958" s="2">
        <f t="shared" ca="1" si="24"/>
        <v>34</v>
      </c>
      <c r="B958" s="1" t="s">
        <v>304</v>
      </c>
      <c r="C958" s="18">
        <v>45207</v>
      </c>
      <c r="D958" s="1" t="s">
        <v>73</v>
      </c>
      <c r="E958" s="1" t="s">
        <v>40</v>
      </c>
      <c r="F958" s="1">
        <v>9</v>
      </c>
      <c r="G958" s="1">
        <v>4</v>
      </c>
      <c r="H958" s="1">
        <f t="shared" si="25"/>
        <v>13</v>
      </c>
      <c r="I958" s="5">
        <f t="shared" ca="1" si="26"/>
        <v>10.1</v>
      </c>
      <c r="K958"/>
      <c r="L958"/>
      <c r="M958"/>
      <c r="N958"/>
      <c r="O958"/>
      <c r="P958"/>
      <c r="Q958"/>
    </row>
    <row r="959" spans="1:17" x14ac:dyDescent="0.25">
      <c r="A959" s="2">
        <f t="shared" ca="1" si="24"/>
        <v>36</v>
      </c>
      <c r="B959" s="1" t="s">
        <v>305</v>
      </c>
      <c r="C959" s="18">
        <v>45207</v>
      </c>
      <c r="D959" s="1" t="s">
        <v>154</v>
      </c>
      <c r="E959" s="1" t="s">
        <v>40</v>
      </c>
      <c r="F959" s="1">
        <v>8</v>
      </c>
      <c r="G959" s="1">
        <v>4</v>
      </c>
      <c r="H959" s="1">
        <f t="shared" si="25"/>
        <v>12</v>
      </c>
      <c r="I959" s="5">
        <f t="shared" ca="1" si="26"/>
        <v>9.1</v>
      </c>
      <c r="K959"/>
      <c r="L959"/>
      <c r="M959"/>
      <c r="N959"/>
      <c r="O959"/>
      <c r="P959"/>
      <c r="Q959"/>
    </row>
    <row r="960" spans="1:17" x14ac:dyDescent="0.25">
      <c r="A960" s="2">
        <f t="shared" ca="1" si="24"/>
        <v>36</v>
      </c>
      <c r="B960" s="1" t="s">
        <v>240</v>
      </c>
      <c r="C960" s="18">
        <v>44843</v>
      </c>
      <c r="D960" s="1" t="s">
        <v>73</v>
      </c>
      <c r="E960" s="1" t="s">
        <v>40</v>
      </c>
      <c r="F960" s="1">
        <v>9</v>
      </c>
      <c r="G960" s="1">
        <v>4</v>
      </c>
      <c r="H960" s="1">
        <f t="shared" si="25"/>
        <v>13</v>
      </c>
      <c r="I960" s="5">
        <f t="shared" ca="1" si="26"/>
        <v>9.1</v>
      </c>
      <c r="K960"/>
      <c r="L960"/>
      <c r="M960"/>
      <c r="N960"/>
      <c r="O960"/>
      <c r="P960"/>
      <c r="Q960"/>
    </row>
    <row r="961" spans="1:17" x14ac:dyDescent="0.25">
      <c r="A961" s="2">
        <f t="shared" ca="1" si="24"/>
        <v>38</v>
      </c>
      <c r="B961" s="1" t="s">
        <v>39</v>
      </c>
      <c r="C961" s="18">
        <v>44423</v>
      </c>
      <c r="D961" s="1" t="s">
        <v>71</v>
      </c>
      <c r="E961" s="1" t="s">
        <v>40</v>
      </c>
      <c r="F961" s="1">
        <v>9</v>
      </c>
      <c r="G961" s="1">
        <v>3</v>
      </c>
      <c r="H961" s="1">
        <f t="shared" si="25"/>
        <v>12</v>
      </c>
      <c r="I961" s="5">
        <f t="shared" ca="1" si="26"/>
        <v>6.9</v>
      </c>
      <c r="K961"/>
      <c r="L961"/>
      <c r="M961"/>
      <c r="N961"/>
      <c r="O961"/>
      <c r="P961"/>
      <c r="Q961"/>
    </row>
    <row r="962" spans="1:17" x14ac:dyDescent="0.25">
      <c r="A962" s="2">
        <f t="shared" ca="1" si="24"/>
        <v>39</v>
      </c>
      <c r="B962" s="1" t="s">
        <v>63</v>
      </c>
      <c r="C962" s="18">
        <v>44577</v>
      </c>
      <c r="D962" s="1" t="s">
        <v>75</v>
      </c>
      <c r="E962" s="1" t="s">
        <v>40</v>
      </c>
      <c r="F962" s="1">
        <v>6</v>
      </c>
      <c r="G962" s="1">
        <v>4</v>
      </c>
      <c r="H962" s="1">
        <f t="shared" si="25"/>
        <v>10</v>
      </c>
      <c r="I962" s="5">
        <f t="shared" ca="1" si="26"/>
        <v>5.3</v>
      </c>
      <c r="K962"/>
      <c r="L962"/>
      <c r="M962"/>
      <c r="N962"/>
      <c r="O962"/>
      <c r="P962"/>
      <c r="Q962"/>
    </row>
    <row r="963" spans="1:17" x14ac:dyDescent="0.25">
      <c r="A963" s="2">
        <f t="shared" ca="1" si="24"/>
        <v>40</v>
      </c>
      <c r="B963" s="1" t="s">
        <v>245</v>
      </c>
      <c r="C963" s="18">
        <v>44843</v>
      </c>
      <c r="D963" s="1" t="s">
        <v>75</v>
      </c>
      <c r="E963" s="1" t="s">
        <v>40</v>
      </c>
      <c r="F963" s="1">
        <v>7</v>
      </c>
      <c r="G963" s="1">
        <v>2</v>
      </c>
      <c r="H963" s="1">
        <f t="shared" si="25"/>
        <v>9</v>
      </c>
      <c r="I963" s="5">
        <f t="shared" ca="1" si="26"/>
        <v>5.0999999999999996</v>
      </c>
      <c r="K963"/>
      <c r="L963"/>
      <c r="M963"/>
      <c r="N963"/>
      <c r="O963"/>
      <c r="P963"/>
      <c r="Q963"/>
    </row>
    <row r="964" spans="1:17" x14ac:dyDescent="0.25">
      <c r="A964" s="2"/>
      <c r="I964" s="3"/>
      <c r="K964"/>
      <c r="L964"/>
      <c r="M964"/>
      <c r="N964"/>
      <c r="O964"/>
      <c r="P964"/>
      <c r="Q964"/>
    </row>
    <row r="965" spans="1:17" x14ac:dyDescent="0.25">
      <c r="A965" s="6" t="s">
        <v>27</v>
      </c>
      <c r="B965" s="7" t="s">
        <v>28</v>
      </c>
      <c r="C965" s="7"/>
      <c r="D965" s="7" t="s">
        <v>29</v>
      </c>
      <c r="E965" s="7" t="s">
        <v>29</v>
      </c>
      <c r="F965" s="8">
        <f t="shared" ref="F965:I965" si="27">AVERAGE(F924:F964)</f>
        <v>11.8</v>
      </c>
      <c r="G965" s="8">
        <f t="shared" si="27"/>
        <v>5.55</v>
      </c>
      <c r="H965" s="8">
        <f t="shared" si="27"/>
        <v>17.350000000000001</v>
      </c>
      <c r="I965" s="9">
        <f t="shared" ca="1" si="27"/>
        <v>14.222500000000005</v>
      </c>
      <c r="L965"/>
      <c r="M965"/>
      <c r="N965"/>
      <c r="O965"/>
      <c r="P965"/>
      <c r="Q965"/>
    </row>
    <row r="966" spans="1:17" x14ac:dyDescent="0.25">
      <c r="L966"/>
      <c r="M966"/>
      <c r="N966"/>
      <c r="O966"/>
      <c r="P966"/>
      <c r="Q966"/>
    </row>
    <row r="967" spans="1:17" x14ac:dyDescent="0.25">
      <c r="L967"/>
      <c r="M967"/>
      <c r="N967"/>
      <c r="O967"/>
      <c r="P967"/>
      <c r="Q967"/>
    </row>
    <row r="968" spans="1:17" x14ac:dyDescent="0.25">
      <c r="L968"/>
      <c r="M968"/>
      <c r="N968"/>
      <c r="O968"/>
      <c r="P968"/>
      <c r="Q968"/>
    </row>
    <row r="969" spans="1:17" x14ac:dyDescent="0.25">
      <c r="L969"/>
      <c r="M969"/>
      <c r="N969"/>
      <c r="O969"/>
      <c r="P969"/>
      <c r="Q969"/>
    </row>
    <row r="970" spans="1:17" x14ac:dyDescent="0.25">
      <c r="L970"/>
      <c r="M970"/>
      <c r="N970"/>
      <c r="O970"/>
      <c r="P970"/>
      <c r="Q970"/>
    </row>
    <row r="971" spans="1:17" x14ac:dyDescent="0.25">
      <c r="L971"/>
      <c r="M971"/>
      <c r="N971"/>
      <c r="O971"/>
      <c r="P971"/>
      <c r="Q971"/>
    </row>
    <row r="972" spans="1:17" x14ac:dyDescent="0.25">
      <c r="L972"/>
      <c r="M972"/>
      <c r="N972"/>
      <c r="O972"/>
      <c r="P972"/>
      <c r="Q972"/>
    </row>
    <row r="973" spans="1:17" x14ac:dyDescent="0.25">
      <c r="L973"/>
      <c r="M973"/>
      <c r="N973"/>
      <c r="O973"/>
      <c r="P973"/>
      <c r="Q973"/>
    </row>
  </sheetData>
  <sortState xmlns:xlrd2="http://schemas.microsoft.com/office/spreadsheetml/2017/richdata2" ref="A6:I474">
    <sortCondition ref="A6:A474"/>
  </sortState>
  <mergeCells count="12">
    <mergeCell ref="A863:I863"/>
    <mergeCell ref="A895:I895"/>
    <mergeCell ref="A922:I922"/>
    <mergeCell ref="H1:H3"/>
    <mergeCell ref="I1:I3"/>
    <mergeCell ref="B1:F3"/>
    <mergeCell ref="A4:I4"/>
    <mergeCell ref="L4:R4"/>
    <mergeCell ref="A477:I477"/>
    <mergeCell ref="A720:I720"/>
    <mergeCell ref="A1:A3"/>
    <mergeCell ref="L35:R44"/>
  </mergeCells>
  <pageMargins left="0.7" right="0.7" top="0.75" bottom="0.75" header="0.3" footer="0.3"/>
  <pageSetup orientation="portrait" r:id="rId1"/>
  <ignoredErrors>
    <ignoredError sqref="H476"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Overall Total</vt:lpstr>
      <vt:lpstr>Hard Total</vt:lpstr>
      <vt:lpstr>Soft 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Rudzinski</dc:creator>
  <cp:lastModifiedBy>Benjamin Rudzinski</cp:lastModifiedBy>
  <dcterms:created xsi:type="dcterms:W3CDTF">2015-06-05T18:17:20Z</dcterms:created>
  <dcterms:modified xsi:type="dcterms:W3CDTF">2026-10-04T13:54:02Z</dcterms:modified>
</cp:coreProperties>
</file>